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8_{6C841635-8BCA-4C2D-991C-7DF780A38911}" xr6:coauthVersionLast="47" xr6:coauthVersionMax="47" xr10:uidLastSave="{00000000-0000-0000-0000-000000000000}"/>
  <bookViews>
    <workbookView xWindow="-120" yWindow="-120" windowWidth="20730" windowHeight="11160" tabRatio="594" xr2:uid="{00000000-000D-0000-FFFF-FFFF00000000}"/>
  </bookViews>
  <sheets>
    <sheet name="Daily Market price" sheetId="1" r:id="rId1"/>
    <sheet name="Market price monthly average" sheetId="2" r:id="rId2"/>
    <sheet name="Sheet1" sheetId="8" r:id="rId3"/>
    <sheet name="Daily Price basis" sheetId="3" r:id="rId4"/>
    <sheet name="Monthly price basis" sheetId="4" r:id="rId5"/>
    <sheet name="Daily window price" sheetId="5" r:id="rId6"/>
    <sheet name="Monthly window price" sheetId="7" r:id="rId7"/>
  </sheets>
  <definedNames>
    <definedName name="_xlnm.Print_Area" localSheetId="0">'Daily Market price'!$A$1:$M$701</definedName>
    <definedName name="_xlnm.Print_Area" localSheetId="3">'Daily Price basis'!$A$1:$M$681</definedName>
    <definedName name="_xlnm.Print_Area" localSheetId="4">'Monthly price basis'!$A$1:$U$27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" i="4" l="1"/>
  <c r="N23" i="4"/>
  <c r="N22" i="4"/>
  <c r="N21" i="4"/>
  <c r="N20" i="4"/>
  <c r="N19" i="4"/>
  <c r="U18" i="8"/>
  <c r="T18" i="8"/>
  <c r="S18" i="8"/>
  <c r="R18" i="8"/>
  <c r="Q18" i="8"/>
  <c r="P18" i="8"/>
  <c r="O18" i="8"/>
  <c r="L18" i="8"/>
  <c r="M18" i="8"/>
  <c r="N18" i="8"/>
  <c r="F18" i="8"/>
  <c r="G18" i="8"/>
  <c r="H18" i="8"/>
  <c r="I18" i="8"/>
  <c r="J18" i="8"/>
  <c r="K18" i="8"/>
  <c r="C18" i="8"/>
  <c r="D18" i="8"/>
  <c r="E18" i="8"/>
  <c r="B18" i="8"/>
  <c r="AG18" i="2" l="1"/>
  <c r="AH18" i="2"/>
  <c r="AI18" i="2"/>
  <c r="AJ18" i="2"/>
  <c r="AK18" i="2"/>
  <c r="AL18" i="2"/>
  <c r="AM18" i="2"/>
  <c r="AN18" i="2"/>
  <c r="AO18" i="2"/>
  <c r="AP18" i="2"/>
  <c r="AQ18" i="2"/>
  <c r="AR18" i="2"/>
  <c r="AS18" i="2"/>
  <c r="AF18" i="2"/>
  <c r="AV18" i="2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5" i="4"/>
  <c r="F771" i="1" l="1"/>
  <c r="P613" i="5" l="1"/>
  <c r="V613" i="5"/>
  <c r="T613" i="5"/>
  <c r="U613" i="5"/>
  <c r="W613" i="5"/>
  <c r="K715" i="3" l="1"/>
  <c r="L715" i="3"/>
  <c r="B771" i="1" l="1"/>
  <c r="B736" i="1"/>
  <c r="B701" i="1"/>
  <c r="B665" i="1"/>
  <c r="B630" i="1"/>
  <c r="B595" i="1"/>
  <c r="B560" i="1"/>
  <c r="B525" i="1"/>
  <c r="B490" i="1"/>
  <c r="B420" i="1"/>
  <c r="B385" i="1"/>
  <c r="B350" i="1"/>
  <c r="B315" i="1"/>
  <c r="B280" i="1"/>
  <c r="B245" i="1"/>
  <c r="B210" i="1"/>
  <c r="B175" i="1"/>
  <c r="B140" i="1"/>
  <c r="B105" i="1"/>
  <c r="G70" i="1"/>
  <c r="C35" i="1" l="1"/>
  <c r="B35" i="1"/>
  <c r="C715" i="3"/>
  <c r="D715" i="3"/>
  <c r="E715" i="3"/>
  <c r="F715" i="3"/>
  <c r="G715" i="3"/>
  <c r="H715" i="3"/>
  <c r="I715" i="3"/>
  <c r="J715" i="3"/>
  <c r="B715" i="3"/>
  <c r="C681" i="3"/>
  <c r="D681" i="3"/>
  <c r="E681" i="3"/>
  <c r="F681" i="3"/>
  <c r="G681" i="3"/>
  <c r="H681" i="3"/>
  <c r="I681" i="3"/>
  <c r="J681" i="3"/>
  <c r="K681" i="3"/>
  <c r="L681" i="3"/>
  <c r="M681" i="3"/>
  <c r="B681" i="3"/>
  <c r="C646" i="3"/>
  <c r="D646" i="3"/>
  <c r="E646" i="3"/>
  <c r="F646" i="3"/>
  <c r="G646" i="3"/>
  <c r="H646" i="3"/>
  <c r="I646" i="3"/>
  <c r="J646" i="3"/>
  <c r="K646" i="3"/>
  <c r="L646" i="3"/>
  <c r="M646" i="3"/>
  <c r="B646" i="3"/>
  <c r="C612" i="3"/>
  <c r="B612" i="3"/>
  <c r="C578" i="3"/>
  <c r="D578" i="3"/>
  <c r="E578" i="3"/>
  <c r="F578" i="3"/>
  <c r="G578" i="3"/>
  <c r="H578" i="3"/>
  <c r="I578" i="3"/>
  <c r="J578" i="3"/>
  <c r="K578" i="3"/>
  <c r="L578" i="3"/>
  <c r="M578" i="3"/>
  <c r="B578" i="3"/>
  <c r="B544" i="3"/>
  <c r="I544" i="3"/>
  <c r="K544" i="3"/>
  <c r="L544" i="3"/>
  <c r="M544" i="3"/>
  <c r="C544" i="3"/>
  <c r="D544" i="3"/>
  <c r="E544" i="3"/>
  <c r="F544" i="3"/>
  <c r="C510" i="3"/>
  <c r="D510" i="3"/>
  <c r="E510" i="3"/>
  <c r="F510" i="3"/>
  <c r="G510" i="3"/>
  <c r="H510" i="3"/>
  <c r="I510" i="3"/>
  <c r="J510" i="3"/>
  <c r="K510" i="3"/>
  <c r="L510" i="3"/>
  <c r="M510" i="3"/>
  <c r="B510" i="3"/>
  <c r="C476" i="3"/>
  <c r="D476" i="3"/>
  <c r="E476" i="3"/>
  <c r="F476" i="3"/>
  <c r="G476" i="3"/>
  <c r="H476" i="3"/>
  <c r="I476" i="3"/>
  <c r="J476" i="3"/>
  <c r="K476" i="3"/>
  <c r="L476" i="3"/>
  <c r="M476" i="3"/>
  <c r="B476" i="3"/>
  <c r="C442" i="3"/>
  <c r="D442" i="3"/>
  <c r="E442" i="3"/>
  <c r="F442" i="3"/>
  <c r="G442" i="3"/>
  <c r="H442" i="3"/>
  <c r="I442" i="3"/>
  <c r="J442" i="3"/>
  <c r="K442" i="3"/>
  <c r="L442" i="3"/>
  <c r="M442" i="3"/>
  <c r="B442" i="3"/>
  <c r="C408" i="3"/>
  <c r="D408" i="3"/>
  <c r="E408" i="3"/>
  <c r="F408" i="3"/>
  <c r="G408" i="3"/>
  <c r="H408" i="3"/>
  <c r="I408" i="3"/>
  <c r="J408" i="3"/>
  <c r="K408" i="3"/>
  <c r="L408" i="3"/>
  <c r="M408" i="3"/>
  <c r="B408" i="3"/>
  <c r="C374" i="3"/>
  <c r="D374" i="3"/>
  <c r="E374" i="3"/>
  <c r="F374" i="3"/>
  <c r="G374" i="3"/>
  <c r="H374" i="3"/>
  <c r="I374" i="3"/>
  <c r="J374" i="3"/>
  <c r="K374" i="3"/>
  <c r="L374" i="3"/>
  <c r="M374" i="3"/>
  <c r="B374" i="3"/>
  <c r="C340" i="3"/>
  <c r="D340" i="3"/>
  <c r="E340" i="3"/>
  <c r="F340" i="3"/>
  <c r="G340" i="3"/>
  <c r="H340" i="3"/>
  <c r="I340" i="3"/>
  <c r="J340" i="3"/>
  <c r="K340" i="3"/>
  <c r="L340" i="3"/>
  <c r="M340" i="3"/>
  <c r="B340" i="3"/>
  <c r="C306" i="3"/>
  <c r="D306" i="3"/>
  <c r="E306" i="3"/>
  <c r="F306" i="3"/>
  <c r="G306" i="3"/>
  <c r="H306" i="3"/>
  <c r="I306" i="3"/>
  <c r="J306" i="3"/>
  <c r="K306" i="3"/>
  <c r="M306" i="3"/>
  <c r="B306" i="3"/>
  <c r="C272" i="3"/>
  <c r="D272" i="3"/>
  <c r="E272" i="3"/>
  <c r="F272" i="3"/>
  <c r="G272" i="3"/>
  <c r="H272" i="3"/>
  <c r="I272" i="3"/>
  <c r="J272" i="3"/>
  <c r="K272" i="3"/>
  <c r="L272" i="3"/>
  <c r="M272" i="3"/>
  <c r="B272" i="3"/>
  <c r="C238" i="3"/>
  <c r="D238" i="3"/>
  <c r="E238" i="3"/>
  <c r="F238" i="3"/>
  <c r="G238" i="3"/>
  <c r="H238" i="3"/>
  <c r="I238" i="3"/>
  <c r="J238" i="3"/>
  <c r="K238" i="3"/>
  <c r="L238" i="3"/>
  <c r="M238" i="3"/>
  <c r="B238" i="3"/>
  <c r="M204" i="3"/>
  <c r="J204" i="3"/>
  <c r="K204" i="3"/>
  <c r="L204" i="3"/>
  <c r="G204" i="3"/>
  <c r="H204" i="3"/>
  <c r="I204" i="3"/>
  <c r="C204" i="3"/>
  <c r="D204" i="3"/>
  <c r="E204" i="3"/>
  <c r="F204" i="3"/>
  <c r="B204" i="3"/>
  <c r="L170" i="3"/>
  <c r="M170" i="3"/>
  <c r="I170" i="3"/>
  <c r="J170" i="3"/>
  <c r="K170" i="3"/>
  <c r="F170" i="3"/>
  <c r="G170" i="3"/>
  <c r="H170" i="3"/>
  <c r="C170" i="3"/>
  <c r="D170" i="3"/>
  <c r="E170" i="3"/>
  <c r="B170" i="3"/>
  <c r="M136" i="3"/>
  <c r="G136" i="3"/>
  <c r="H136" i="3"/>
  <c r="I136" i="3"/>
  <c r="J136" i="3"/>
  <c r="K136" i="3"/>
  <c r="C136" i="3"/>
  <c r="D136" i="3"/>
  <c r="E136" i="3"/>
  <c r="B136" i="3"/>
  <c r="J102" i="3"/>
  <c r="K102" i="3"/>
  <c r="L102" i="3"/>
  <c r="M102" i="3"/>
  <c r="G102" i="3"/>
  <c r="H102" i="3"/>
  <c r="I102" i="3"/>
  <c r="C102" i="3"/>
  <c r="D102" i="3"/>
  <c r="E102" i="3"/>
  <c r="F102" i="3"/>
  <c r="B102" i="3"/>
  <c r="L68" i="3"/>
  <c r="M68" i="3"/>
  <c r="H68" i="3"/>
  <c r="I68" i="3"/>
  <c r="J68" i="3"/>
  <c r="K68" i="3"/>
  <c r="E68" i="3"/>
  <c r="F68" i="3"/>
  <c r="G68" i="3"/>
  <c r="C68" i="3"/>
  <c r="D68" i="3"/>
  <c r="B68" i="3"/>
  <c r="L34" i="3"/>
  <c r="M34" i="3"/>
  <c r="K34" i="3"/>
  <c r="F613" i="5"/>
  <c r="G613" i="5"/>
  <c r="H613" i="5"/>
  <c r="I613" i="5"/>
  <c r="J613" i="5"/>
  <c r="K613" i="5"/>
  <c r="L613" i="5"/>
  <c r="M613" i="5"/>
  <c r="N613" i="5"/>
  <c r="O613" i="5"/>
  <c r="Q613" i="5"/>
  <c r="R613" i="5"/>
  <c r="S613" i="5"/>
  <c r="D613" i="5"/>
  <c r="E613" i="5"/>
  <c r="C613" i="5"/>
  <c r="B613" i="5"/>
  <c r="C577" i="5"/>
  <c r="D577" i="5"/>
  <c r="E577" i="5"/>
  <c r="F577" i="5"/>
  <c r="G577" i="5"/>
  <c r="H577" i="5"/>
  <c r="I577" i="5"/>
  <c r="J577" i="5"/>
  <c r="K577" i="5"/>
  <c r="L577" i="5"/>
  <c r="M577" i="5"/>
  <c r="N577" i="5"/>
  <c r="O577" i="5"/>
  <c r="P577" i="5"/>
  <c r="Q577" i="5"/>
  <c r="R577" i="5"/>
  <c r="S577" i="5"/>
  <c r="T577" i="5"/>
  <c r="U577" i="5"/>
  <c r="V577" i="5"/>
  <c r="W577" i="5"/>
  <c r="X577" i="5"/>
  <c r="Y577" i="5"/>
  <c r="B577" i="5"/>
  <c r="C541" i="5"/>
  <c r="D541" i="5"/>
  <c r="E541" i="5"/>
  <c r="F541" i="5"/>
  <c r="G541" i="5"/>
  <c r="H541" i="5"/>
  <c r="I541" i="5"/>
  <c r="J541" i="5"/>
  <c r="K541" i="5"/>
  <c r="L541" i="5"/>
  <c r="M541" i="5"/>
  <c r="N541" i="5"/>
  <c r="O541" i="5"/>
  <c r="P541" i="5"/>
  <c r="Q541" i="5"/>
  <c r="R541" i="5"/>
  <c r="S541" i="5"/>
  <c r="T541" i="5"/>
  <c r="U541" i="5"/>
  <c r="V541" i="5"/>
  <c r="W541" i="5"/>
  <c r="X541" i="5"/>
  <c r="Y541" i="5"/>
  <c r="B541" i="5"/>
  <c r="C504" i="5"/>
  <c r="D504" i="5"/>
  <c r="E504" i="5"/>
  <c r="F504" i="5"/>
  <c r="G504" i="5"/>
  <c r="H504" i="5"/>
  <c r="I504" i="5"/>
  <c r="J504" i="5"/>
  <c r="K504" i="5"/>
  <c r="L504" i="5"/>
  <c r="M504" i="5"/>
  <c r="N504" i="5"/>
  <c r="O504" i="5"/>
  <c r="P504" i="5"/>
  <c r="Q504" i="5"/>
  <c r="R504" i="5"/>
  <c r="S504" i="5"/>
  <c r="T504" i="5"/>
  <c r="U504" i="5"/>
  <c r="V504" i="5"/>
  <c r="W504" i="5"/>
  <c r="X504" i="5"/>
  <c r="Y504" i="5"/>
  <c r="B504" i="5"/>
  <c r="C468" i="5"/>
  <c r="D468" i="5"/>
  <c r="E468" i="5"/>
  <c r="F468" i="5"/>
  <c r="G468" i="5"/>
  <c r="H468" i="5"/>
  <c r="I468" i="5"/>
  <c r="J468" i="5"/>
  <c r="K468" i="5"/>
  <c r="L468" i="5"/>
  <c r="M468" i="5"/>
  <c r="N468" i="5"/>
  <c r="O468" i="5"/>
  <c r="P468" i="5"/>
  <c r="Q468" i="5"/>
  <c r="R468" i="5"/>
  <c r="S468" i="5"/>
  <c r="T468" i="5"/>
  <c r="U468" i="5"/>
  <c r="V468" i="5"/>
  <c r="W468" i="5"/>
  <c r="X468" i="5"/>
  <c r="Y468" i="5"/>
  <c r="B468" i="5"/>
  <c r="B432" i="5"/>
  <c r="C432" i="5"/>
  <c r="D432" i="5"/>
  <c r="E432" i="5"/>
  <c r="F432" i="5"/>
  <c r="G432" i="5"/>
  <c r="H432" i="5"/>
  <c r="I432" i="5"/>
  <c r="J432" i="5"/>
  <c r="K432" i="5"/>
  <c r="L432" i="5"/>
  <c r="M432" i="5"/>
  <c r="N432" i="5"/>
  <c r="O432" i="5"/>
  <c r="P432" i="5"/>
  <c r="Q432" i="5"/>
  <c r="R432" i="5"/>
  <c r="S432" i="5"/>
  <c r="T432" i="5"/>
  <c r="U432" i="5"/>
  <c r="V432" i="5"/>
  <c r="W432" i="5"/>
  <c r="X432" i="5"/>
  <c r="Y432" i="5"/>
  <c r="C396" i="5"/>
  <c r="D396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Q396" i="5"/>
  <c r="R396" i="5"/>
  <c r="S396" i="5"/>
  <c r="T396" i="5"/>
  <c r="U396" i="5"/>
  <c r="V396" i="5"/>
  <c r="W396" i="5"/>
  <c r="X396" i="5"/>
  <c r="Y396" i="5"/>
  <c r="B396" i="5"/>
  <c r="C360" i="5"/>
  <c r="D360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Q360" i="5"/>
  <c r="R360" i="5"/>
  <c r="S360" i="5"/>
  <c r="T360" i="5"/>
  <c r="U360" i="5"/>
  <c r="V360" i="5"/>
  <c r="W360" i="5"/>
  <c r="X360" i="5"/>
  <c r="Y360" i="5"/>
  <c r="B360" i="5"/>
  <c r="C324" i="5"/>
  <c r="D324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Q324" i="5"/>
  <c r="R324" i="5"/>
  <c r="S324" i="5"/>
  <c r="T324" i="5"/>
  <c r="U324" i="5"/>
  <c r="V324" i="5"/>
  <c r="W324" i="5"/>
  <c r="X324" i="5"/>
  <c r="Y324" i="5"/>
  <c r="B324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R288" i="5"/>
  <c r="S288" i="5"/>
  <c r="T288" i="5"/>
  <c r="U288" i="5"/>
  <c r="V288" i="5"/>
  <c r="W288" i="5"/>
  <c r="X288" i="5"/>
  <c r="Y288" i="5"/>
  <c r="C288" i="5"/>
  <c r="D288" i="5"/>
  <c r="E288" i="5"/>
  <c r="B288" i="5"/>
  <c r="C252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T252" i="5"/>
  <c r="U252" i="5"/>
  <c r="V252" i="5"/>
  <c r="W252" i="5"/>
  <c r="X252" i="5"/>
  <c r="B252" i="5"/>
  <c r="C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T216" i="5"/>
  <c r="U216" i="5"/>
  <c r="V216" i="5"/>
  <c r="W216" i="5"/>
  <c r="X216" i="5"/>
  <c r="Y216" i="5"/>
  <c r="B216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B180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B144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B108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B72" i="5"/>
  <c r="C35" i="5"/>
  <c r="D35" i="5"/>
  <c r="E35" i="5"/>
  <c r="F35" i="5"/>
  <c r="G35" i="5"/>
  <c r="H35" i="5"/>
  <c r="I35" i="5"/>
  <c r="J35" i="5"/>
  <c r="K35" i="5"/>
  <c r="L35" i="5"/>
  <c r="M35" i="5"/>
  <c r="B35" i="5"/>
  <c r="AY18" i="2" l="1"/>
  <c r="AX18" i="2"/>
  <c r="AW18" i="2"/>
  <c r="AU18" i="2"/>
  <c r="AT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H771" i="1" l="1"/>
  <c r="G771" i="1" l="1"/>
  <c r="E771" i="1" l="1"/>
  <c r="D771" i="1"/>
  <c r="Z20" i="7" l="1"/>
  <c r="AA20" i="7"/>
  <c r="C771" i="1" l="1"/>
  <c r="M736" i="1"/>
  <c r="L736" i="1" l="1"/>
  <c r="K736" i="1" l="1"/>
  <c r="J736" i="1" l="1"/>
  <c r="I736" i="1" l="1"/>
  <c r="H736" i="1" l="1"/>
  <c r="G736" i="1" l="1"/>
  <c r="F736" i="1" l="1"/>
  <c r="E736" i="1" l="1"/>
  <c r="D736" i="1" l="1"/>
  <c r="C736" i="1" l="1"/>
  <c r="AA17" i="7" l="1"/>
  <c r="Z16" i="7"/>
  <c r="Z19" i="7"/>
  <c r="Z4" i="7"/>
  <c r="M701" i="1"/>
  <c r="AA19" i="7"/>
  <c r="C701" i="1"/>
  <c r="D701" i="1"/>
  <c r="E701" i="1"/>
  <c r="F701" i="1"/>
  <c r="G701" i="1"/>
  <c r="H701" i="1"/>
  <c r="I701" i="1"/>
  <c r="J701" i="1"/>
  <c r="K701" i="1"/>
  <c r="L701" i="1"/>
  <c r="Z18" i="7" l="1"/>
  <c r="Z7" i="7" l="1"/>
  <c r="AA7" i="7"/>
  <c r="Z8" i="7"/>
  <c r="AA8" i="7"/>
  <c r="Z9" i="7"/>
  <c r="AA9" i="7"/>
  <c r="Z10" i="7"/>
  <c r="AA10" i="7"/>
  <c r="Z11" i="7"/>
  <c r="AA11" i="7"/>
  <c r="Z12" i="7"/>
  <c r="AA12" i="7"/>
  <c r="Z13" i="7"/>
  <c r="AA13" i="7"/>
  <c r="Z14" i="7"/>
  <c r="AA14" i="7"/>
  <c r="Z15" i="7"/>
  <c r="AA15" i="7"/>
  <c r="AA16" i="7"/>
  <c r="Z17" i="7"/>
  <c r="AA18" i="7"/>
  <c r="AA6" i="7"/>
  <c r="Z6" i="7"/>
  <c r="Y252" i="5" l="1"/>
  <c r="N4" i="4"/>
  <c r="M612" i="3" l="1"/>
  <c r="L612" i="3"/>
  <c r="K612" i="3"/>
  <c r="J612" i="3"/>
  <c r="I612" i="3"/>
  <c r="H612" i="3"/>
  <c r="G612" i="3"/>
  <c r="F612" i="3"/>
  <c r="E612" i="3"/>
  <c r="D612" i="3"/>
  <c r="J543" i="3"/>
  <c r="J544" i="3" s="1"/>
  <c r="H543" i="3"/>
  <c r="H544" i="3" s="1"/>
  <c r="G543" i="3"/>
  <c r="G544" i="3" s="1"/>
  <c r="L305" i="3"/>
  <c r="L306" i="3" s="1"/>
  <c r="F129" i="3"/>
  <c r="F136" i="3" s="1"/>
  <c r="L120" i="3"/>
  <c r="L119" i="3"/>
  <c r="L118" i="3"/>
  <c r="L136" i="3" l="1"/>
  <c r="M665" i="1"/>
  <c r="L665" i="1"/>
  <c r="K665" i="1"/>
  <c r="J665" i="1"/>
  <c r="I665" i="1"/>
  <c r="H665" i="1"/>
  <c r="G665" i="1"/>
  <c r="F665" i="1"/>
  <c r="E665" i="1"/>
  <c r="D665" i="1"/>
  <c r="C665" i="1"/>
  <c r="M630" i="1"/>
  <c r="L630" i="1"/>
  <c r="K630" i="1"/>
  <c r="J630" i="1"/>
  <c r="I630" i="1"/>
  <c r="H630" i="1"/>
  <c r="G630" i="1"/>
  <c r="F630" i="1"/>
  <c r="E630" i="1"/>
  <c r="D630" i="1"/>
  <c r="C630" i="1"/>
  <c r="M595" i="1"/>
  <c r="L595" i="1"/>
  <c r="K595" i="1"/>
  <c r="J595" i="1"/>
  <c r="I595" i="1"/>
  <c r="H595" i="1"/>
  <c r="G595" i="1"/>
  <c r="F595" i="1"/>
  <c r="E595" i="1"/>
  <c r="D595" i="1"/>
  <c r="C595" i="1"/>
  <c r="M560" i="1"/>
  <c r="L560" i="1"/>
  <c r="K560" i="1"/>
  <c r="J560" i="1"/>
  <c r="I560" i="1"/>
  <c r="H560" i="1"/>
  <c r="G560" i="1"/>
  <c r="F560" i="1"/>
  <c r="E560" i="1"/>
  <c r="D560" i="1"/>
  <c r="C560" i="1"/>
  <c r="M525" i="1"/>
  <c r="L525" i="1"/>
  <c r="K525" i="1"/>
  <c r="J525" i="1"/>
  <c r="I525" i="1"/>
  <c r="H525" i="1"/>
  <c r="G525" i="1"/>
  <c r="F525" i="1"/>
  <c r="E525" i="1"/>
  <c r="D525" i="1"/>
  <c r="C525" i="1"/>
  <c r="M490" i="1"/>
  <c r="L490" i="1"/>
  <c r="K490" i="1"/>
  <c r="J490" i="1"/>
  <c r="I490" i="1"/>
  <c r="H490" i="1"/>
  <c r="G490" i="1"/>
  <c r="F490" i="1"/>
  <c r="E490" i="1"/>
  <c r="D490" i="1"/>
  <c r="C490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M420" i="1"/>
  <c r="L420" i="1"/>
  <c r="K420" i="1"/>
  <c r="J420" i="1"/>
  <c r="I420" i="1"/>
  <c r="H420" i="1"/>
  <c r="G420" i="1"/>
  <c r="F420" i="1"/>
  <c r="E420" i="1"/>
  <c r="D420" i="1"/>
  <c r="C420" i="1"/>
  <c r="M385" i="1"/>
  <c r="L385" i="1"/>
  <c r="K385" i="1"/>
  <c r="J385" i="1"/>
  <c r="I385" i="1"/>
  <c r="H385" i="1"/>
  <c r="G385" i="1"/>
  <c r="F385" i="1"/>
  <c r="E385" i="1"/>
  <c r="D385" i="1"/>
  <c r="C385" i="1"/>
  <c r="M350" i="1"/>
  <c r="L350" i="1"/>
  <c r="K350" i="1"/>
  <c r="J350" i="1"/>
  <c r="I350" i="1"/>
  <c r="H350" i="1"/>
  <c r="G350" i="1"/>
  <c r="F350" i="1"/>
  <c r="E350" i="1"/>
  <c r="D350" i="1"/>
  <c r="C350" i="1"/>
  <c r="M315" i="1"/>
  <c r="L315" i="1"/>
  <c r="K315" i="1"/>
  <c r="J315" i="1"/>
  <c r="I315" i="1"/>
  <c r="H315" i="1"/>
  <c r="G315" i="1"/>
  <c r="F315" i="1"/>
  <c r="E315" i="1"/>
  <c r="D315" i="1"/>
  <c r="C315" i="1"/>
  <c r="M280" i="1"/>
  <c r="L280" i="1"/>
  <c r="K280" i="1"/>
  <c r="J280" i="1"/>
  <c r="I280" i="1"/>
  <c r="H280" i="1"/>
  <c r="G280" i="1"/>
  <c r="F280" i="1"/>
  <c r="E280" i="1"/>
  <c r="D280" i="1"/>
  <c r="C280" i="1"/>
  <c r="M245" i="1"/>
  <c r="L245" i="1"/>
  <c r="K245" i="1"/>
  <c r="J245" i="1"/>
  <c r="I245" i="1"/>
  <c r="H245" i="1"/>
  <c r="G245" i="1"/>
  <c r="F245" i="1"/>
  <c r="E245" i="1"/>
  <c r="D245" i="1"/>
  <c r="C245" i="1"/>
  <c r="M210" i="1"/>
  <c r="L210" i="1"/>
  <c r="K210" i="1"/>
  <c r="J210" i="1"/>
  <c r="I210" i="1"/>
  <c r="H210" i="1"/>
  <c r="G210" i="1"/>
  <c r="F210" i="1"/>
  <c r="E210" i="1"/>
  <c r="D210" i="1"/>
  <c r="C210" i="1"/>
  <c r="M175" i="1"/>
  <c r="L175" i="1"/>
  <c r="K175" i="1"/>
  <c r="J175" i="1"/>
  <c r="I175" i="1"/>
  <c r="H175" i="1"/>
  <c r="G175" i="1"/>
  <c r="F175" i="1"/>
  <c r="E175" i="1"/>
  <c r="D175" i="1"/>
  <c r="C175" i="1"/>
  <c r="M140" i="1"/>
  <c r="L140" i="1"/>
  <c r="K140" i="1"/>
  <c r="J140" i="1"/>
  <c r="I140" i="1"/>
  <c r="H140" i="1"/>
  <c r="G140" i="1"/>
  <c r="F140" i="1"/>
  <c r="E140" i="1"/>
  <c r="D140" i="1"/>
  <c r="C140" i="1"/>
  <c r="M105" i="1"/>
  <c r="L105" i="1"/>
  <c r="K105" i="1"/>
  <c r="J105" i="1"/>
  <c r="I105" i="1"/>
  <c r="H105" i="1"/>
  <c r="G105" i="1"/>
  <c r="F105" i="1"/>
  <c r="E105" i="1"/>
  <c r="D105" i="1"/>
  <c r="C105" i="1"/>
  <c r="M70" i="1"/>
  <c r="L70" i="1"/>
  <c r="K70" i="1"/>
  <c r="J70" i="1"/>
  <c r="I70" i="1"/>
  <c r="H70" i="1"/>
  <c r="M35" i="1"/>
  <c r="L35" i="1"/>
  <c r="K35" i="1"/>
  <c r="J35" i="1"/>
  <c r="I35" i="1"/>
  <c r="H35" i="1"/>
  <c r="G35" i="1"/>
  <c r="F35" i="1"/>
  <c r="E35" i="1"/>
  <c r="D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77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<sst xmlns="http://schemas.openxmlformats.org/spreadsheetml/2006/main" count="1428" uniqueCount="96">
  <si>
    <t>Daily Exchange Rates for Iraqi Dinar Per USD for 2002</t>
  </si>
  <si>
    <t>( Market  Price )</t>
  </si>
  <si>
    <t>Date</t>
  </si>
  <si>
    <t>Jan.</t>
  </si>
  <si>
    <t>Feb.</t>
  </si>
  <si>
    <t>Mar.</t>
  </si>
  <si>
    <t>Apr.</t>
  </si>
  <si>
    <t>May</t>
  </si>
  <si>
    <t>Jun</t>
  </si>
  <si>
    <t>July</t>
  </si>
  <si>
    <t>Aug.</t>
  </si>
  <si>
    <t>Sep.</t>
  </si>
  <si>
    <t>Oct.</t>
  </si>
  <si>
    <t>Nov</t>
  </si>
  <si>
    <t>Dec.</t>
  </si>
  <si>
    <t>Avg.</t>
  </si>
  <si>
    <t>Daily Exchange Rates for Iraqi Dinar Per USD for 2003</t>
  </si>
  <si>
    <t>ـــــ</t>
  </si>
  <si>
    <t>Daily Exchange Rates for Iraqi Dinar Per USD for 2004</t>
  </si>
  <si>
    <t>Daily Exchange Rates for Iraqi Dinar Per USD for 2005</t>
  </si>
  <si>
    <t>Daily Exchange Rates for Iraqi Dinar Per USD for 2006</t>
  </si>
  <si>
    <t>Nov.</t>
  </si>
  <si>
    <t>ــــــ</t>
  </si>
  <si>
    <t>Daily Exchange Rates for Iraqi Dinar Per USD for 2007</t>
  </si>
  <si>
    <t>Daily Exchange Rates for Iraqi Dinar Per USD for 2008</t>
  </si>
  <si>
    <t>Daily Exchange Rates for Iraqi Dinar Per USD for 2009</t>
  </si>
  <si>
    <t>Daily Exchange Rates for Iraqi Dinar Per USD for 2010</t>
  </si>
  <si>
    <t>Daily Exchange Rates for Iraqi Dinar Per USD for 2011</t>
  </si>
  <si>
    <t>Daily Exchange Rates for Iraqi Dinar Per USD for 2012</t>
  </si>
  <si>
    <t>Daily Exchange Rates for Iraqi Dinar Per USD for 2013</t>
  </si>
  <si>
    <t>Daily Exchange Rates for Iraqi Dinar Per USD for 2014</t>
  </si>
  <si>
    <t>Daily Exchange Rates for Iraqi Dinar Per USD for 2015</t>
  </si>
  <si>
    <t>Daily Exchange Rates for Iraqi Dinar Per USD for 2016</t>
  </si>
  <si>
    <t>Daily Exchange Rates for Iraqi Dinar Per USD for 2017</t>
  </si>
  <si>
    <t>Daily Exchange Rates for Iraqi Dinar Per USD for 2018</t>
  </si>
  <si>
    <t>عطلة</t>
  </si>
  <si>
    <t>Daily Exchange Rates for Iraqi Dinar Per USD for 2019</t>
  </si>
  <si>
    <t>Daily Exchange Rates for Iraqi Dinar Per USD for 2020</t>
  </si>
  <si>
    <t>*Mar.</t>
  </si>
  <si>
    <t>Daily Exchange Rates for Iraqi Dinar Per USD for 2021</t>
  </si>
  <si>
    <t>period</t>
  </si>
  <si>
    <t>Jun.</t>
  </si>
  <si>
    <t>Jul.</t>
  </si>
  <si>
    <t>Average</t>
  </si>
  <si>
    <t>2003/Date</t>
  </si>
  <si>
    <t>2004/Date</t>
  </si>
  <si>
    <t>2005/Date</t>
  </si>
  <si>
    <t>2006/Date</t>
  </si>
  <si>
    <t>2007/Date</t>
  </si>
  <si>
    <t>2008/Date</t>
  </si>
  <si>
    <t>2009/Date</t>
  </si>
  <si>
    <t>2010/Date</t>
  </si>
  <si>
    <t>2011/Date</t>
  </si>
  <si>
    <t>2012/Date</t>
  </si>
  <si>
    <t>2013/Date</t>
  </si>
  <si>
    <t>Friday</t>
  </si>
  <si>
    <t>2014/Date</t>
  </si>
  <si>
    <t>2015/Date</t>
  </si>
  <si>
    <t>2016/Date</t>
  </si>
  <si>
    <t>2017/Date</t>
  </si>
  <si>
    <t>2018/Date</t>
  </si>
  <si>
    <t>2019/Date</t>
  </si>
  <si>
    <t>2020/Date</t>
  </si>
  <si>
    <t>2021/Date</t>
  </si>
  <si>
    <t>*The price represent the price basis</t>
  </si>
  <si>
    <t>السعر يمثل السعر الأساس</t>
  </si>
  <si>
    <t xml:space="preserve">Monthly  Exchange Rates for Iraqi Dinar Per USD </t>
  </si>
  <si>
    <t xml:space="preserve">Period </t>
  </si>
  <si>
    <t xml:space="preserve">Annual Avarage </t>
  </si>
  <si>
    <t xml:space="preserve">*The price represent  the  price  basis                                                                                                                       </t>
  </si>
  <si>
    <t xml:space="preserve">      السعر يمثل السعر الاساس </t>
  </si>
  <si>
    <t>( Window Price )</t>
  </si>
  <si>
    <t>March.</t>
  </si>
  <si>
    <t>May.</t>
  </si>
  <si>
    <t>Cash</t>
  </si>
  <si>
    <t>Transfer</t>
  </si>
  <si>
    <t>feb.</t>
  </si>
  <si>
    <t>*Comment :      There is a discrepancy in publishing periods starting from March 2020 due to Comprehensive curfew imposed by the Corona pandemic. Preliminary data are adjustable .</t>
  </si>
  <si>
    <t xml:space="preserve">Monthly Exchange Rates for Iraqi Dinar Per USD </t>
  </si>
  <si>
    <t>*Comment :      There is a discrepancy in publishing periods starting from March 2020 due to Comprehensive curfew imposed by the Corona pandemic. Preliminary   data are adjustable .</t>
  </si>
  <si>
    <t>Daily Exchange Rates for Iraqi Dinar Per USD for 2022</t>
  </si>
  <si>
    <t>2022/Date</t>
  </si>
  <si>
    <t>*Daily Exchange Rates for Iraqi Dinar Per USD</t>
  </si>
  <si>
    <t>(Basic price)</t>
  </si>
  <si>
    <t>Daily Exchange Rates for Iraqi Dinar Per USD for 2023</t>
  </si>
  <si>
    <t>2023/Date</t>
  </si>
  <si>
    <t>Prices from Jan. 1974 to Dec. 2001 Estimated</t>
  </si>
  <si>
    <t>الاسعار للمدة من كانون الثاني 1974 ولغاية كانون الاول 2001 تقديرية</t>
  </si>
  <si>
    <t>المعدلات الشهرية لسعر صرف الدينار العراقي تجاه الدولار الامريكي في اسواق العراق للمدة ( كانون الثاني /1974 - تموز/2023 )</t>
  </si>
  <si>
    <t xml:space="preserve">بتاريخ 6/8/2023 وبتوجيه من السيد رئيس الوزراء والسيد محافظ البنك المركزي العراقي يكون سعر صرف النافذة هو المعلن وتلغى جميع المنصات </t>
  </si>
  <si>
    <t>اي ان سعر السوق هو 1320</t>
  </si>
  <si>
    <t>و السعر الاساس هو 1300</t>
  </si>
  <si>
    <t>المعدلات الشهرية لسعر صرف الدينار العراقي تجاه الدولار الامريكي في اسواق العراق للمدة ( كانون الثاني /2004 - تموز/2023 )</t>
  </si>
  <si>
    <t>Monthly exchange rates for Iraqi Dinar Per USD in in Iraq markets for the period (Jan. 2004-Jul. 2023)</t>
  </si>
  <si>
    <t>Monthly exchange rates for Iraqi Dinar Per USD in in Iraq markets for the period (Jan. 1974 -Jul. 2023)</t>
  </si>
  <si>
    <t>و سعر النافذة هو 1310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</si>
</sst>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5" x14ac:knownFonts="1">
    <font>
      <sz val="11"/>
      <color theme="1"/>
      <name val="Calibri"/>
      <family val="2"/>
      <scheme val="minor"/>
    </font>
    <font>
      <b/>
      <sz val="16"/>
      <name val="Simplified Arabic"/>
      <family val="1"/>
    </font>
    <font>
      <b/>
      <sz val="12"/>
      <name val="Simplified Arabic"/>
      <family val="1"/>
    </font>
    <font>
      <b/>
      <sz val="14"/>
      <name val="Simplified Arabic"/>
      <family val="1"/>
    </font>
    <font>
      <sz val="10"/>
      <name val="Arial"/>
      <family val="2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 Light"/>
      <family val="1"/>
      <scheme val="major"/>
    </font>
    <font>
      <b/>
      <sz val="14"/>
      <name val="Calibri Light"/>
      <family val="1"/>
      <scheme val="major"/>
    </font>
    <font>
      <b/>
      <sz val="10"/>
      <name val="Times New Roman"/>
      <family val="1"/>
    </font>
    <font>
      <b/>
      <sz val="10"/>
      <name val="Simplified Arabic"/>
      <family val="1"/>
    </font>
    <font>
      <b/>
      <sz val="11"/>
      <name val="Simplified Arabic"/>
      <family val="1"/>
    </font>
    <font>
      <b/>
      <sz val="8"/>
      <color indexed="81"/>
      <name val="Tahoma"/>
      <family val="2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Simplified Arabic"/>
      <family val="1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name val="Arial"/>
      <family val="2"/>
    </font>
    <font>
      <b/>
      <sz val="16"/>
      <color theme="1"/>
      <name val="Calibri"/>
      <family val="2"/>
      <scheme val="minor"/>
    </font>
    <font>
      <sz val="14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>
      <alignment readingOrder="2"/>
    </xf>
  </cellStyleXfs>
  <cellXfs count="245">
    <xf numFmtId="0" fontId="0" fillId="0" borderId="0" xfId="0"/>
    <xf numFmtId="0" fontId="2" fillId="0" borderId="0" xfId="0" applyFont="1"/>
    <xf numFmtId="0" fontId="3" fillId="0" borderId="5" xfId="0" applyFont="1" applyBorder="1" applyAlignment="1">
      <alignment horizontal="center" readingOrder="1"/>
    </xf>
    <xf numFmtId="0" fontId="5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1" applyFont="1" applyBorder="1" applyAlignment="1">
      <alignment horizontal="center" readingOrder="1"/>
    </xf>
    <xf numFmtId="0" fontId="2" fillId="0" borderId="4" xfId="0" applyFont="1" applyBorder="1" applyAlignment="1">
      <alignment horizontal="center"/>
    </xf>
    <xf numFmtId="0" fontId="2" fillId="0" borderId="4" xfId="1" applyFont="1" applyBorder="1" applyAlignment="1">
      <alignment horizontal="center" readingOrder="1"/>
    </xf>
    <xf numFmtId="0" fontId="2" fillId="0" borderId="5" xfId="0" applyFont="1" applyBorder="1" applyAlignment="1">
      <alignment horizontal="center"/>
    </xf>
    <xf numFmtId="0" fontId="2" fillId="0" borderId="5" xfId="1" applyFont="1" applyBorder="1" applyAlignment="1">
      <alignment horizontal="center" readingOrder="1"/>
    </xf>
    <xf numFmtId="0" fontId="3" fillId="0" borderId="0" xfId="0" applyFont="1" applyAlignment="1">
      <alignment readingOrder="1"/>
    </xf>
    <xf numFmtId="0" fontId="2" fillId="4" borderId="2" xfId="0" applyFont="1" applyFill="1" applyBorder="1" applyAlignment="1">
      <alignment horizontal="center"/>
    </xf>
    <xf numFmtId="1" fontId="2" fillId="0" borderId="0" xfId="0" applyNumberFormat="1" applyFont="1"/>
    <xf numFmtId="0" fontId="2" fillId="2" borderId="16" xfId="0" applyFont="1" applyFill="1" applyBorder="1" applyAlignment="1">
      <alignment horizontal="center"/>
    </xf>
    <xf numFmtId="1" fontId="2" fillId="2" borderId="16" xfId="1" applyNumberFormat="1" applyFont="1" applyFill="1" applyBorder="1" applyAlignment="1">
      <alignment horizontal="center" readingOrder="1"/>
    </xf>
    <xf numFmtId="1" fontId="2" fillId="2" borderId="0" xfId="0" applyNumberFormat="1" applyFont="1" applyFill="1"/>
    <xf numFmtId="0" fontId="2" fillId="2" borderId="0" xfId="0" applyFont="1" applyFill="1"/>
    <xf numFmtId="0" fontId="0" fillId="2" borderId="0" xfId="0" applyFill="1"/>
    <xf numFmtId="0" fontId="2" fillId="0" borderId="3" xfId="0" applyFont="1" applyBorder="1" applyAlignment="1">
      <alignment horizontal="center" readingOrder="1"/>
    </xf>
    <xf numFmtId="1" fontId="2" fillId="0" borderId="3" xfId="0" applyNumberFormat="1" applyFont="1" applyBorder="1" applyAlignment="1">
      <alignment horizontal="center" readingOrder="1"/>
    </xf>
    <xf numFmtId="0" fontId="2" fillId="0" borderId="4" xfId="0" applyFont="1" applyBorder="1" applyAlignment="1">
      <alignment horizontal="center" readingOrder="1"/>
    </xf>
    <xf numFmtId="1" fontId="2" fillId="0" borderId="4" xfId="0" applyNumberFormat="1" applyFont="1" applyBorder="1" applyAlignment="1">
      <alignment horizontal="center" readingOrder="1"/>
    </xf>
    <xf numFmtId="0" fontId="2" fillId="0" borderId="5" xfId="0" applyFont="1" applyBorder="1" applyAlignment="1">
      <alignment horizontal="center" readingOrder="1"/>
    </xf>
    <xf numFmtId="0" fontId="2" fillId="4" borderId="2" xfId="0" applyFont="1" applyFill="1" applyBorder="1" applyAlignment="1">
      <alignment horizontal="center" readingOrder="1"/>
    </xf>
    <xf numFmtId="0" fontId="2" fillId="0" borderId="6" xfId="0" applyFont="1" applyBorder="1" applyAlignment="1">
      <alignment horizontal="center" readingOrder="1"/>
    </xf>
    <xf numFmtId="0" fontId="2" fillId="0" borderId="10" xfId="0" applyFont="1" applyBorder="1" applyAlignment="1">
      <alignment horizontal="center" readingOrder="1"/>
    </xf>
    <xf numFmtId="0" fontId="2" fillId="0" borderId="11" xfId="0" applyFont="1" applyBorder="1" applyAlignment="1">
      <alignment horizontal="center" readingOrder="1"/>
    </xf>
    <xf numFmtId="0" fontId="2" fillId="2" borderId="18" xfId="0" applyFont="1" applyFill="1" applyBorder="1" applyAlignment="1">
      <alignment horizontal="center" readingOrder="1"/>
    </xf>
    <xf numFmtId="0" fontId="2" fillId="2" borderId="20" xfId="0" applyFont="1" applyFill="1" applyBorder="1" applyAlignment="1">
      <alignment horizontal="center" readingOrder="1"/>
    </xf>
    <xf numFmtId="0" fontId="2" fillId="2" borderId="21" xfId="0" applyFont="1" applyFill="1" applyBorder="1" applyAlignment="1">
      <alignment horizontal="center" vertical="center" readingOrder="1"/>
    </xf>
    <xf numFmtId="0" fontId="11" fillId="2" borderId="13" xfId="0" applyFont="1" applyFill="1" applyBorder="1" applyAlignment="1">
      <alignment horizontal="center" readingOrder="1"/>
    </xf>
    <xf numFmtId="0" fontId="2" fillId="2" borderId="22" xfId="0" applyFont="1" applyFill="1" applyBorder="1" applyAlignment="1">
      <alignment horizontal="center" vertical="center" readingOrder="1"/>
    </xf>
    <xf numFmtId="0" fontId="0" fillId="3" borderId="0" xfId="0" applyFill="1"/>
    <xf numFmtId="0" fontId="2" fillId="4" borderId="3" xfId="0" applyFont="1" applyFill="1" applyBorder="1" applyAlignment="1">
      <alignment horizontal="center"/>
    </xf>
    <xf numFmtId="1" fontId="2" fillId="0" borderId="3" xfId="1" applyNumberFormat="1" applyFont="1" applyBorder="1" applyAlignment="1">
      <alignment horizontal="center" readingOrder="1"/>
    </xf>
    <xf numFmtId="1" fontId="2" fillId="0" borderId="24" xfId="1" applyNumberFormat="1" applyFont="1" applyBorder="1" applyAlignment="1">
      <alignment horizontal="center" readingOrder="1"/>
    </xf>
    <xf numFmtId="1" fontId="2" fillId="0" borderId="14" xfId="0" applyNumberFormat="1" applyFont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1" fontId="2" fillId="0" borderId="15" xfId="0" applyNumberFormat="1" applyFont="1" applyBorder="1" applyAlignment="1">
      <alignment horizontal="center" readingOrder="1"/>
    </xf>
    <xf numFmtId="0" fontId="2" fillId="0" borderId="15" xfId="0" applyFont="1" applyBorder="1" applyAlignment="1">
      <alignment horizontal="center" readingOrder="1"/>
    </xf>
    <xf numFmtId="1" fontId="2" fillId="0" borderId="15" xfId="0" applyNumberFormat="1" applyFont="1" applyBorder="1" applyAlignment="1">
      <alignment horizontal="center"/>
    </xf>
    <xf numFmtId="1" fontId="0" fillId="0" borderId="0" xfId="0" applyNumberFormat="1"/>
    <xf numFmtId="0" fontId="14" fillId="0" borderId="0" xfId="0" applyFont="1"/>
    <xf numFmtId="0" fontId="2" fillId="4" borderId="25" xfId="0" applyFont="1" applyFill="1" applyBorder="1" applyAlignment="1">
      <alignment horizontal="center"/>
    </xf>
    <xf numFmtId="16" fontId="2" fillId="0" borderId="4" xfId="0" applyNumberFormat="1" applyFont="1" applyBorder="1" applyAlignment="1">
      <alignment horizontal="center" readingOrder="1"/>
    </xf>
    <xf numFmtId="0" fontId="2" fillId="0" borderId="0" xfId="0" applyFont="1" applyAlignment="1">
      <alignment readingOrder="1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 readingOrder="2"/>
    </xf>
    <xf numFmtId="1" fontId="2" fillId="0" borderId="5" xfId="0" applyNumberFormat="1" applyFont="1" applyBorder="1" applyAlignment="1">
      <alignment horizontal="center" readingOrder="1"/>
    </xf>
    <xf numFmtId="0" fontId="2" fillId="0" borderId="13" xfId="0" applyFont="1" applyBorder="1" applyAlignment="1">
      <alignment horizontal="center" readingOrder="1"/>
    </xf>
    <xf numFmtId="1" fontId="2" fillId="0" borderId="6" xfId="0" applyNumberFormat="1" applyFont="1" applyBorder="1" applyAlignment="1">
      <alignment horizontal="center" readingOrder="1"/>
    </xf>
    <xf numFmtId="165" fontId="2" fillId="0" borderId="0" xfId="0" applyNumberFormat="1" applyFont="1"/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 readingOrder="1"/>
    </xf>
    <xf numFmtId="1" fontId="2" fillId="0" borderId="0" xfId="0" applyNumberFormat="1" applyFont="1" applyAlignment="1">
      <alignment horizontal="center" readingOrder="1"/>
    </xf>
    <xf numFmtId="0" fontId="2" fillId="4" borderId="2" xfId="0" applyFont="1" applyFill="1" applyBorder="1"/>
    <xf numFmtId="0" fontId="2" fillId="4" borderId="23" xfId="0" applyFont="1" applyFill="1" applyBorder="1" applyAlignment="1">
      <alignment horizontal="center" readingOrder="1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3" xfId="0" applyFont="1" applyFill="1" applyBorder="1" applyAlignment="1">
      <alignment horizontal="center" vertical="center" readingOrder="1"/>
    </xf>
    <xf numFmtId="0" fontId="16" fillId="0" borderId="3" xfId="0" applyFont="1" applyBorder="1" applyAlignment="1">
      <alignment horizontal="center" vertical="center" readingOrder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164" fontId="16" fillId="0" borderId="4" xfId="0" applyNumberFormat="1" applyFont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center" vertical="center" wrapText="1"/>
    </xf>
    <xf numFmtId="164" fontId="16" fillId="0" borderId="0" xfId="0" applyNumberFormat="1" applyFont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64" fontId="16" fillId="0" borderId="12" xfId="0" applyNumberFormat="1" applyFont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/>
    </xf>
    <xf numFmtId="0" fontId="19" fillId="0" borderId="0" xfId="0" applyFont="1"/>
    <xf numFmtId="0" fontId="19" fillId="0" borderId="28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19" fillId="0" borderId="0" xfId="0" applyFont="1" applyAlignment="1">
      <alignment horizontal="center"/>
    </xf>
    <xf numFmtId="1" fontId="19" fillId="0" borderId="28" xfId="0" applyNumberFormat="1" applyFont="1" applyBorder="1" applyAlignment="1">
      <alignment horizontal="center"/>
    </xf>
    <xf numFmtId="1" fontId="19" fillId="0" borderId="30" xfId="0" applyNumberFormat="1" applyFont="1" applyBorder="1" applyAlignment="1">
      <alignment horizontal="center"/>
    </xf>
    <xf numFmtId="1" fontId="19" fillId="0" borderId="0" xfId="0" applyNumberFormat="1" applyFont="1"/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1" fontId="19" fillId="0" borderId="33" xfId="0" applyNumberFormat="1" applyFont="1" applyBorder="1" applyAlignment="1">
      <alignment horizontal="center"/>
    </xf>
    <xf numFmtId="1" fontId="19" fillId="0" borderId="34" xfId="0" applyNumberFormat="1" applyFont="1" applyBorder="1" applyAlignment="1">
      <alignment horizontal="center"/>
    </xf>
    <xf numFmtId="1" fontId="19" fillId="0" borderId="35" xfId="0" applyNumberFormat="1" applyFont="1" applyBorder="1" applyAlignment="1">
      <alignment horizontal="center"/>
    </xf>
    <xf numFmtId="0" fontId="4" fillId="0" borderId="8" xfId="0" applyFont="1" applyBorder="1"/>
    <xf numFmtId="164" fontId="16" fillId="0" borderId="3" xfId="0" applyNumberFormat="1" applyFont="1" applyBorder="1" applyAlignment="1">
      <alignment horizontal="center" vertical="center" wrapText="1"/>
    </xf>
    <xf numFmtId="1" fontId="2" fillId="0" borderId="30" xfId="0" applyNumberFormat="1" applyFont="1" applyBorder="1" applyAlignment="1">
      <alignment horizontal="center" readingOrder="1"/>
    </xf>
    <xf numFmtId="0" fontId="2" fillId="4" borderId="36" xfId="0" applyFont="1" applyFill="1" applyBorder="1" applyAlignment="1">
      <alignment horizontal="center"/>
    </xf>
    <xf numFmtId="0" fontId="19" fillId="0" borderId="37" xfId="0" applyFont="1" applyBorder="1" applyAlignment="1">
      <alignment horizontal="center"/>
    </xf>
    <xf numFmtId="0" fontId="19" fillId="0" borderId="38" xfId="0" applyFont="1" applyBorder="1" applyAlignment="1">
      <alignment horizontal="center"/>
    </xf>
    <xf numFmtId="1" fontId="19" fillId="0" borderId="38" xfId="0" applyNumberFormat="1" applyFont="1" applyBorder="1" applyAlignment="1">
      <alignment horizontal="center"/>
    </xf>
    <xf numFmtId="1" fontId="19" fillId="0" borderId="39" xfId="0" applyNumberFormat="1" applyFont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1" fillId="0" borderId="0" xfId="0" applyFont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left"/>
    </xf>
    <xf numFmtId="0" fontId="10" fillId="4" borderId="15" xfId="0" applyFont="1" applyFill="1" applyBorder="1" applyAlignment="1">
      <alignment horizontal="left"/>
    </xf>
    <xf numFmtId="0" fontId="10" fillId="4" borderId="14" xfId="0" applyFont="1" applyFill="1" applyBorder="1" applyAlignment="1">
      <alignment horizontal="left"/>
    </xf>
    <xf numFmtId="0" fontId="10" fillId="4" borderId="17" xfId="0" applyFont="1" applyFill="1" applyBorder="1" applyAlignment="1">
      <alignment horizontal="left"/>
    </xf>
    <xf numFmtId="0" fontId="10" fillId="4" borderId="19" xfId="0" applyFont="1" applyFill="1" applyBorder="1" applyAlignment="1">
      <alignment horizontal="left"/>
    </xf>
    <xf numFmtId="0" fontId="2" fillId="4" borderId="5" xfId="0" applyFont="1" applyFill="1" applyBorder="1"/>
    <xf numFmtId="0" fontId="2" fillId="4" borderId="5" xfId="0" applyFont="1" applyFill="1" applyBorder="1" applyAlignment="1">
      <alignment horizontal="center" readingOrder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 readingOrder="1"/>
    </xf>
    <xf numFmtId="0" fontId="16" fillId="4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 readingOrder="1"/>
    </xf>
    <xf numFmtId="0" fontId="16" fillId="2" borderId="4" xfId="0" applyFont="1" applyFill="1" applyBorder="1" applyAlignment="1">
      <alignment horizontal="center" vertical="center" readingOrder="1"/>
    </xf>
    <xf numFmtId="1" fontId="16" fillId="0" borderId="4" xfId="0" applyNumberFormat="1" applyFont="1" applyBorder="1" applyAlignment="1">
      <alignment horizontal="center" vertical="center" readingOrder="1"/>
    </xf>
    <xf numFmtId="0" fontId="16" fillId="4" borderId="5" xfId="0" applyFont="1" applyFill="1" applyBorder="1" applyAlignment="1">
      <alignment horizontal="center" vertical="center"/>
    </xf>
    <xf numFmtId="1" fontId="16" fillId="0" borderId="5" xfId="0" applyNumberFormat="1" applyFont="1" applyBorder="1" applyAlignment="1">
      <alignment horizontal="center" vertical="center" readingOrder="1"/>
    </xf>
    <xf numFmtId="0" fontId="16" fillId="0" borderId="5" xfId="0" applyFont="1" applyBorder="1" applyAlignment="1">
      <alignment horizontal="center" vertical="center" readingOrder="1"/>
    </xf>
    <xf numFmtId="0" fontId="16" fillId="2" borderId="5" xfId="0" applyFont="1" applyFill="1" applyBorder="1" applyAlignment="1">
      <alignment horizontal="center" vertical="center" readingOrder="1"/>
    </xf>
    <xf numFmtId="1" fontId="16" fillId="2" borderId="3" xfId="0" applyNumberFormat="1" applyFont="1" applyFill="1" applyBorder="1" applyAlignment="1">
      <alignment horizontal="center" vertical="center" readingOrder="1"/>
    </xf>
    <xf numFmtId="1" fontId="16" fillId="2" borderId="4" xfId="0" applyNumberFormat="1" applyFont="1" applyFill="1" applyBorder="1" applyAlignment="1">
      <alignment horizontal="center" vertical="center" readingOrder="1"/>
    </xf>
    <xf numFmtId="0" fontId="16" fillId="0" borderId="5" xfId="1" applyFont="1" applyBorder="1" applyAlignment="1">
      <alignment horizontal="center" vertical="center" readingOrder="1"/>
    </xf>
    <xf numFmtId="1" fontId="16" fillId="2" borderId="5" xfId="0" applyNumberFormat="1" applyFont="1" applyFill="1" applyBorder="1" applyAlignment="1">
      <alignment horizontal="center" vertical="center" readingOrder="1"/>
    </xf>
    <xf numFmtId="0" fontId="16" fillId="0" borderId="4" xfId="1" applyFont="1" applyBorder="1" applyAlignment="1">
      <alignment horizontal="center" vertical="center" readingOrder="1"/>
    </xf>
    <xf numFmtId="0" fontId="16" fillId="0" borderId="7" xfId="0" applyFont="1" applyBorder="1" applyAlignment="1">
      <alignment horizontal="center" vertical="center" readingOrder="1"/>
    </xf>
    <xf numFmtId="0" fontId="16" fillId="2" borderId="7" xfId="0" applyFont="1" applyFill="1" applyBorder="1" applyAlignment="1">
      <alignment horizontal="center" vertical="center" readingOrder="1"/>
    </xf>
    <xf numFmtId="0" fontId="16" fillId="0" borderId="5" xfId="0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readingOrder="1"/>
    </xf>
    <xf numFmtId="0" fontId="16" fillId="2" borderId="11" xfId="0" applyFont="1" applyFill="1" applyBorder="1" applyAlignment="1">
      <alignment horizontal="center" vertical="center" readingOrder="1"/>
    </xf>
    <xf numFmtId="1" fontId="16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readingOrder="1"/>
    </xf>
    <xf numFmtId="0" fontId="18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 readingOrder="2"/>
    </xf>
    <xf numFmtId="0" fontId="18" fillId="2" borderId="4" xfId="0" applyFont="1" applyFill="1" applyBorder="1" applyAlignment="1">
      <alignment horizontal="center" vertical="center"/>
    </xf>
    <xf numFmtId="164" fontId="18" fillId="0" borderId="4" xfId="0" applyNumberFormat="1" applyFont="1" applyBorder="1" applyAlignment="1">
      <alignment horizontal="center" vertical="center"/>
    </xf>
    <xf numFmtId="164" fontId="17" fillId="0" borderId="4" xfId="0" applyNumberFormat="1" applyFont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" fontId="16" fillId="0" borderId="4" xfId="0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" fontId="16" fillId="5" borderId="2" xfId="0" applyNumberFormat="1" applyFont="1" applyFill="1" applyBorder="1" applyAlignment="1">
      <alignment horizontal="center" vertical="center" readingOrder="1"/>
    </xf>
    <xf numFmtId="1" fontId="16" fillId="5" borderId="5" xfId="0" applyNumberFormat="1" applyFont="1" applyFill="1" applyBorder="1" applyAlignment="1">
      <alignment horizontal="center" vertical="center" readingOrder="1"/>
    </xf>
    <xf numFmtId="0" fontId="16" fillId="5" borderId="2" xfId="0" applyFont="1" applyFill="1" applyBorder="1" applyAlignment="1">
      <alignment horizontal="center" vertical="center" readingOrder="1"/>
    </xf>
    <xf numFmtId="1" fontId="16" fillId="5" borderId="2" xfId="0" applyNumberFormat="1" applyFont="1" applyFill="1" applyBorder="1" applyAlignment="1">
      <alignment horizontal="center" vertical="center"/>
    </xf>
    <xf numFmtId="164" fontId="16" fillId="5" borderId="2" xfId="0" applyNumberFormat="1" applyFont="1" applyFill="1" applyBorder="1" applyAlignment="1">
      <alignment horizontal="center" vertical="center" readingOrder="1"/>
    </xf>
    <xf numFmtId="164" fontId="18" fillId="5" borderId="2" xfId="0" applyNumberFormat="1" applyFont="1" applyFill="1" applyBorder="1" applyAlignment="1">
      <alignment horizontal="center" vertical="center"/>
    </xf>
    <xf numFmtId="164" fontId="16" fillId="5" borderId="2" xfId="0" applyNumberFormat="1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1" fontId="23" fillId="0" borderId="41" xfId="0" applyNumberFormat="1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1" fontId="20" fillId="0" borderId="18" xfId="0" applyNumberFormat="1" applyFont="1" applyBorder="1" applyAlignment="1">
      <alignment horizontal="center" vertical="center"/>
    </xf>
    <xf numFmtId="1" fontId="23" fillId="0" borderId="18" xfId="0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164" fontId="23" fillId="0" borderId="21" xfId="0" applyNumberFormat="1" applyFont="1" applyBorder="1" applyAlignment="1">
      <alignment horizontal="center" vertical="center"/>
    </xf>
    <xf numFmtId="164" fontId="23" fillId="0" borderId="18" xfId="0" applyNumberFormat="1" applyFont="1" applyBorder="1" applyAlignment="1">
      <alignment horizontal="center" vertical="center"/>
    </xf>
    <xf numFmtId="1" fontId="20" fillId="0" borderId="44" xfId="0" applyNumberFormat="1" applyFont="1" applyBorder="1" applyAlignment="1">
      <alignment horizontal="center" vertical="center"/>
    </xf>
    <xf numFmtId="1" fontId="23" fillId="0" borderId="44" xfId="0" applyNumberFormat="1" applyFont="1" applyBorder="1" applyAlignment="1">
      <alignment horizontal="center" vertical="center"/>
    </xf>
    <xf numFmtId="164" fontId="23" fillId="0" borderId="44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4" fontId="20" fillId="4" borderId="40" xfId="0" applyNumberFormat="1" applyFont="1" applyFill="1" applyBorder="1" applyAlignment="1">
      <alignment horizontal="center" vertical="center"/>
    </xf>
    <xf numFmtId="164" fontId="20" fillId="0" borderId="40" xfId="0" applyNumberFormat="1" applyFont="1" applyBorder="1" applyAlignment="1">
      <alignment horizontal="center" vertical="center"/>
    </xf>
    <xf numFmtId="164" fontId="20" fillId="0" borderId="41" xfId="0" applyNumberFormat="1" applyFont="1" applyBorder="1" applyAlignment="1">
      <alignment horizontal="center" vertical="center"/>
    </xf>
    <xf numFmtId="164" fontId="23" fillId="0" borderId="41" xfId="0" applyNumberFormat="1" applyFont="1" applyBorder="1" applyAlignment="1">
      <alignment horizontal="center" vertical="center"/>
    </xf>
    <xf numFmtId="164" fontId="20" fillId="4" borderId="17" xfId="0" applyNumberFormat="1" applyFont="1" applyFill="1" applyBorder="1" applyAlignment="1">
      <alignment horizontal="center" vertical="center"/>
    </xf>
    <xf numFmtId="164" fontId="20" fillId="0" borderId="17" xfId="0" applyNumberFormat="1" applyFont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164" fontId="20" fillId="4" borderId="43" xfId="0" applyNumberFormat="1" applyFont="1" applyFill="1" applyBorder="1" applyAlignment="1">
      <alignment horizontal="center" vertical="center"/>
    </xf>
    <xf numFmtId="164" fontId="20" fillId="0" borderId="43" xfId="0" applyNumberFormat="1" applyFont="1" applyBorder="1" applyAlignment="1">
      <alignment horizontal="center" vertical="center"/>
    </xf>
    <xf numFmtId="164" fontId="20" fillId="0" borderId="44" xfId="0" applyNumberFormat="1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3" fillId="0" borderId="0" xfId="0" applyFont="1"/>
    <xf numFmtId="1" fontId="2" fillId="5" borderId="2" xfId="0" applyNumberFormat="1" applyFont="1" applyFill="1" applyBorder="1" applyAlignment="1">
      <alignment horizontal="center" readingOrder="1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 readingOrder="1"/>
    </xf>
    <xf numFmtId="0" fontId="20" fillId="5" borderId="2" xfId="0" applyFont="1" applyFill="1" applyBorder="1" applyAlignment="1">
      <alignment horizontal="center" vertical="center"/>
    </xf>
    <xf numFmtId="164" fontId="20" fillId="5" borderId="2" xfId="0" applyNumberFormat="1" applyFont="1" applyFill="1" applyBorder="1" applyAlignment="1">
      <alignment horizontal="center" vertical="center"/>
    </xf>
    <xf numFmtId="1" fontId="20" fillId="5" borderId="2" xfId="0" applyNumberFormat="1" applyFont="1" applyFill="1" applyBorder="1" applyAlignment="1">
      <alignment horizontal="center" vertical="center"/>
    </xf>
    <xf numFmtId="1" fontId="23" fillId="5" borderId="2" xfId="0" applyNumberFormat="1" applyFont="1" applyFill="1" applyBorder="1" applyAlignment="1">
      <alignment horizontal="center" vertical="center"/>
    </xf>
    <xf numFmtId="164" fontId="23" fillId="5" borderId="2" xfId="0" applyNumberFormat="1" applyFont="1" applyFill="1" applyBorder="1" applyAlignment="1">
      <alignment horizontal="center" vertical="center"/>
    </xf>
    <xf numFmtId="164" fontId="16" fillId="2" borderId="4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readingOrder="1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right"/>
    </xf>
    <xf numFmtId="0" fontId="23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8" xfId="0" applyFont="1" applyBorder="1" applyAlignment="1">
      <alignment horizontal="right"/>
    </xf>
    <xf numFmtId="0" fontId="13" fillId="0" borderId="1" xfId="0" applyFont="1" applyBorder="1" applyAlignment="1">
      <alignment horizontal="center" vertical="top"/>
    </xf>
    <xf numFmtId="0" fontId="24" fillId="0" borderId="8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14" fillId="0" borderId="8" xfId="0" applyFont="1" applyBorder="1" applyAlignment="1">
      <alignment horizontal="right"/>
    </xf>
    <xf numFmtId="0" fontId="22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readingOrder="1"/>
    </xf>
    <xf numFmtId="0" fontId="2" fillId="0" borderId="1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readingOrder="1"/>
    </xf>
    <xf numFmtId="0" fontId="2" fillId="4" borderId="27" xfId="0" applyFont="1" applyFill="1" applyBorder="1" applyAlignment="1">
      <alignment horizontal="center" readingOrder="1"/>
    </xf>
    <xf numFmtId="0" fontId="9" fillId="0" borderId="8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readingOrder="1"/>
    </xf>
    <xf numFmtId="0" fontId="2" fillId="4" borderId="23" xfId="0" applyFont="1" applyFill="1" applyBorder="1" applyAlignment="1">
      <alignment horizontal="center" readingOrder="1"/>
    </xf>
    <xf numFmtId="0" fontId="2" fillId="4" borderId="26" xfId="0" applyFont="1" applyFill="1" applyBorder="1" applyAlignment="1">
      <alignment horizontal="center" readingOrder="1"/>
    </xf>
    <xf numFmtId="0" fontId="3" fillId="0" borderId="0" xfId="0" applyFont="1" applyAlignment="1">
      <alignment horizontal="center" vertical="center" readingOrder="1"/>
    </xf>
    <xf numFmtId="0" fontId="1" fillId="0" borderId="1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1" fontId="19" fillId="0" borderId="23" xfId="0" applyNumberFormat="1" applyFont="1" applyBorder="1" applyAlignment="1">
      <alignment horizontal="center"/>
    </xf>
    <xf numFmtId="1" fontId="19" fillId="0" borderId="26" xfId="0" applyNumberFormat="1" applyFont="1" applyBorder="1" applyAlignment="1">
      <alignment horizontal="center"/>
    </xf>
    <xf numFmtId="1" fontId="23" fillId="0" borderId="42" xfId="0" applyNumberFormat="1" applyFont="1" applyBorder="1" applyAlignment="1">
      <alignment horizontal="center" vertical="center"/>
    </xf>
    <xf numFmtId="1" fontId="23" fillId="0" borderId="21" xfId="0" applyNumberFormat="1" applyFont="1" applyBorder="1" applyAlignment="1">
      <alignment horizontal="center" vertical="center"/>
    </xf>
    <xf numFmtId="1" fontId="23" fillId="0" borderId="45" xfId="0" applyNumberFormat="1" applyFont="1" applyBorder="1" applyAlignment="1">
      <alignment horizontal="center" vertical="center"/>
    </xf>
    <xf numFmtId="0" fontId="16" fillId="6" borderId="0" xfId="0" applyFont="1" applyFill="1" applyAlignment="1">
      <alignment horizontal="right"/>
    </xf>
    <xf numFmtId="0" fontId="16" fillId="0" borderId="0" xfId="0" applyFont="1" applyAlignment="1">
      <alignment horizontal="right"/>
    </xf>
  </cellXfs>
  <cellStyles count="2">
    <cellStyle name="Normal" xfId="0" builtinId="0"/>
    <cellStyle name="Normal_25اسعار المزاد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72</xdr:row>
      <xdr:rowOff>0</xdr:rowOff>
    </xdr:from>
    <xdr:to>
      <xdr:col>0</xdr:col>
      <xdr:colOff>38100</xdr:colOff>
      <xdr:row>72</xdr:row>
      <xdr:rowOff>28575</xdr:rowOff>
    </xdr:to>
    <xdr:sp macro="" textlink="">
      <xdr:nvSpPr>
        <xdr:cNvPr id="2" name="Text Box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 flipH="1" flipV="1">
          <a:off x="0" y="19030950"/>
          <a:ext cx="381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72</xdr:row>
      <xdr:rowOff>47625</xdr:rowOff>
    </xdr:from>
    <xdr:to>
      <xdr:col>21</xdr:col>
      <xdr:colOff>542926</xdr:colOff>
      <xdr:row>72</xdr:row>
      <xdr:rowOff>266700</xdr:rowOff>
    </xdr:to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2030075" y="19078575"/>
          <a:ext cx="45339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71</xdr:row>
      <xdr:rowOff>209550</xdr:rowOff>
    </xdr:from>
    <xdr:to>
      <xdr:col>21</xdr:col>
      <xdr:colOff>542926</xdr:colOff>
      <xdr:row>72</xdr:row>
      <xdr:rowOff>28576</xdr:rowOff>
    </xdr:to>
    <xdr:sp macro="" textlink="">
      <xdr:nvSpPr>
        <xdr:cNvPr id="4" name="Text Box 1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2030075" y="18926175"/>
          <a:ext cx="45339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69</xdr:row>
      <xdr:rowOff>219075</xdr:rowOff>
    </xdr:from>
    <xdr:to>
      <xdr:col>21</xdr:col>
      <xdr:colOff>533401</xdr:colOff>
      <xdr:row>70</xdr:row>
      <xdr:rowOff>95249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2030075" y="17916525"/>
          <a:ext cx="45243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71</xdr:row>
      <xdr:rowOff>238125</xdr:rowOff>
    </xdr:from>
    <xdr:to>
      <xdr:col>21</xdr:col>
      <xdr:colOff>561976</xdr:colOff>
      <xdr:row>72</xdr:row>
      <xdr:rowOff>171451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2030075" y="18954750"/>
          <a:ext cx="45529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71</xdr:row>
      <xdr:rowOff>228600</xdr:rowOff>
    </xdr:from>
    <xdr:to>
      <xdr:col>21</xdr:col>
      <xdr:colOff>561976</xdr:colOff>
      <xdr:row>72</xdr:row>
      <xdr:rowOff>28576</xdr:rowOff>
    </xdr:to>
    <xdr:sp macro="" textlink="">
      <xdr:nvSpPr>
        <xdr:cNvPr id="7" name="Text Box 1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2030075" y="18945225"/>
          <a:ext cx="45529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71</xdr:row>
      <xdr:rowOff>238125</xdr:rowOff>
    </xdr:from>
    <xdr:to>
      <xdr:col>21</xdr:col>
      <xdr:colOff>571501</xdr:colOff>
      <xdr:row>72</xdr:row>
      <xdr:rowOff>180976</xdr:rowOff>
    </xdr:to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2030075" y="18954750"/>
          <a:ext cx="45624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72</xdr:row>
      <xdr:rowOff>0</xdr:rowOff>
    </xdr:from>
    <xdr:to>
      <xdr:col>13</xdr:col>
      <xdr:colOff>133350</xdr:colOff>
      <xdr:row>72</xdr:row>
      <xdr:rowOff>28575</xdr:rowOff>
    </xdr:to>
    <xdr:sp macro="" textlink="">
      <xdr:nvSpPr>
        <xdr:cNvPr id="9" name="Text 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 rot="5400000" flipV="1">
          <a:off x="12082462" y="18978563"/>
          <a:ext cx="285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280</xdr:row>
      <xdr:rowOff>28575</xdr:rowOff>
    </xdr:from>
    <xdr:to>
      <xdr:col>12</xdr:col>
      <xdr:colOff>144746</xdr:colOff>
      <xdr:row>280</xdr:row>
      <xdr:rowOff>66675</xdr:rowOff>
    </xdr:to>
    <xdr:sp macro="" textlink="">
      <xdr:nvSpPr>
        <xdr:cNvPr id="10" name="Text Box 2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2457450" y="72085200"/>
          <a:ext cx="45053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386</xdr:row>
      <xdr:rowOff>0</xdr:rowOff>
    </xdr:from>
    <xdr:to>
      <xdr:col>9</xdr:col>
      <xdr:colOff>74896</xdr:colOff>
      <xdr:row>386</xdr:row>
      <xdr:rowOff>400050</xdr:rowOff>
    </xdr:to>
    <xdr:sp macro="" textlink="">
      <xdr:nvSpPr>
        <xdr:cNvPr id="11" name="Text Box 3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2457450" y="99507675"/>
          <a:ext cx="30384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371475</xdr:colOff>
      <xdr:row>562</xdr:row>
      <xdr:rowOff>152400</xdr:rowOff>
    </xdr:from>
    <xdr:to>
      <xdr:col>14</xdr:col>
      <xdr:colOff>47626</xdr:colOff>
      <xdr:row>563</xdr:row>
      <xdr:rowOff>133349</xdr:rowOff>
    </xdr:to>
    <xdr:sp macro="" textlink="">
      <xdr:nvSpPr>
        <xdr:cNvPr id="12" name="Text Box 3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2401550" y="144837150"/>
          <a:ext cx="2857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809625</xdr:colOff>
      <xdr:row>562</xdr:row>
      <xdr:rowOff>95250</xdr:rowOff>
    </xdr:from>
    <xdr:to>
      <xdr:col>14</xdr:col>
      <xdr:colOff>76201</xdr:colOff>
      <xdr:row>562</xdr:row>
      <xdr:rowOff>123825</xdr:rowOff>
    </xdr:to>
    <xdr:sp macro="" textlink="">
      <xdr:nvSpPr>
        <xdr:cNvPr id="13" name="Text Box 3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 flipV="1">
          <a:off x="12830175" y="144780000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280</xdr:row>
      <xdr:rowOff>66675</xdr:rowOff>
    </xdr:from>
    <xdr:to>
      <xdr:col>13</xdr:col>
      <xdr:colOff>47625</xdr:colOff>
      <xdr:row>280</xdr:row>
      <xdr:rowOff>95250</xdr:rowOff>
    </xdr:to>
    <xdr:sp macro="" textlink="">
      <xdr:nvSpPr>
        <xdr:cNvPr id="14" name="Text Box 2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 flipV="1">
          <a:off x="12030075" y="7212330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72</xdr:row>
      <xdr:rowOff>0</xdr:rowOff>
    </xdr:from>
    <xdr:to>
      <xdr:col>13</xdr:col>
      <xdr:colOff>47625</xdr:colOff>
      <xdr:row>72</xdr:row>
      <xdr:rowOff>76200</xdr:rowOff>
    </xdr:to>
    <xdr:pic>
      <xdr:nvPicPr>
        <xdr:cNvPr id="15" name="Picture 6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3183350" flipH="1" flipV="1">
          <a:off x="12015788" y="19045237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257175</xdr:colOff>
      <xdr:row>37</xdr:row>
      <xdr:rowOff>38100</xdr:rowOff>
    </xdr:to>
    <xdr:sp macro="" textlink="">
      <xdr:nvSpPr>
        <xdr:cNvPr id="16" name="Text Box 1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2030075" y="10058400"/>
          <a:ext cx="2571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47625</xdr:colOff>
      <xdr:row>37</xdr:row>
      <xdr:rowOff>28575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2030075" y="1005840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38</xdr:row>
      <xdr:rowOff>104775</xdr:rowOff>
    </xdr:from>
    <xdr:to>
      <xdr:col>13</xdr:col>
      <xdr:colOff>38100</xdr:colOff>
      <xdr:row>38</xdr:row>
      <xdr:rowOff>152400</xdr:rowOff>
    </xdr:to>
    <xdr:sp macro="" textlink="">
      <xdr:nvSpPr>
        <xdr:cNvPr id="18" name="Text Box 2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 flipH="1">
          <a:off x="12030075" y="10410825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38100</xdr:colOff>
      <xdr:row>37</xdr:row>
      <xdr:rowOff>28575</xdr:rowOff>
    </xdr:to>
    <xdr:sp macro="" textlink="">
      <xdr:nvSpPr>
        <xdr:cNvPr id="19" name="Text Box 25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 flipH="1" flipV="1">
          <a:off x="0" y="10058400"/>
          <a:ext cx="381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38</xdr:row>
      <xdr:rowOff>123825</xdr:rowOff>
    </xdr:from>
    <xdr:to>
      <xdr:col>13</xdr:col>
      <xdr:colOff>38100</xdr:colOff>
      <xdr:row>38</xdr:row>
      <xdr:rowOff>152400</xdr:rowOff>
    </xdr:to>
    <xdr:sp macro="" textlink="">
      <xdr:nvSpPr>
        <xdr:cNvPr id="20" name="Text Box 3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 flipH="1" flipV="1">
          <a:off x="12030075" y="10429875"/>
          <a:ext cx="381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39</xdr:row>
      <xdr:rowOff>133350</xdr:rowOff>
    </xdr:from>
    <xdr:to>
      <xdr:col>13</xdr:col>
      <xdr:colOff>47625</xdr:colOff>
      <xdr:row>39</xdr:row>
      <xdr:rowOff>161925</xdr:rowOff>
    </xdr:to>
    <xdr:sp macro="" textlink="">
      <xdr:nvSpPr>
        <xdr:cNvPr id="21" name="Text Box 35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 flipH="1">
          <a:off x="12030075" y="106775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39</xdr:row>
      <xdr:rowOff>123825</xdr:rowOff>
    </xdr:from>
    <xdr:to>
      <xdr:col>13</xdr:col>
      <xdr:colOff>38100</xdr:colOff>
      <xdr:row>39</xdr:row>
      <xdr:rowOff>152400</xdr:rowOff>
    </xdr:to>
    <xdr:sp macro="" textlink="">
      <xdr:nvSpPr>
        <xdr:cNvPr id="22" name="Text Box 3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 rot="-2788146" flipH="1" flipV="1">
          <a:off x="12034837" y="10663238"/>
          <a:ext cx="285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37</xdr:row>
      <xdr:rowOff>133350</xdr:rowOff>
    </xdr:from>
    <xdr:to>
      <xdr:col>13</xdr:col>
      <xdr:colOff>38100</xdr:colOff>
      <xdr:row>37</xdr:row>
      <xdr:rowOff>180975</xdr:rowOff>
    </xdr:to>
    <xdr:sp macro="" textlink="">
      <xdr:nvSpPr>
        <xdr:cNvPr id="23" name="Text Box 3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 flipH="1" flipV="1">
          <a:off x="12030075" y="101917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35</xdr:row>
      <xdr:rowOff>123825</xdr:rowOff>
    </xdr:from>
    <xdr:to>
      <xdr:col>21</xdr:col>
      <xdr:colOff>542926</xdr:colOff>
      <xdr:row>36</xdr:row>
      <xdr:rowOff>190500</xdr:rowOff>
    </xdr:to>
    <xdr:sp macro="" textlink="">
      <xdr:nvSpPr>
        <xdr:cNvPr id="24" name="Text Box 1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12030075" y="9334500"/>
          <a:ext cx="45339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41</xdr:row>
      <xdr:rowOff>76200</xdr:rowOff>
    </xdr:from>
    <xdr:to>
      <xdr:col>13</xdr:col>
      <xdr:colOff>38100</xdr:colOff>
      <xdr:row>41</xdr:row>
      <xdr:rowOff>104775</xdr:rowOff>
    </xdr:to>
    <xdr:sp macro="" textlink="">
      <xdr:nvSpPr>
        <xdr:cNvPr id="25" name="Text Box 1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 flipH="1">
          <a:off x="12030075" y="11096625"/>
          <a:ext cx="381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133350</xdr:colOff>
      <xdr:row>37</xdr:row>
      <xdr:rowOff>28575</xdr:rowOff>
    </xdr:to>
    <xdr:sp macro="" textlink="">
      <xdr:nvSpPr>
        <xdr:cNvPr id="26" name="Text Box 1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 rot="5400000" flipV="1">
          <a:off x="12082462" y="10006013"/>
          <a:ext cx="285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4</xdr:row>
      <xdr:rowOff>104775</xdr:rowOff>
    </xdr:from>
    <xdr:to>
      <xdr:col>13</xdr:col>
      <xdr:colOff>38100</xdr:colOff>
      <xdr:row>4</xdr:row>
      <xdr:rowOff>161925</xdr:rowOff>
    </xdr:to>
    <xdr:sp macro="" textlink="">
      <xdr:nvSpPr>
        <xdr:cNvPr id="27" name="Text Box 1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 flipH="1">
          <a:off x="12030075" y="1676400"/>
          <a:ext cx="3810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104775</xdr:rowOff>
    </xdr:from>
    <xdr:to>
      <xdr:col>21</xdr:col>
      <xdr:colOff>542926</xdr:colOff>
      <xdr:row>2</xdr:row>
      <xdr:rowOff>371475</xdr:rowOff>
    </xdr:to>
    <xdr:sp macro="" textlink="">
      <xdr:nvSpPr>
        <xdr:cNvPr id="28" name="Text Box 2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12030075" y="1190625"/>
          <a:ext cx="45339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38100</xdr:colOff>
      <xdr:row>2</xdr:row>
      <xdr:rowOff>28575</xdr:rowOff>
    </xdr:to>
    <xdr:sp macro="" textlink="">
      <xdr:nvSpPr>
        <xdr:cNvPr id="29" name="Text Box 2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 flipH="1" flipV="1">
          <a:off x="0" y="1085850"/>
          <a:ext cx="381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104775</xdr:rowOff>
    </xdr:from>
    <xdr:to>
      <xdr:col>19</xdr:col>
      <xdr:colOff>257175</xdr:colOff>
      <xdr:row>2</xdr:row>
      <xdr:rowOff>333375</xdr:rowOff>
    </xdr:to>
    <xdr:sp macro="" textlink="">
      <xdr:nvSpPr>
        <xdr:cNvPr id="30" name="Text Box 35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12030075" y="1190625"/>
          <a:ext cx="30289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1</xdr:row>
      <xdr:rowOff>238125</xdr:rowOff>
    </xdr:from>
    <xdr:to>
      <xdr:col>21</xdr:col>
      <xdr:colOff>552451</xdr:colOff>
      <xdr:row>2</xdr:row>
      <xdr:rowOff>161926</xdr:rowOff>
    </xdr:to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12030075" y="1009650"/>
          <a:ext cx="45434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1</xdr:row>
      <xdr:rowOff>228600</xdr:rowOff>
    </xdr:from>
    <xdr:to>
      <xdr:col>21</xdr:col>
      <xdr:colOff>552451</xdr:colOff>
      <xdr:row>2</xdr:row>
      <xdr:rowOff>28576</xdr:rowOff>
    </xdr:to>
    <xdr:sp macro="" textlink="">
      <xdr:nvSpPr>
        <xdr:cNvPr id="32" name="Text Box 1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12030075" y="1000125"/>
          <a:ext cx="45434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1</xdr:row>
      <xdr:rowOff>238125</xdr:rowOff>
    </xdr:from>
    <xdr:to>
      <xdr:col>21</xdr:col>
      <xdr:colOff>561976</xdr:colOff>
      <xdr:row>2</xdr:row>
      <xdr:rowOff>180976</xdr:rowOff>
    </xdr:to>
    <xdr:sp macro="" textlink="">
      <xdr:nvSpPr>
        <xdr:cNvPr id="33" name="Text Box 1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12030075" y="1009650"/>
          <a:ext cx="45529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133350</xdr:colOff>
      <xdr:row>2</xdr:row>
      <xdr:rowOff>28575</xdr:rowOff>
    </xdr:to>
    <xdr:sp macro="" textlink="">
      <xdr:nvSpPr>
        <xdr:cNvPr id="34" name="Text Box 1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 rot="5400000" flipV="1">
          <a:off x="12082462" y="1033463"/>
          <a:ext cx="285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47625</xdr:colOff>
      <xdr:row>2</xdr:row>
      <xdr:rowOff>76200</xdr:rowOff>
    </xdr:to>
    <xdr:pic>
      <xdr:nvPicPr>
        <xdr:cNvPr id="35" name="Picture 6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3183350" flipH="1" flipV="1">
          <a:off x="12015788" y="1100137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8</xdr:col>
      <xdr:colOff>111125</xdr:colOff>
      <xdr:row>141</xdr:row>
      <xdr:rowOff>161925</xdr:rowOff>
    </xdr:to>
    <xdr:sp macro="" textlink="">
      <xdr:nvSpPr>
        <xdr:cNvPr id="36" name="Text Box 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476375" y="36661725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176</xdr:row>
      <xdr:rowOff>0</xdr:rowOff>
    </xdr:from>
    <xdr:to>
      <xdr:col>8</xdr:col>
      <xdr:colOff>111125</xdr:colOff>
      <xdr:row>176</xdr:row>
      <xdr:rowOff>161925</xdr:rowOff>
    </xdr:to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476375" y="45672375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211</xdr:row>
      <xdr:rowOff>0</xdr:rowOff>
    </xdr:from>
    <xdr:to>
      <xdr:col>8</xdr:col>
      <xdr:colOff>111125</xdr:colOff>
      <xdr:row>211</xdr:row>
      <xdr:rowOff>361950</xdr:rowOff>
    </xdr:to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476375" y="54644925"/>
          <a:ext cx="30194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246</xdr:row>
      <xdr:rowOff>0</xdr:rowOff>
    </xdr:from>
    <xdr:to>
      <xdr:col>8</xdr:col>
      <xdr:colOff>111125</xdr:colOff>
      <xdr:row>246</xdr:row>
      <xdr:rowOff>161925</xdr:rowOff>
    </xdr:to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476375" y="63617475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281</xdr:row>
      <xdr:rowOff>0</xdr:rowOff>
    </xdr:from>
    <xdr:to>
      <xdr:col>8</xdr:col>
      <xdr:colOff>111125</xdr:colOff>
      <xdr:row>281</xdr:row>
      <xdr:rowOff>161925</xdr:rowOff>
    </xdr:to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476375" y="72590025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351</xdr:row>
      <xdr:rowOff>0</xdr:rowOff>
    </xdr:from>
    <xdr:to>
      <xdr:col>8</xdr:col>
      <xdr:colOff>111125</xdr:colOff>
      <xdr:row>351</xdr:row>
      <xdr:rowOff>161925</xdr:rowOff>
    </xdr:to>
    <xdr:sp macro="" textlink="">
      <xdr:nvSpPr>
        <xdr:cNvPr id="41" name="Text Box 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476375" y="90535125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386</xdr:row>
      <xdr:rowOff>0</xdr:rowOff>
    </xdr:from>
    <xdr:to>
      <xdr:col>8</xdr:col>
      <xdr:colOff>111125</xdr:colOff>
      <xdr:row>386</xdr:row>
      <xdr:rowOff>161925</xdr:rowOff>
    </xdr:to>
    <xdr:sp macro="" textlink="">
      <xdr:nvSpPr>
        <xdr:cNvPr id="42" name="Text Box 4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476375" y="99507675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421</xdr:row>
      <xdr:rowOff>0</xdr:rowOff>
    </xdr:from>
    <xdr:to>
      <xdr:col>9</xdr:col>
      <xdr:colOff>74896</xdr:colOff>
      <xdr:row>421</xdr:row>
      <xdr:rowOff>371475</xdr:rowOff>
    </xdr:to>
    <xdr:sp macro="" textlink="">
      <xdr:nvSpPr>
        <xdr:cNvPr id="43" name="Text Box 3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457450" y="108480225"/>
          <a:ext cx="30384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421</xdr:row>
      <xdr:rowOff>0</xdr:rowOff>
    </xdr:from>
    <xdr:to>
      <xdr:col>8</xdr:col>
      <xdr:colOff>111125</xdr:colOff>
      <xdr:row>421</xdr:row>
      <xdr:rowOff>161925</xdr:rowOff>
    </xdr:to>
    <xdr:sp macro="" textlink="">
      <xdr:nvSpPr>
        <xdr:cNvPr id="44" name="Text Box 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476375" y="108480225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456</xdr:row>
      <xdr:rowOff>0</xdr:rowOff>
    </xdr:from>
    <xdr:to>
      <xdr:col>9</xdr:col>
      <xdr:colOff>74896</xdr:colOff>
      <xdr:row>456</xdr:row>
      <xdr:rowOff>400050</xdr:rowOff>
    </xdr:to>
    <xdr:sp macro="" textlink="">
      <xdr:nvSpPr>
        <xdr:cNvPr id="45" name="Text Box 3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2457450" y="117452775"/>
          <a:ext cx="30384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456</xdr:row>
      <xdr:rowOff>0</xdr:rowOff>
    </xdr:from>
    <xdr:to>
      <xdr:col>8</xdr:col>
      <xdr:colOff>111125</xdr:colOff>
      <xdr:row>456</xdr:row>
      <xdr:rowOff>161925</xdr:rowOff>
    </xdr:to>
    <xdr:sp macro="" textlink="">
      <xdr:nvSpPr>
        <xdr:cNvPr id="46" name="Text Box 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476375" y="117452775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491</xdr:row>
      <xdr:rowOff>0</xdr:rowOff>
    </xdr:from>
    <xdr:to>
      <xdr:col>9</xdr:col>
      <xdr:colOff>74896</xdr:colOff>
      <xdr:row>491</xdr:row>
      <xdr:rowOff>400050</xdr:rowOff>
    </xdr:to>
    <xdr:sp macro="" textlink="">
      <xdr:nvSpPr>
        <xdr:cNvPr id="47" name="Text Box 3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2457450" y="126425325"/>
          <a:ext cx="30384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491</xdr:row>
      <xdr:rowOff>0</xdr:rowOff>
    </xdr:from>
    <xdr:to>
      <xdr:col>8</xdr:col>
      <xdr:colOff>111125</xdr:colOff>
      <xdr:row>491</xdr:row>
      <xdr:rowOff>161925</xdr:rowOff>
    </xdr:to>
    <xdr:sp macro="" textlink="">
      <xdr:nvSpPr>
        <xdr:cNvPr id="48" name="Text Box 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1476375" y="126425325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315</xdr:row>
      <xdr:rowOff>28575</xdr:rowOff>
    </xdr:from>
    <xdr:to>
      <xdr:col>12</xdr:col>
      <xdr:colOff>144746</xdr:colOff>
      <xdr:row>315</xdr:row>
      <xdr:rowOff>66675</xdr:rowOff>
    </xdr:to>
    <xdr:sp macro="" textlink="">
      <xdr:nvSpPr>
        <xdr:cNvPr id="49" name="Text Box 2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2457450" y="81057750"/>
          <a:ext cx="45053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316</xdr:row>
      <xdr:rowOff>0</xdr:rowOff>
    </xdr:from>
    <xdr:to>
      <xdr:col>8</xdr:col>
      <xdr:colOff>111125</xdr:colOff>
      <xdr:row>316</xdr:row>
      <xdr:rowOff>161925</xdr:rowOff>
    </xdr:to>
    <xdr:sp macro="" textlink="">
      <xdr:nvSpPr>
        <xdr:cNvPr id="50" name="Text Box 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1476375" y="81562575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526</xdr:row>
      <xdr:rowOff>0</xdr:rowOff>
    </xdr:from>
    <xdr:to>
      <xdr:col>9</xdr:col>
      <xdr:colOff>74896</xdr:colOff>
      <xdr:row>526</xdr:row>
      <xdr:rowOff>400050</xdr:rowOff>
    </xdr:to>
    <xdr:sp macro="" textlink="">
      <xdr:nvSpPr>
        <xdr:cNvPr id="51" name="Text Box 3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2457450" y="135397875"/>
          <a:ext cx="30384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526</xdr:row>
      <xdr:rowOff>0</xdr:rowOff>
    </xdr:from>
    <xdr:to>
      <xdr:col>8</xdr:col>
      <xdr:colOff>111125</xdr:colOff>
      <xdr:row>526</xdr:row>
      <xdr:rowOff>161925</xdr:rowOff>
    </xdr:to>
    <xdr:sp macro="" textlink="">
      <xdr:nvSpPr>
        <xdr:cNvPr id="52" name="Text Box 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1476375" y="135397875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561</xdr:row>
      <xdr:rowOff>0</xdr:rowOff>
    </xdr:from>
    <xdr:to>
      <xdr:col>9</xdr:col>
      <xdr:colOff>74896</xdr:colOff>
      <xdr:row>561</xdr:row>
      <xdr:rowOff>400050</xdr:rowOff>
    </xdr:to>
    <xdr:sp macro="" textlink="">
      <xdr:nvSpPr>
        <xdr:cNvPr id="53" name="Text Box 3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2457450" y="144370425"/>
          <a:ext cx="30384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561</xdr:row>
      <xdr:rowOff>0</xdr:rowOff>
    </xdr:from>
    <xdr:to>
      <xdr:col>8</xdr:col>
      <xdr:colOff>111125</xdr:colOff>
      <xdr:row>561</xdr:row>
      <xdr:rowOff>161925</xdr:rowOff>
    </xdr:to>
    <xdr:sp macro="" textlink="">
      <xdr:nvSpPr>
        <xdr:cNvPr id="54" name="Text Box 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1476375" y="144370425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596</xdr:row>
      <xdr:rowOff>0</xdr:rowOff>
    </xdr:from>
    <xdr:to>
      <xdr:col>9</xdr:col>
      <xdr:colOff>74896</xdr:colOff>
      <xdr:row>597</xdr:row>
      <xdr:rowOff>28575</xdr:rowOff>
    </xdr:to>
    <xdr:sp macro="" textlink="">
      <xdr:nvSpPr>
        <xdr:cNvPr id="55" name="Text Box 3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2457450" y="157219650"/>
          <a:ext cx="30384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596</xdr:row>
      <xdr:rowOff>0</xdr:rowOff>
    </xdr:from>
    <xdr:to>
      <xdr:col>8</xdr:col>
      <xdr:colOff>111125</xdr:colOff>
      <xdr:row>596</xdr:row>
      <xdr:rowOff>161925</xdr:rowOff>
    </xdr:to>
    <xdr:sp macro="" textlink="">
      <xdr:nvSpPr>
        <xdr:cNvPr id="56" name="Text Box 4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1476375" y="157219650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631</xdr:row>
      <xdr:rowOff>161923</xdr:rowOff>
    </xdr:from>
    <xdr:to>
      <xdr:col>14</xdr:col>
      <xdr:colOff>45719</xdr:colOff>
      <xdr:row>631</xdr:row>
      <xdr:rowOff>207642</xdr:rowOff>
    </xdr:to>
    <xdr:sp macro="" textlink="">
      <xdr:nvSpPr>
        <xdr:cNvPr id="57" name="Text Box 3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 flipV="1">
          <a:off x="13213079" y="144370423"/>
          <a:ext cx="45719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631</xdr:row>
      <xdr:rowOff>0</xdr:rowOff>
    </xdr:from>
    <xdr:to>
      <xdr:col>8</xdr:col>
      <xdr:colOff>111125</xdr:colOff>
      <xdr:row>631</xdr:row>
      <xdr:rowOff>161925</xdr:rowOff>
    </xdr:to>
    <xdr:sp macro="" textlink="">
      <xdr:nvSpPr>
        <xdr:cNvPr id="58" name="Text Box 4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1476375" y="166382700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667</xdr:row>
      <xdr:rowOff>0</xdr:rowOff>
    </xdr:from>
    <xdr:to>
      <xdr:col>9</xdr:col>
      <xdr:colOff>74896</xdr:colOff>
      <xdr:row>668</xdr:row>
      <xdr:rowOff>28575</xdr:rowOff>
    </xdr:to>
    <xdr:sp macro="" textlink="">
      <xdr:nvSpPr>
        <xdr:cNvPr id="59" name="Text Box 3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2457450" y="175717200"/>
          <a:ext cx="30384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667</xdr:row>
      <xdr:rowOff>0</xdr:rowOff>
    </xdr:from>
    <xdr:to>
      <xdr:col>8</xdr:col>
      <xdr:colOff>111125</xdr:colOff>
      <xdr:row>667</xdr:row>
      <xdr:rowOff>161925</xdr:rowOff>
    </xdr:to>
    <xdr:sp macro="" textlink="">
      <xdr:nvSpPr>
        <xdr:cNvPr id="60" name="Text Box 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1476375" y="175717200"/>
          <a:ext cx="30194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0</xdr:colOff>
      <xdr:row>702</xdr:row>
      <xdr:rowOff>0</xdr:rowOff>
    </xdr:from>
    <xdr:ext cx="4711700" cy="466725"/>
    <xdr:sp macro="" textlink="">
      <xdr:nvSpPr>
        <xdr:cNvPr id="61" name="Text Box 3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3257550" y="301447200"/>
          <a:ext cx="47117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702</xdr:row>
      <xdr:rowOff>0</xdr:rowOff>
    </xdr:from>
    <xdr:ext cx="4740275" cy="161925"/>
    <xdr:sp macro="" textlink="">
      <xdr:nvSpPr>
        <xdr:cNvPr id="62" name="Text Box 4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1876425" y="301447200"/>
          <a:ext cx="47402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400050</xdr:colOff>
      <xdr:row>1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1</xdr:row>
      <xdr:rowOff>0</xdr:rowOff>
    </xdr:from>
    <xdr:to>
      <xdr:col>5</xdr:col>
      <xdr:colOff>295275</xdr:colOff>
      <xdr:row>1</xdr:row>
      <xdr:rowOff>142875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933450" y="533400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7</xdr:col>
      <xdr:colOff>400050</xdr:colOff>
      <xdr:row>1</xdr:row>
      <xdr:rowOff>142875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1</xdr:row>
      <xdr:rowOff>0</xdr:rowOff>
    </xdr:from>
    <xdr:to>
      <xdr:col>5</xdr:col>
      <xdr:colOff>295275</xdr:colOff>
      <xdr:row>1</xdr:row>
      <xdr:rowOff>95250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533400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7</xdr:col>
      <xdr:colOff>400050</xdr:colOff>
      <xdr:row>1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7</xdr:col>
      <xdr:colOff>400050</xdr:colOff>
      <xdr:row>1</xdr:row>
      <xdr:rowOff>152400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1</xdr:row>
      <xdr:rowOff>0</xdr:rowOff>
    </xdr:from>
    <xdr:to>
      <xdr:col>5</xdr:col>
      <xdr:colOff>295275</xdr:colOff>
      <xdr:row>1</xdr:row>
      <xdr:rowOff>95250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933450" y="533400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9</xdr:col>
      <xdr:colOff>400050</xdr:colOff>
      <xdr:row>1</xdr:row>
      <xdr:rowOff>142875</xdr:rowOff>
    </xdr:to>
    <xdr:sp macro="" textlink="">
      <xdr:nvSpPr>
        <xdr:cNvPr id="9" name="Text Box 1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2476500" y="533400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7</xdr:col>
      <xdr:colOff>400050</xdr:colOff>
      <xdr:row>1</xdr:row>
      <xdr:rowOff>152400</xdr:rowOff>
    </xdr:to>
    <xdr:sp macro="" textlink="">
      <xdr:nvSpPr>
        <xdr:cNvPr id="10" name="Text Box 1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7</xdr:col>
      <xdr:colOff>400050</xdr:colOff>
      <xdr:row>1</xdr:row>
      <xdr:rowOff>152400</xdr:rowOff>
    </xdr:to>
    <xdr:sp macro="" textlink="">
      <xdr:nvSpPr>
        <xdr:cNvPr id="11" name="Text Box 15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5</xdr:col>
      <xdr:colOff>304800</xdr:colOff>
      <xdr:row>1</xdr:row>
      <xdr:rowOff>95250</xdr:rowOff>
    </xdr:to>
    <xdr:sp macro="" textlink="">
      <xdr:nvSpPr>
        <xdr:cNvPr id="12" name="Text Box 16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942975" y="533400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139</xdr:row>
      <xdr:rowOff>104775</xdr:rowOff>
    </xdr:from>
    <xdr:to>
      <xdr:col>9</xdr:col>
      <xdr:colOff>66675</xdr:colOff>
      <xdr:row>140</xdr:row>
      <xdr:rowOff>85725</xdr:rowOff>
    </xdr:to>
    <xdr:sp macro="" textlink="">
      <xdr:nvSpPr>
        <xdr:cNvPr id="13" name="Text Box 18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1581150" y="44157900"/>
          <a:ext cx="4914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123825</xdr:colOff>
      <xdr:row>171</xdr:row>
      <xdr:rowOff>28575</xdr:rowOff>
    </xdr:from>
    <xdr:to>
      <xdr:col>7</xdr:col>
      <xdr:colOff>523875</xdr:colOff>
      <xdr:row>172</xdr:row>
      <xdr:rowOff>0</xdr:rowOff>
    </xdr:to>
    <xdr:sp macro="" textlink="">
      <xdr:nvSpPr>
        <xdr:cNvPr id="14" name="Text Box 20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1038225" y="34804350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647700</xdr:colOff>
      <xdr:row>173</xdr:row>
      <xdr:rowOff>238125</xdr:rowOff>
    </xdr:from>
    <xdr:to>
      <xdr:col>7</xdr:col>
      <xdr:colOff>571500</xdr:colOff>
      <xdr:row>174</xdr:row>
      <xdr:rowOff>219075</xdr:rowOff>
    </xdr:to>
    <xdr:sp macro="" textlink="">
      <xdr:nvSpPr>
        <xdr:cNvPr id="15" name="Text Box 2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2286000" y="55016400"/>
          <a:ext cx="34956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7</xdr:col>
      <xdr:colOff>400050</xdr:colOff>
      <xdr:row>205</xdr:row>
      <xdr:rowOff>161925</xdr:rowOff>
    </xdr:to>
    <xdr:sp macro="" textlink="">
      <xdr:nvSpPr>
        <xdr:cNvPr id="16" name="Text Box 2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914400" y="416147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205</xdr:row>
      <xdr:rowOff>0</xdr:rowOff>
    </xdr:from>
    <xdr:to>
      <xdr:col>6</xdr:col>
      <xdr:colOff>400050</xdr:colOff>
      <xdr:row>205</xdr:row>
      <xdr:rowOff>76200</xdr:rowOff>
    </xdr:to>
    <xdr:sp macro="" textlink="">
      <xdr:nvSpPr>
        <xdr:cNvPr id="17" name="Text Box 23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1724025" y="416147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239</xdr:row>
      <xdr:rowOff>0</xdr:rowOff>
    </xdr:from>
    <xdr:to>
      <xdr:col>9</xdr:col>
      <xdr:colOff>19050</xdr:colOff>
      <xdr:row>239</xdr:row>
      <xdr:rowOff>161925</xdr:rowOff>
    </xdr:to>
    <xdr:sp macro="" textlink="">
      <xdr:nvSpPr>
        <xdr:cNvPr id="18" name="Text Box 24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1914525" y="48453675"/>
          <a:ext cx="401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239</xdr:row>
      <xdr:rowOff>0</xdr:rowOff>
    </xdr:from>
    <xdr:to>
      <xdr:col>6</xdr:col>
      <xdr:colOff>400050</xdr:colOff>
      <xdr:row>239</xdr:row>
      <xdr:rowOff>76200</xdr:rowOff>
    </xdr:to>
    <xdr:sp macro="" textlink="">
      <xdr:nvSpPr>
        <xdr:cNvPr id="19" name="Text Box 25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1724025" y="484536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342900</xdr:colOff>
      <xdr:row>273</xdr:row>
      <xdr:rowOff>0</xdr:rowOff>
    </xdr:from>
    <xdr:to>
      <xdr:col>9</xdr:col>
      <xdr:colOff>85725</xdr:colOff>
      <xdr:row>273</xdr:row>
      <xdr:rowOff>104775</xdr:rowOff>
    </xdr:to>
    <xdr:sp macro="" textlink="">
      <xdr:nvSpPr>
        <xdr:cNvPr id="20" name="Text Box 26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1981200" y="55292625"/>
          <a:ext cx="40100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273</xdr:row>
      <xdr:rowOff>0</xdr:rowOff>
    </xdr:from>
    <xdr:to>
      <xdr:col>6</xdr:col>
      <xdr:colOff>400050</xdr:colOff>
      <xdr:row>273</xdr:row>
      <xdr:rowOff>76200</xdr:rowOff>
    </xdr:to>
    <xdr:sp macro="" textlink="">
      <xdr:nvSpPr>
        <xdr:cNvPr id="21" name="Text Box 27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1724025" y="552926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104775</xdr:colOff>
      <xdr:row>314</xdr:row>
      <xdr:rowOff>123825</xdr:rowOff>
    </xdr:from>
    <xdr:to>
      <xdr:col>12</xdr:col>
      <xdr:colOff>457200</xdr:colOff>
      <xdr:row>315</xdr:row>
      <xdr:rowOff>85725</xdr:rowOff>
    </xdr:to>
    <xdr:sp macro="" textlink="">
      <xdr:nvSpPr>
        <xdr:cNvPr id="22" name="Text Box 2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4619625" y="63665100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307</xdr:row>
      <xdr:rowOff>0</xdr:rowOff>
    </xdr:from>
    <xdr:to>
      <xdr:col>6</xdr:col>
      <xdr:colOff>400050</xdr:colOff>
      <xdr:row>307</xdr:row>
      <xdr:rowOff>133350</xdr:rowOff>
    </xdr:to>
    <xdr:sp macro="" textlink="">
      <xdr:nvSpPr>
        <xdr:cNvPr id="23" name="Text Box 29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1724025" y="621315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341</xdr:row>
      <xdr:rowOff>0</xdr:rowOff>
    </xdr:from>
    <xdr:to>
      <xdr:col>9</xdr:col>
      <xdr:colOff>19050</xdr:colOff>
      <xdr:row>341</xdr:row>
      <xdr:rowOff>152400</xdr:rowOff>
    </xdr:to>
    <xdr:sp macro="" textlink="">
      <xdr:nvSpPr>
        <xdr:cNvPr id="24" name="Text Box 30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1914525" y="6897052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341</xdr:row>
      <xdr:rowOff>0</xdr:rowOff>
    </xdr:from>
    <xdr:to>
      <xdr:col>6</xdr:col>
      <xdr:colOff>400050</xdr:colOff>
      <xdr:row>341</xdr:row>
      <xdr:rowOff>133350</xdr:rowOff>
    </xdr:to>
    <xdr:sp macro="" textlink="">
      <xdr:nvSpPr>
        <xdr:cNvPr id="25" name="Text Box 31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1724025" y="6897052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375</xdr:row>
      <xdr:rowOff>0</xdr:rowOff>
    </xdr:from>
    <xdr:to>
      <xdr:col>9</xdr:col>
      <xdr:colOff>19050</xdr:colOff>
      <xdr:row>375</xdr:row>
      <xdr:rowOff>152400</xdr:rowOff>
    </xdr:to>
    <xdr:sp macro="" textlink="">
      <xdr:nvSpPr>
        <xdr:cNvPr id="26" name="Text Box 32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1914525" y="7580947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375</xdr:row>
      <xdr:rowOff>0</xdr:rowOff>
    </xdr:from>
    <xdr:to>
      <xdr:col>6</xdr:col>
      <xdr:colOff>400050</xdr:colOff>
      <xdr:row>375</xdr:row>
      <xdr:rowOff>133350</xdr:rowOff>
    </xdr:to>
    <xdr:sp macro="" textlink="">
      <xdr:nvSpPr>
        <xdr:cNvPr id="27" name="Text Box 3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1724025" y="758094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28575</xdr:colOff>
      <xdr:row>406</xdr:row>
      <xdr:rowOff>123825</xdr:rowOff>
    </xdr:from>
    <xdr:to>
      <xdr:col>10</xdr:col>
      <xdr:colOff>381000</xdr:colOff>
      <xdr:row>407</xdr:row>
      <xdr:rowOff>85725</xdr:rowOff>
    </xdr:to>
    <xdr:sp macro="" textlink="">
      <xdr:nvSpPr>
        <xdr:cNvPr id="28" name="Text Box 35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3248025" y="82143600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409</xdr:row>
      <xdr:rowOff>0</xdr:rowOff>
    </xdr:from>
    <xdr:to>
      <xdr:col>6</xdr:col>
      <xdr:colOff>400050</xdr:colOff>
      <xdr:row>409</xdr:row>
      <xdr:rowOff>133350</xdr:rowOff>
    </xdr:to>
    <xdr:sp macro="" textlink="">
      <xdr:nvSpPr>
        <xdr:cNvPr id="29" name="Text Box 36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>
          <a:spLocks noChangeArrowheads="1"/>
        </xdr:cNvSpPr>
      </xdr:nvSpPr>
      <xdr:spPr bwMode="auto">
        <a:xfrm>
          <a:off x="1724025" y="8264842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448</xdr:row>
      <xdr:rowOff>152400</xdr:rowOff>
    </xdr:from>
    <xdr:to>
      <xdr:col>6</xdr:col>
      <xdr:colOff>352425</xdr:colOff>
      <xdr:row>449</xdr:row>
      <xdr:rowOff>114300</xdr:rowOff>
    </xdr:to>
    <xdr:sp macro="" textlink="">
      <xdr:nvSpPr>
        <xdr:cNvPr id="30" name="Text Box 35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0" y="9064942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742950</xdr:colOff>
      <xdr:row>443</xdr:row>
      <xdr:rowOff>0</xdr:rowOff>
    </xdr:from>
    <xdr:to>
      <xdr:col>7</xdr:col>
      <xdr:colOff>314325</xdr:colOff>
      <xdr:row>443</xdr:row>
      <xdr:rowOff>133350</xdr:rowOff>
    </xdr:to>
    <xdr:sp macro="" textlink="">
      <xdr:nvSpPr>
        <xdr:cNvPr id="31" name="Text Box 3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2381250" y="894873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485775</xdr:colOff>
      <xdr:row>479</xdr:row>
      <xdr:rowOff>47625</xdr:rowOff>
    </xdr:from>
    <xdr:to>
      <xdr:col>7</xdr:col>
      <xdr:colOff>228600</xdr:colOff>
      <xdr:row>479</xdr:row>
      <xdr:rowOff>219075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485775" y="96793050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477</xdr:row>
      <xdr:rowOff>0</xdr:rowOff>
    </xdr:from>
    <xdr:to>
      <xdr:col>6</xdr:col>
      <xdr:colOff>400050</xdr:colOff>
      <xdr:row>477</xdr:row>
      <xdr:rowOff>123825</xdr:rowOff>
    </xdr:to>
    <xdr:sp macro="" textlink="">
      <xdr:nvSpPr>
        <xdr:cNvPr id="33" name="Text Box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>
          <a:spLocks noChangeArrowheads="1"/>
        </xdr:cNvSpPr>
      </xdr:nvSpPr>
      <xdr:spPr bwMode="auto">
        <a:xfrm>
          <a:off x="1724025" y="96326325"/>
          <a:ext cx="27527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511</xdr:row>
      <xdr:rowOff>0</xdr:rowOff>
    </xdr:from>
    <xdr:to>
      <xdr:col>7</xdr:col>
      <xdr:colOff>504825</xdr:colOff>
      <xdr:row>511</xdr:row>
      <xdr:rowOff>152400</xdr:rowOff>
    </xdr:to>
    <xdr:sp macro="" textlink="">
      <xdr:nvSpPr>
        <xdr:cNvPr id="34" name="Text Box 35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1066800" y="10324147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257175</xdr:colOff>
      <xdr:row>511</xdr:row>
      <xdr:rowOff>0</xdr:rowOff>
    </xdr:from>
    <xdr:to>
      <xdr:col>6</xdr:col>
      <xdr:colOff>571500</xdr:colOff>
      <xdr:row>511</xdr:row>
      <xdr:rowOff>123825</xdr:rowOff>
    </xdr:to>
    <xdr:sp macro="" textlink="">
      <xdr:nvSpPr>
        <xdr:cNvPr id="35" name="Text Box 3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1895475" y="103241475"/>
          <a:ext cx="27527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1</xdr:row>
      <xdr:rowOff>104775</xdr:rowOff>
    </xdr:from>
    <xdr:to>
      <xdr:col>20</xdr:col>
      <xdr:colOff>361950</xdr:colOff>
      <xdr:row>1</xdr:row>
      <xdr:rowOff>133350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614363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314325</xdr:colOff>
      <xdr:row>28</xdr:row>
      <xdr:rowOff>95250</xdr:rowOff>
    </xdr:from>
    <xdr:to>
      <xdr:col>14</xdr:col>
      <xdr:colOff>381000</xdr:colOff>
      <xdr:row>28</xdr:row>
      <xdr:rowOff>133350</xdr:rowOff>
    </xdr:to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>
          <a:spLocks noChangeArrowheads="1"/>
        </xdr:cNvSpPr>
      </xdr:nvSpPr>
      <xdr:spPr bwMode="auto">
        <a:xfrm flipV="1">
          <a:off x="9791700" y="6038850"/>
          <a:ext cx="666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1</xdr:row>
      <xdr:rowOff>0</xdr:rowOff>
    </xdr:from>
    <xdr:to>
      <xdr:col>5</xdr:col>
      <xdr:colOff>352425</xdr:colOff>
      <xdr:row>1</xdr:row>
      <xdr:rowOff>28575</xdr:rowOff>
    </xdr:to>
    <xdr:sp macro="" textlink="">
      <xdr:nvSpPr>
        <xdr:cNvPr id="38" name="Text Box 14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4133850" y="53340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1</xdr:row>
      <xdr:rowOff>0</xdr:rowOff>
    </xdr:from>
    <xdr:to>
      <xdr:col>5</xdr:col>
      <xdr:colOff>323850</xdr:colOff>
      <xdr:row>1</xdr:row>
      <xdr:rowOff>28575</xdr:rowOff>
    </xdr:to>
    <xdr:sp macro="" textlink="">
      <xdr:nvSpPr>
        <xdr:cNvPr id="39" name="Text Box 15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4105275" y="53340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1</xdr:row>
      <xdr:rowOff>0</xdr:rowOff>
    </xdr:from>
    <xdr:to>
      <xdr:col>5</xdr:col>
      <xdr:colOff>457200</xdr:colOff>
      <xdr:row>1</xdr:row>
      <xdr:rowOff>28575</xdr:rowOff>
    </xdr:to>
    <xdr:sp macro="" textlink="">
      <xdr:nvSpPr>
        <xdr:cNvPr id="40" name="Text Box 16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4210050" y="533400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457200</xdr:colOff>
      <xdr:row>69</xdr:row>
      <xdr:rowOff>0</xdr:rowOff>
    </xdr:from>
    <xdr:to>
      <xdr:col>2</xdr:col>
      <xdr:colOff>523875</xdr:colOff>
      <xdr:row>69</xdr:row>
      <xdr:rowOff>28575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" y="14258925"/>
          <a:ext cx="666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714375</xdr:colOff>
      <xdr:row>69</xdr:row>
      <xdr:rowOff>0</xdr:rowOff>
    </xdr:from>
    <xdr:to>
      <xdr:col>3</xdr:col>
      <xdr:colOff>47625</xdr:colOff>
      <xdr:row>69</xdr:row>
      <xdr:rowOff>28575</xdr:rowOff>
    </xdr:to>
    <xdr:sp macro="" textlink="">
      <xdr:nvSpPr>
        <xdr:cNvPr id="42" name="Text Box 4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>
          <a:spLocks noChangeArrowheads="1"/>
        </xdr:cNvSpPr>
      </xdr:nvSpPr>
      <xdr:spPr bwMode="auto">
        <a:xfrm>
          <a:off x="2352675" y="142589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257175</xdr:colOff>
      <xdr:row>32</xdr:row>
      <xdr:rowOff>95250</xdr:rowOff>
    </xdr:from>
    <xdr:to>
      <xdr:col>20</xdr:col>
      <xdr:colOff>304800</xdr:colOff>
      <xdr:row>37</xdr:row>
      <xdr:rowOff>123825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>
          <a:spLocks noChangeArrowheads="1"/>
        </xdr:cNvSpPr>
      </xdr:nvSpPr>
      <xdr:spPr bwMode="auto">
        <a:xfrm flipH="1" flipV="1">
          <a:off x="13392150" y="6838950"/>
          <a:ext cx="476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103</xdr:row>
      <xdr:rowOff>0</xdr:rowOff>
    </xdr:from>
    <xdr:to>
      <xdr:col>1</xdr:col>
      <xdr:colOff>285750</xdr:colOff>
      <xdr:row>103</xdr:row>
      <xdr:rowOff>28575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>
          <a:spLocks noChangeArrowheads="1"/>
        </xdr:cNvSpPr>
      </xdr:nvSpPr>
      <xdr:spPr bwMode="auto">
        <a:xfrm>
          <a:off x="1143000" y="210978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457200</xdr:colOff>
      <xdr:row>103</xdr:row>
      <xdr:rowOff>0</xdr:rowOff>
    </xdr:from>
    <xdr:to>
      <xdr:col>2</xdr:col>
      <xdr:colOff>523875</xdr:colOff>
      <xdr:row>103</xdr:row>
      <xdr:rowOff>28575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>
          <a:spLocks noChangeArrowheads="1"/>
        </xdr:cNvSpPr>
      </xdr:nvSpPr>
      <xdr:spPr bwMode="auto">
        <a:xfrm>
          <a:off x="2095500" y="21097875"/>
          <a:ext cx="666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85725</xdr:colOff>
      <xdr:row>103</xdr:row>
      <xdr:rowOff>28575</xdr:rowOff>
    </xdr:from>
    <xdr:to>
      <xdr:col>5</xdr:col>
      <xdr:colOff>57150</xdr:colOff>
      <xdr:row>103</xdr:row>
      <xdr:rowOff>180975</xdr:rowOff>
    </xdr:to>
    <xdr:sp macro="" textlink="">
      <xdr:nvSpPr>
        <xdr:cNvPr id="46" name="Text Box 7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>
          <a:spLocks noChangeArrowheads="1"/>
        </xdr:cNvSpPr>
      </xdr:nvSpPr>
      <xdr:spPr bwMode="auto">
        <a:xfrm>
          <a:off x="85725" y="21126450"/>
          <a:ext cx="30194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714375</xdr:colOff>
      <xdr:row>103</xdr:row>
      <xdr:rowOff>0</xdr:rowOff>
    </xdr:from>
    <xdr:to>
      <xdr:col>3</xdr:col>
      <xdr:colOff>47625</xdr:colOff>
      <xdr:row>103</xdr:row>
      <xdr:rowOff>28575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>
          <a:spLocks noChangeArrowheads="1"/>
        </xdr:cNvSpPr>
      </xdr:nvSpPr>
      <xdr:spPr bwMode="auto">
        <a:xfrm>
          <a:off x="2352675" y="210978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137</xdr:row>
      <xdr:rowOff>0</xdr:rowOff>
    </xdr:from>
    <xdr:to>
      <xdr:col>1</xdr:col>
      <xdr:colOff>285750</xdr:colOff>
      <xdr:row>137</xdr:row>
      <xdr:rowOff>28575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>
          <a:spLocks noChangeArrowheads="1"/>
        </xdr:cNvSpPr>
      </xdr:nvSpPr>
      <xdr:spPr bwMode="auto">
        <a:xfrm>
          <a:off x="1143000" y="279368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638175</xdr:colOff>
      <xdr:row>171</xdr:row>
      <xdr:rowOff>9525</xdr:rowOff>
    </xdr:from>
    <xdr:to>
      <xdr:col>6</xdr:col>
      <xdr:colOff>276225</xdr:colOff>
      <xdr:row>171</xdr:row>
      <xdr:rowOff>171450</xdr:rowOff>
    </xdr:to>
    <xdr:sp macro="" textlink="">
      <xdr:nvSpPr>
        <xdr:cNvPr id="49" name="Text Box 19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>
          <a:spLocks noChangeArrowheads="1"/>
        </xdr:cNvSpPr>
      </xdr:nvSpPr>
      <xdr:spPr bwMode="auto">
        <a:xfrm>
          <a:off x="1552575" y="34785300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171</xdr:row>
      <xdr:rowOff>0</xdr:rowOff>
    </xdr:from>
    <xdr:to>
      <xdr:col>1</xdr:col>
      <xdr:colOff>285750</xdr:colOff>
      <xdr:row>171</xdr:row>
      <xdr:rowOff>28575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>
          <a:spLocks noChangeArrowheads="1"/>
        </xdr:cNvSpPr>
      </xdr:nvSpPr>
      <xdr:spPr bwMode="auto">
        <a:xfrm>
          <a:off x="1143000" y="347757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7</xdr:col>
      <xdr:colOff>400050</xdr:colOff>
      <xdr:row>205</xdr:row>
      <xdr:rowOff>161925</xdr:rowOff>
    </xdr:to>
    <xdr:sp macro="" textlink="">
      <xdr:nvSpPr>
        <xdr:cNvPr id="51" name="Text Box 2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>
          <a:spLocks noChangeArrowheads="1"/>
        </xdr:cNvSpPr>
      </xdr:nvSpPr>
      <xdr:spPr bwMode="auto">
        <a:xfrm>
          <a:off x="914400" y="416147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205</xdr:row>
      <xdr:rowOff>0</xdr:rowOff>
    </xdr:from>
    <xdr:to>
      <xdr:col>5</xdr:col>
      <xdr:colOff>295275</xdr:colOff>
      <xdr:row>205</xdr:row>
      <xdr:rowOff>161925</xdr:rowOff>
    </xdr:to>
    <xdr:sp macro="" textlink="">
      <xdr:nvSpPr>
        <xdr:cNvPr id="52" name="Text Box 2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>
          <a:spLocks noChangeArrowheads="1"/>
        </xdr:cNvSpPr>
      </xdr:nvSpPr>
      <xdr:spPr bwMode="auto">
        <a:xfrm>
          <a:off x="933450" y="416147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7</xdr:col>
      <xdr:colOff>400050</xdr:colOff>
      <xdr:row>205</xdr:row>
      <xdr:rowOff>161925</xdr:rowOff>
    </xdr:to>
    <xdr:sp macro="" textlink="">
      <xdr:nvSpPr>
        <xdr:cNvPr id="53" name="Text Box 18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>
          <a:spLocks noChangeArrowheads="1"/>
        </xdr:cNvSpPr>
      </xdr:nvSpPr>
      <xdr:spPr bwMode="auto">
        <a:xfrm>
          <a:off x="914400" y="416147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205</xdr:row>
      <xdr:rowOff>0</xdr:rowOff>
    </xdr:from>
    <xdr:to>
      <xdr:col>5</xdr:col>
      <xdr:colOff>295275</xdr:colOff>
      <xdr:row>205</xdr:row>
      <xdr:rowOff>161925</xdr:rowOff>
    </xdr:to>
    <xdr:sp macro="" textlink="">
      <xdr:nvSpPr>
        <xdr:cNvPr id="54" name="Text Box 19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933450" y="416147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205</xdr:row>
      <xdr:rowOff>0</xdr:rowOff>
    </xdr:from>
    <xdr:to>
      <xdr:col>1</xdr:col>
      <xdr:colOff>285750</xdr:colOff>
      <xdr:row>205</xdr:row>
      <xdr:rowOff>28575</xdr:rowOff>
    </xdr:to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>
          <a:spLocks noChangeArrowheads="1"/>
        </xdr:cNvSpPr>
      </xdr:nvSpPr>
      <xdr:spPr bwMode="auto">
        <a:xfrm>
          <a:off x="1143000" y="416147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7</xdr:col>
      <xdr:colOff>400050</xdr:colOff>
      <xdr:row>239</xdr:row>
      <xdr:rowOff>161925</xdr:rowOff>
    </xdr:to>
    <xdr:sp macro="" textlink="">
      <xdr:nvSpPr>
        <xdr:cNvPr id="56" name="Text Box 22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>
          <a:spLocks noChangeArrowheads="1"/>
        </xdr:cNvSpPr>
      </xdr:nvSpPr>
      <xdr:spPr bwMode="auto">
        <a:xfrm>
          <a:off x="914400" y="484536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239</xdr:row>
      <xdr:rowOff>0</xdr:rowOff>
    </xdr:from>
    <xdr:to>
      <xdr:col>6</xdr:col>
      <xdr:colOff>400050</xdr:colOff>
      <xdr:row>239</xdr:row>
      <xdr:rowOff>76200</xdr:rowOff>
    </xdr:to>
    <xdr:sp macro="" textlink="">
      <xdr:nvSpPr>
        <xdr:cNvPr id="57" name="Text Box 23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>
          <a:spLocks noChangeArrowheads="1"/>
        </xdr:cNvSpPr>
      </xdr:nvSpPr>
      <xdr:spPr bwMode="auto">
        <a:xfrm>
          <a:off x="1724025" y="484536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7</xdr:col>
      <xdr:colOff>400050</xdr:colOff>
      <xdr:row>239</xdr:row>
      <xdr:rowOff>161925</xdr:rowOff>
    </xdr:to>
    <xdr:sp macro="" textlink="">
      <xdr:nvSpPr>
        <xdr:cNvPr id="58" name="Text Box 20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>
          <a:spLocks noChangeArrowheads="1"/>
        </xdr:cNvSpPr>
      </xdr:nvSpPr>
      <xdr:spPr bwMode="auto">
        <a:xfrm>
          <a:off x="914400" y="484536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239</xdr:row>
      <xdr:rowOff>0</xdr:rowOff>
    </xdr:from>
    <xdr:to>
      <xdr:col>5</xdr:col>
      <xdr:colOff>295275</xdr:colOff>
      <xdr:row>239</xdr:row>
      <xdr:rowOff>161925</xdr:rowOff>
    </xdr:to>
    <xdr:sp macro="" textlink="">
      <xdr:nvSpPr>
        <xdr:cNvPr id="59" name="Text Box 21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>
          <a:spLocks noChangeArrowheads="1"/>
        </xdr:cNvSpPr>
      </xdr:nvSpPr>
      <xdr:spPr bwMode="auto">
        <a:xfrm>
          <a:off x="933450" y="484536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209550</xdr:colOff>
      <xdr:row>237</xdr:row>
      <xdr:rowOff>9525</xdr:rowOff>
    </xdr:from>
    <xdr:to>
      <xdr:col>23</xdr:col>
      <xdr:colOff>581025</xdr:colOff>
      <xdr:row>238</xdr:row>
      <xdr:rowOff>9525</xdr:rowOff>
    </xdr:to>
    <xdr:sp macro="" textlink="">
      <xdr:nvSpPr>
        <xdr:cNvPr id="60" name="Text Box 18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>
          <a:spLocks noChangeArrowheads="1"/>
        </xdr:cNvSpPr>
      </xdr:nvSpPr>
      <xdr:spPr bwMode="auto">
        <a:xfrm>
          <a:off x="10906125" y="74866500"/>
          <a:ext cx="46386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342900</xdr:colOff>
      <xdr:row>236</xdr:row>
      <xdr:rowOff>228600</xdr:rowOff>
    </xdr:from>
    <xdr:to>
      <xdr:col>21</xdr:col>
      <xdr:colOff>561975</xdr:colOff>
      <xdr:row>237</xdr:row>
      <xdr:rowOff>200025</xdr:rowOff>
    </xdr:to>
    <xdr:sp macro="" textlink="">
      <xdr:nvSpPr>
        <xdr:cNvPr id="61" name="Text Box 19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>
          <a:spLocks noChangeArrowheads="1"/>
        </xdr:cNvSpPr>
      </xdr:nvSpPr>
      <xdr:spPr bwMode="auto">
        <a:xfrm>
          <a:off x="11039475" y="74761725"/>
          <a:ext cx="32670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239</xdr:row>
      <xdr:rowOff>0</xdr:rowOff>
    </xdr:from>
    <xdr:to>
      <xdr:col>1</xdr:col>
      <xdr:colOff>285750</xdr:colOff>
      <xdr:row>239</xdr:row>
      <xdr:rowOff>28575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>
          <a:spLocks noChangeArrowheads="1"/>
        </xdr:cNvSpPr>
      </xdr:nvSpPr>
      <xdr:spPr bwMode="auto">
        <a:xfrm>
          <a:off x="1143000" y="484536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273</xdr:row>
      <xdr:rowOff>0</xdr:rowOff>
    </xdr:from>
    <xdr:to>
      <xdr:col>9</xdr:col>
      <xdr:colOff>19050</xdr:colOff>
      <xdr:row>273</xdr:row>
      <xdr:rowOff>161925</xdr:rowOff>
    </xdr:to>
    <xdr:sp macro="" textlink="">
      <xdr:nvSpPr>
        <xdr:cNvPr id="63" name="Text Box 24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>
          <a:spLocks noChangeArrowheads="1"/>
        </xdr:cNvSpPr>
      </xdr:nvSpPr>
      <xdr:spPr bwMode="auto">
        <a:xfrm>
          <a:off x="1914525" y="55292625"/>
          <a:ext cx="401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273</xdr:row>
      <xdr:rowOff>0</xdr:rowOff>
    </xdr:from>
    <xdr:to>
      <xdr:col>6</xdr:col>
      <xdr:colOff>400050</xdr:colOff>
      <xdr:row>273</xdr:row>
      <xdr:rowOff>76200</xdr:rowOff>
    </xdr:to>
    <xdr:sp macro="" textlink="">
      <xdr:nvSpPr>
        <xdr:cNvPr id="64" name="Text Box 25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>
          <a:spLocks noChangeArrowheads="1"/>
        </xdr:cNvSpPr>
      </xdr:nvSpPr>
      <xdr:spPr bwMode="auto">
        <a:xfrm>
          <a:off x="1724025" y="552926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273</xdr:row>
      <xdr:rowOff>0</xdr:rowOff>
    </xdr:from>
    <xdr:to>
      <xdr:col>7</xdr:col>
      <xdr:colOff>400050</xdr:colOff>
      <xdr:row>273</xdr:row>
      <xdr:rowOff>161925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>
          <a:spLocks noChangeArrowheads="1"/>
        </xdr:cNvSpPr>
      </xdr:nvSpPr>
      <xdr:spPr bwMode="auto">
        <a:xfrm>
          <a:off x="914400" y="552926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273</xdr:row>
      <xdr:rowOff>0</xdr:rowOff>
    </xdr:from>
    <xdr:to>
      <xdr:col>6</xdr:col>
      <xdr:colOff>400050</xdr:colOff>
      <xdr:row>273</xdr:row>
      <xdr:rowOff>76200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>
          <a:spLocks noChangeArrowheads="1"/>
        </xdr:cNvSpPr>
      </xdr:nvSpPr>
      <xdr:spPr bwMode="auto">
        <a:xfrm>
          <a:off x="1724025" y="552926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273</xdr:row>
      <xdr:rowOff>0</xdr:rowOff>
    </xdr:from>
    <xdr:to>
      <xdr:col>7</xdr:col>
      <xdr:colOff>400050</xdr:colOff>
      <xdr:row>273</xdr:row>
      <xdr:rowOff>161925</xdr:rowOff>
    </xdr:to>
    <xdr:sp macro="" textlink="">
      <xdr:nvSpPr>
        <xdr:cNvPr id="67" name="Text Box 20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>
          <a:spLocks noChangeArrowheads="1"/>
        </xdr:cNvSpPr>
      </xdr:nvSpPr>
      <xdr:spPr bwMode="auto">
        <a:xfrm>
          <a:off x="914400" y="552926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273</xdr:row>
      <xdr:rowOff>0</xdr:rowOff>
    </xdr:from>
    <xdr:to>
      <xdr:col>5</xdr:col>
      <xdr:colOff>295275</xdr:colOff>
      <xdr:row>273</xdr:row>
      <xdr:rowOff>161925</xdr:rowOff>
    </xdr:to>
    <xdr:sp macro="" textlink="">
      <xdr:nvSpPr>
        <xdr:cNvPr id="68" name="Text Box 21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>
          <a:spLocks noChangeArrowheads="1"/>
        </xdr:cNvSpPr>
      </xdr:nvSpPr>
      <xdr:spPr bwMode="auto">
        <a:xfrm>
          <a:off x="933450" y="552926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273</xdr:row>
      <xdr:rowOff>0</xdr:rowOff>
    </xdr:from>
    <xdr:to>
      <xdr:col>7</xdr:col>
      <xdr:colOff>400050</xdr:colOff>
      <xdr:row>273</xdr:row>
      <xdr:rowOff>161925</xdr:rowOff>
    </xdr:to>
    <xdr:sp macro="" textlink="">
      <xdr:nvSpPr>
        <xdr:cNvPr id="69" name="Text Box 1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>
          <a:spLocks noChangeArrowheads="1"/>
        </xdr:cNvSpPr>
      </xdr:nvSpPr>
      <xdr:spPr bwMode="auto">
        <a:xfrm>
          <a:off x="914400" y="552926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273</xdr:row>
      <xdr:rowOff>0</xdr:rowOff>
    </xdr:from>
    <xdr:to>
      <xdr:col>5</xdr:col>
      <xdr:colOff>295275</xdr:colOff>
      <xdr:row>273</xdr:row>
      <xdr:rowOff>161925</xdr:rowOff>
    </xdr:to>
    <xdr:sp macro="" textlink="">
      <xdr:nvSpPr>
        <xdr:cNvPr id="70" name="Text Box 1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>
          <a:spLocks noChangeArrowheads="1"/>
        </xdr:cNvSpPr>
      </xdr:nvSpPr>
      <xdr:spPr bwMode="auto">
        <a:xfrm>
          <a:off x="933450" y="552926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273</xdr:row>
      <xdr:rowOff>0</xdr:rowOff>
    </xdr:from>
    <xdr:to>
      <xdr:col>1</xdr:col>
      <xdr:colOff>285750</xdr:colOff>
      <xdr:row>273</xdr:row>
      <xdr:rowOff>28575</xdr:rowOff>
    </xdr:to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>
          <a:spLocks noChangeArrowheads="1"/>
        </xdr:cNvSpPr>
      </xdr:nvSpPr>
      <xdr:spPr bwMode="auto">
        <a:xfrm>
          <a:off x="1143000" y="552926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307</xdr:row>
      <xdr:rowOff>0</xdr:rowOff>
    </xdr:from>
    <xdr:to>
      <xdr:col>6</xdr:col>
      <xdr:colOff>400050</xdr:colOff>
      <xdr:row>307</xdr:row>
      <xdr:rowOff>76200</xdr:rowOff>
    </xdr:to>
    <xdr:sp macro="" textlink="">
      <xdr:nvSpPr>
        <xdr:cNvPr id="72" name="Text Box 27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>
          <a:spLocks noChangeArrowheads="1"/>
        </xdr:cNvSpPr>
      </xdr:nvSpPr>
      <xdr:spPr bwMode="auto">
        <a:xfrm>
          <a:off x="1724025" y="621315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307</xdr:row>
      <xdr:rowOff>0</xdr:rowOff>
    </xdr:from>
    <xdr:to>
      <xdr:col>9</xdr:col>
      <xdr:colOff>19050</xdr:colOff>
      <xdr:row>307</xdr:row>
      <xdr:rowOff>161925</xdr:rowOff>
    </xdr:to>
    <xdr:sp macro="" textlink="">
      <xdr:nvSpPr>
        <xdr:cNvPr id="73" name="Text Box 24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>
          <a:spLocks noChangeArrowheads="1"/>
        </xdr:cNvSpPr>
      </xdr:nvSpPr>
      <xdr:spPr bwMode="auto">
        <a:xfrm>
          <a:off x="1914525" y="62131575"/>
          <a:ext cx="401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307</xdr:row>
      <xdr:rowOff>0</xdr:rowOff>
    </xdr:from>
    <xdr:to>
      <xdr:col>6</xdr:col>
      <xdr:colOff>400050</xdr:colOff>
      <xdr:row>307</xdr:row>
      <xdr:rowOff>76200</xdr:rowOff>
    </xdr:to>
    <xdr:sp macro="" textlink="">
      <xdr:nvSpPr>
        <xdr:cNvPr id="74" name="Text Box 25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>
          <a:spLocks noChangeArrowheads="1"/>
        </xdr:cNvSpPr>
      </xdr:nvSpPr>
      <xdr:spPr bwMode="auto">
        <a:xfrm>
          <a:off x="1724025" y="621315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307</xdr:row>
      <xdr:rowOff>0</xdr:rowOff>
    </xdr:from>
    <xdr:to>
      <xdr:col>7</xdr:col>
      <xdr:colOff>400050</xdr:colOff>
      <xdr:row>307</xdr:row>
      <xdr:rowOff>161925</xdr:rowOff>
    </xdr:to>
    <xdr:sp macro="" textlink="">
      <xdr:nvSpPr>
        <xdr:cNvPr id="75" name="Text Box 22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>
          <a:spLocks noChangeArrowheads="1"/>
        </xdr:cNvSpPr>
      </xdr:nvSpPr>
      <xdr:spPr bwMode="auto">
        <a:xfrm>
          <a:off x="914400" y="621315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307</xdr:row>
      <xdr:rowOff>0</xdr:rowOff>
    </xdr:from>
    <xdr:to>
      <xdr:col>6</xdr:col>
      <xdr:colOff>400050</xdr:colOff>
      <xdr:row>307</xdr:row>
      <xdr:rowOff>76200</xdr:rowOff>
    </xdr:to>
    <xdr:sp macro="" textlink="">
      <xdr:nvSpPr>
        <xdr:cNvPr id="76" name="Text Box 23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>
          <a:spLocks noChangeArrowheads="1"/>
        </xdr:cNvSpPr>
      </xdr:nvSpPr>
      <xdr:spPr bwMode="auto">
        <a:xfrm>
          <a:off x="1724025" y="621315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307</xdr:row>
      <xdr:rowOff>0</xdr:rowOff>
    </xdr:from>
    <xdr:to>
      <xdr:col>7</xdr:col>
      <xdr:colOff>400050</xdr:colOff>
      <xdr:row>307</xdr:row>
      <xdr:rowOff>161925</xdr:rowOff>
    </xdr:to>
    <xdr:sp macro="" textlink="">
      <xdr:nvSpPr>
        <xdr:cNvPr id="77" name="Text Box 20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>
          <a:spLocks noChangeArrowheads="1"/>
        </xdr:cNvSpPr>
      </xdr:nvSpPr>
      <xdr:spPr bwMode="auto">
        <a:xfrm>
          <a:off x="914400" y="621315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307</xdr:row>
      <xdr:rowOff>0</xdr:rowOff>
    </xdr:from>
    <xdr:to>
      <xdr:col>5</xdr:col>
      <xdr:colOff>295275</xdr:colOff>
      <xdr:row>307</xdr:row>
      <xdr:rowOff>161925</xdr:rowOff>
    </xdr:to>
    <xdr:sp macro="" textlink="">
      <xdr:nvSpPr>
        <xdr:cNvPr id="78" name="Text Box 21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>
          <a:spLocks noChangeArrowheads="1"/>
        </xdr:cNvSpPr>
      </xdr:nvSpPr>
      <xdr:spPr bwMode="auto">
        <a:xfrm>
          <a:off x="933450" y="621315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307</xdr:row>
      <xdr:rowOff>0</xdr:rowOff>
    </xdr:from>
    <xdr:to>
      <xdr:col>7</xdr:col>
      <xdr:colOff>400050</xdr:colOff>
      <xdr:row>307</xdr:row>
      <xdr:rowOff>161925</xdr:rowOff>
    </xdr:to>
    <xdr:sp macro="" textlink="">
      <xdr:nvSpPr>
        <xdr:cNvPr id="79" name="Text Box 1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>
          <a:spLocks noChangeArrowheads="1"/>
        </xdr:cNvSpPr>
      </xdr:nvSpPr>
      <xdr:spPr bwMode="auto">
        <a:xfrm>
          <a:off x="914400" y="621315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307</xdr:row>
      <xdr:rowOff>0</xdr:rowOff>
    </xdr:from>
    <xdr:to>
      <xdr:col>5</xdr:col>
      <xdr:colOff>295275</xdr:colOff>
      <xdr:row>307</xdr:row>
      <xdr:rowOff>161925</xdr:rowOff>
    </xdr:to>
    <xdr:sp macro="" textlink="">
      <xdr:nvSpPr>
        <xdr:cNvPr id="80" name="Text Box 1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>
          <a:spLocks noChangeArrowheads="1"/>
        </xdr:cNvSpPr>
      </xdr:nvSpPr>
      <xdr:spPr bwMode="auto">
        <a:xfrm>
          <a:off x="933450" y="621315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307</xdr:row>
      <xdr:rowOff>0</xdr:rowOff>
    </xdr:from>
    <xdr:to>
      <xdr:col>1</xdr:col>
      <xdr:colOff>285750</xdr:colOff>
      <xdr:row>307</xdr:row>
      <xdr:rowOff>28575</xdr:rowOff>
    </xdr:to>
    <xdr:sp macro="" textlink="">
      <xdr:nvSpPr>
        <xdr:cNvPr id="81" name="Text Box 1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>
          <a:spLocks noChangeArrowheads="1"/>
        </xdr:cNvSpPr>
      </xdr:nvSpPr>
      <xdr:spPr bwMode="auto">
        <a:xfrm>
          <a:off x="1143000" y="621315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341</xdr:row>
      <xdr:rowOff>0</xdr:rowOff>
    </xdr:from>
    <xdr:to>
      <xdr:col>6</xdr:col>
      <xdr:colOff>400050</xdr:colOff>
      <xdr:row>341</xdr:row>
      <xdr:rowOff>133350</xdr:rowOff>
    </xdr:to>
    <xdr:sp macro="" textlink="">
      <xdr:nvSpPr>
        <xdr:cNvPr id="82" name="Text Box 29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>
          <a:spLocks noChangeArrowheads="1"/>
        </xdr:cNvSpPr>
      </xdr:nvSpPr>
      <xdr:spPr bwMode="auto">
        <a:xfrm>
          <a:off x="1724025" y="6897052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341</xdr:row>
      <xdr:rowOff>0</xdr:rowOff>
    </xdr:from>
    <xdr:to>
      <xdr:col>6</xdr:col>
      <xdr:colOff>400050</xdr:colOff>
      <xdr:row>341</xdr:row>
      <xdr:rowOff>76200</xdr:rowOff>
    </xdr:to>
    <xdr:sp macro="" textlink="">
      <xdr:nvSpPr>
        <xdr:cNvPr id="83" name="Text Box 27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>
          <a:spLocks noChangeArrowheads="1"/>
        </xdr:cNvSpPr>
      </xdr:nvSpPr>
      <xdr:spPr bwMode="auto">
        <a:xfrm>
          <a:off x="1724025" y="689705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341</xdr:row>
      <xdr:rowOff>0</xdr:rowOff>
    </xdr:from>
    <xdr:to>
      <xdr:col>9</xdr:col>
      <xdr:colOff>19050</xdr:colOff>
      <xdr:row>341</xdr:row>
      <xdr:rowOff>161925</xdr:rowOff>
    </xdr:to>
    <xdr:sp macro="" textlink="">
      <xdr:nvSpPr>
        <xdr:cNvPr id="84" name="Text Box 24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>
          <a:spLocks noChangeArrowheads="1"/>
        </xdr:cNvSpPr>
      </xdr:nvSpPr>
      <xdr:spPr bwMode="auto">
        <a:xfrm>
          <a:off x="1914525" y="68970525"/>
          <a:ext cx="401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341</xdr:row>
      <xdr:rowOff>0</xdr:rowOff>
    </xdr:from>
    <xdr:to>
      <xdr:col>6</xdr:col>
      <xdr:colOff>400050</xdr:colOff>
      <xdr:row>341</xdr:row>
      <xdr:rowOff>76200</xdr:rowOff>
    </xdr:to>
    <xdr:sp macro="" textlink="">
      <xdr:nvSpPr>
        <xdr:cNvPr id="85" name="Text Box 25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>
          <a:spLocks noChangeArrowheads="1"/>
        </xdr:cNvSpPr>
      </xdr:nvSpPr>
      <xdr:spPr bwMode="auto">
        <a:xfrm>
          <a:off x="1724025" y="689705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341</xdr:row>
      <xdr:rowOff>0</xdr:rowOff>
    </xdr:from>
    <xdr:to>
      <xdr:col>7</xdr:col>
      <xdr:colOff>400050</xdr:colOff>
      <xdr:row>341</xdr:row>
      <xdr:rowOff>161925</xdr:rowOff>
    </xdr:to>
    <xdr:sp macro="" textlink="">
      <xdr:nvSpPr>
        <xdr:cNvPr id="86" name="Text Box 22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>
          <a:spLocks noChangeArrowheads="1"/>
        </xdr:cNvSpPr>
      </xdr:nvSpPr>
      <xdr:spPr bwMode="auto">
        <a:xfrm>
          <a:off x="914400" y="689705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341</xdr:row>
      <xdr:rowOff>0</xdr:rowOff>
    </xdr:from>
    <xdr:to>
      <xdr:col>6</xdr:col>
      <xdr:colOff>400050</xdr:colOff>
      <xdr:row>341</xdr:row>
      <xdr:rowOff>76200</xdr:rowOff>
    </xdr:to>
    <xdr:sp macro="" textlink="">
      <xdr:nvSpPr>
        <xdr:cNvPr id="87" name="Text Box 23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>
          <a:spLocks noChangeArrowheads="1"/>
        </xdr:cNvSpPr>
      </xdr:nvSpPr>
      <xdr:spPr bwMode="auto">
        <a:xfrm>
          <a:off x="1724025" y="689705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341</xdr:row>
      <xdr:rowOff>0</xdr:rowOff>
    </xdr:from>
    <xdr:to>
      <xdr:col>7</xdr:col>
      <xdr:colOff>400050</xdr:colOff>
      <xdr:row>341</xdr:row>
      <xdr:rowOff>161925</xdr:rowOff>
    </xdr:to>
    <xdr:sp macro="" textlink="">
      <xdr:nvSpPr>
        <xdr:cNvPr id="88" name="Text Box 20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>
          <a:spLocks noChangeArrowheads="1"/>
        </xdr:cNvSpPr>
      </xdr:nvSpPr>
      <xdr:spPr bwMode="auto">
        <a:xfrm>
          <a:off x="914400" y="689705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341</xdr:row>
      <xdr:rowOff>0</xdr:rowOff>
    </xdr:from>
    <xdr:to>
      <xdr:col>5</xdr:col>
      <xdr:colOff>295275</xdr:colOff>
      <xdr:row>341</xdr:row>
      <xdr:rowOff>161925</xdr:rowOff>
    </xdr:to>
    <xdr:sp macro="" textlink="">
      <xdr:nvSpPr>
        <xdr:cNvPr id="89" name="Text Box 21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>
          <a:spLocks noChangeArrowheads="1"/>
        </xdr:cNvSpPr>
      </xdr:nvSpPr>
      <xdr:spPr bwMode="auto">
        <a:xfrm>
          <a:off x="933450" y="689705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341</xdr:row>
      <xdr:rowOff>0</xdr:rowOff>
    </xdr:from>
    <xdr:to>
      <xdr:col>7</xdr:col>
      <xdr:colOff>400050</xdr:colOff>
      <xdr:row>341</xdr:row>
      <xdr:rowOff>161925</xdr:rowOff>
    </xdr:to>
    <xdr:sp macro="" textlink="">
      <xdr:nvSpPr>
        <xdr:cNvPr id="90" name="Text Box 18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>
          <a:spLocks noChangeArrowheads="1"/>
        </xdr:cNvSpPr>
      </xdr:nvSpPr>
      <xdr:spPr bwMode="auto">
        <a:xfrm>
          <a:off x="914400" y="689705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341</xdr:row>
      <xdr:rowOff>0</xdr:rowOff>
    </xdr:from>
    <xdr:to>
      <xdr:col>5</xdr:col>
      <xdr:colOff>295275</xdr:colOff>
      <xdr:row>341</xdr:row>
      <xdr:rowOff>161925</xdr:rowOff>
    </xdr:to>
    <xdr:sp macro="" textlink="">
      <xdr:nvSpPr>
        <xdr:cNvPr id="91" name="Text Box 19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>
          <a:spLocks noChangeArrowheads="1"/>
        </xdr:cNvSpPr>
      </xdr:nvSpPr>
      <xdr:spPr bwMode="auto">
        <a:xfrm>
          <a:off x="933450" y="689705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341</xdr:row>
      <xdr:rowOff>0</xdr:rowOff>
    </xdr:from>
    <xdr:to>
      <xdr:col>1</xdr:col>
      <xdr:colOff>285750</xdr:colOff>
      <xdr:row>341</xdr:row>
      <xdr:rowOff>28575</xdr:rowOff>
    </xdr:to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>
          <a:spLocks noChangeArrowheads="1"/>
        </xdr:cNvSpPr>
      </xdr:nvSpPr>
      <xdr:spPr bwMode="auto">
        <a:xfrm>
          <a:off x="1143000" y="689705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375</xdr:row>
      <xdr:rowOff>0</xdr:rowOff>
    </xdr:from>
    <xdr:to>
      <xdr:col>9</xdr:col>
      <xdr:colOff>19050</xdr:colOff>
      <xdr:row>375</xdr:row>
      <xdr:rowOff>152400</xdr:rowOff>
    </xdr:to>
    <xdr:sp macro="" textlink="">
      <xdr:nvSpPr>
        <xdr:cNvPr id="93" name="Text Box 30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>
          <a:spLocks noChangeArrowheads="1"/>
        </xdr:cNvSpPr>
      </xdr:nvSpPr>
      <xdr:spPr bwMode="auto">
        <a:xfrm>
          <a:off x="1914525" y="7580947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375</xdr:row>
      <xdr:rowOff>0</xdr:rowOff>
    </xdr:from>
    <xdr:to>
      <xdr:col>6</xdr:col>
      <xdr:colOff>400050</xdr:colOff>
      <xdr:row>375</xdr:row>
      <xdr:rowOff>133350</xdr:rowOff>
    </xdr:to>
    <xdr:sp macro="" textlink="">
      <xdr:nvSpPr>
        <xdr:cNvPr id="94" name="Text Box 31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>
          <a:spLocks noChangeArrowheads="1"/>
        </xdr:cNvSpPr>
      </xdr:nvSpPr>
      <xdr:spPr bwMode="auto">
        <a:xfrm>
          <a:off x="1724025" y="758094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375</xdr:row>
      <xdr:rowOff>0</xdr:rowOff>
    </xdr:from>
    <xdr:to>
      <xdr:col>6</xdr:col>
      <xdr:colOff>400050</xdr:colOff>
      <xdr:row>375</xdr:row>
      <xdr:rowOff>133350</xdr:rowOff>
    </xdr:to>
    <xdr:sp macro="" textlink="">
      <xdr:nvSpPr>
        <xdr:cNvPr id="95" name="Text Box 29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>
          <a:spLocks noChangeArrowheads="1"/>
        </xdr:cNvSpPr>
      </xdr:nvSpPr>
      <xdr:spPr bwMode="auto">
        <a:xfrm>
          <a:off x="1724025" y="758094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375</xdr:row>
      <xdr:rowOff>0</xdr:rowOff>
    </xdr:from>
    <xdr:to>
      <xdr:col>6</xdr:col>
      <xdr:colOff>400050</xdr:colOff>
      <xdr:row>375</xdr:row>
      <xdr:rowOff>76200</xdr:rowOff>
    </xdr:to>
    <xdr:sp macro="" textlink="">
      <xdr:nvSpPr>
        <xdr:cNvPr id="96" name="Text Box 27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>
          <a:spLocks noChangeArrowheads="1"/>
        </xdr:cNvSpPr>
      </xdr:nvSpPr>
      <xdr:spPr bwMode="auto">
        <a:xfrm>
          <a:off x="1724025" y="758094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375</xdr:row>
      <xdr:rowOff>0</xdr:rowOff>
    </xdr:from>
    <xdr:to>
      <xdr:col>9</xdr:col>
      <xdr:colOff>19050</xdr:colOff>
      <xdr:row>375</xdr:row>
      <xdr:rowOff>161925</xdr:rowOff>
    </xdr:to>
    <xdr:sp macro="" textlink="">
      <xdr:nvSpPr>
        <xdr:cNvPr id="97" name="Text Box 24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>
          <a:spLocks noChangeArrowheads="1"/>
        </xdr:cNvSpPr>
      </xdr:nvSpPr>
      <xdr:spPr bwMode="auto">
        <a:xfrm>
          <a:off x="1914525" y="75809475"/>
          <a:ext cx="401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375</xdr:row>
      <xdr:rowOff>0</xdr:rowOff>
    </xdr:from>
    <xdr:to>
      <xdr:col>6</xdr:col>
      <xdr:colOff>400050</xdr:colOff>
      <xdr:row>375</xdr:row>
      <xdr:rowOff>76200</xdr:rowOff>
    </xdr:to>
    <xdr:sp macro="" textlink="">
      <xdr:nvSpPr>
        <xdr:cNvPr id="98" name="Text Box 25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>
          <a:spLocks noChangeArrowheads="1"/>
        </xdr:cNvSpPr>
      </xdr:nvSpPr>
      <xdr:spPr bwMode="auto">
        <a:xfrm>
          <a:off x="1724025" y="758094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375</xdr:row>
      <xdr:rowOff>0</xdr:rowOff>
    </xdr:from>
    <xdr:to>
      <xdr:col>7</xdr:col>
      <xdr:colOff>400050</xdr:colOff>
      <xdr:row>375</xdr:row>
      <xdr:rowOff>161925</xdr:rowOff>
    </xdr:to>
    <xdr:sp macro="" textlink="">
      <xdr:nvSpPr>
        <xdr:cNvPr id="99" name="Text Box 22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>
          <a:spLocks noChangeArrowheads="1"/>
        </xdr:cNvSpPr>
      </xdr:nvSpPr>
      <xdr:spPr bwMode="auto">
        <a:xfrm>
          <a:off x="914400" y="758094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375</xdr:row>
      <xdr:rowOff>0</xdr:rowOff>
    </xdr:from>
    <xdr:to>
      <xdr:col>6</xdr:col>
      <xdr:colOff>400050</xdr:colOff>
      <xdr:row>375</xdr:row>
      <xdr:rowOff>76200</xdr:rowOff>
    </xdr:to>
    <xdr:sp macro="" textlink="">
      <xdr:nvSpPr>
        <xdr:cNvPr id="100" name="Text Box 2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>
          <a:spLocks noChangeArrowheads="1"/>
        </xdr:cNvSpPr>
      </xdr:nvSpPr>
      <xdr:spPr bwMode="auto">
        <a:xfrm>
          <a:off x="1724025" y="758094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375</xdr:row>
      <xdr:rowOff>0</xdr:rowOff>
    </xdr:from>
    <xdr:to>
      <xdr:col>7</xdr:col>
      <xdr:colOff>400050</xdr:colOff>
      <xdr:row>375</xdr:row>
      <xdr:rowOff>161925</xdr:rowOff>
    </xdr:to>
    <xdr:sp macro="" textlink="">
      <xdr:nvSpPr>
        <xdr:cNvPr id="101" name="Text Box 2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>
          <a:spLocks noChangeArrowheads="1"/>
        </xdr:cNvSpPr>
      </xdr:nvSpPr>
      <xdr:spPr bwMode="auto">
        <a:xfrm>
          <a:off x="914400" y="758094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375</xdr:row>
      <xdr:rowOff>0</xdr:rowOff>
    </xdr:from>
    <xdr:to>
      <xdr:col>5</xdr:col>
      <xdr:colOff>295275</xdr:colOff>
      <xdr:row>375</xdr:row>
      <xdr:rowOff>161925</xdr:rowOff>
    </xdr:to>
    <xdr:sp macro="" textlink="">
      <xdr:nvSpPr>
        <xdr:cNvPr id="102" name="Text Box 2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>
          <a:spLocks noChangeArrowheads="1"/>
        </xdr:cNvSpPr>
      </xdr:nvSpPr>
      <xdr:spPr bwMode="auto">
        <a:xfrm>
          <a:off x="933450" y="758094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375</xdr:row>
      <xdr:rowOff>0</xdr:rowOff>
    </xdr:from>
    <xdr:to>
      <xdr:col>7</xdr:col>
      <xdr:colOff>400050</xdr:colOff>
      <xdr:row>375</xdr:row>
      <xdr:rowOff>161925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>
          <a:spLocks noChangeArrowheads="1"/>
        </xdr:cNvSpPr>
      </xdr:nvSpPr>
      <xdr:spPr bwMode="auto">
        <a:xfrm>
          <a:off x="914400" y="758094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238125</xdr:colOff>
      <xdr:row>374</xdr:row>
      <xdr:rowOff>161924</xdr:rowOff>
    </xdr:from>
    <xdr:to>
      <xdr:col>5</xdr:col>
      <xdr:colOff>514350</xdr:colOff>
      <xdr:row>374</xdr:row>
      <xdr:rowOff>209549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>
          <a:spLocks noChangeArrowheads="1"/>
        </xdr:cNvSpPr>
      </xdr:nvSpPr>
      <xdr:spPr bwMode="auto">
        <a:xfrm flipV="1">
          <a:off x="1152525" y="118157624"/>
          <a:ext cx="319087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375</xdr:row>
      <xdr:rowOff>0</xdr:rowOff>
    </xdr:from>
    <xdr:to>
      <xdr:col>1</xdr:col>
      <xdr:colOff>285750</xdr:colOff>
      <xdr:row>375</xdr:row>
      <xdr:rowOff>28575</xdr:rowOff>
    </xdr:to>
    <xdr:sp macro="" textlink="">
      <xdr:nvSpPr>
        <xdr:cNvPr id="105" name="Text Box 1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>
          <a:spLocks noChangeArrowheads="1"/>
        </xdr:cNvSpPr>
      </xdr:nvSpPr>
      <xdr:spPr bwMode="auto">
        <a:xfrm>
          <a:off x="1143000" y="758094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409</xdr:row>
      <xdr:rowOff>0</xdr:rowOff>
    </xdr:from>
    <xdr:to>
      <xdr:col>9</xdr:col>
      <xdr:colOff>19050</xdr:colOff>
      <xdr:row>409</xdr:row>
      <xdr:rowOff>152400</xdr:rowOff>
    </xdr:to>
    <xdr:sp macro="" textlink="">
      <xdr:nvSpPr>
        <xdr:cNvPr id="106" name="Text Box 32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>
          <a:spLocks noChangeArrowheads="1"/>
        </xdr:cNvSpPr>
      </xdr:nvSpPr>
      <xdr:spPr bwMode="auto">
        <a:xfrm>
          <a:off x="1914525" y="8264842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409</xdr:row>
      <xdr:rowOff>0</xdr:rowOff>
    </xdr:from>
    <xdr:to>
      <xdr:col>6</xdr:col>
      <xdr:colOff>400050</xdr:colOff>
      <xdr:row>409</xdr:row>
      <xdr:rowOff>133350</xdr:rowOff>
    </xdr:to>
    <xdr:sp macro="" textlink="">
      <xdr:nvSpPr>
        <xdr:cNvPr id="107" name="Text Box 33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>
          <a:spLocks noChangeArrowheads="1"/>
        </xdr:cNvSpPr>
      </xdr:nvSpPr>
      <xdr:spPr bwMode="auto">
        <a:xfrm>
          <a:off x="1724025" y="8264842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409</xdr:row>
      <xdr:rowOff>0</xdr:rowOff>
    </xdr:from>
    <xdr:to>
      <xdr:col>9</xdr:col>
      <xdr:colOff>19050</xdr:colOff>
      <xdr:row>409</xdr:row>
      <xdr:rowOff>152400</xdr:rowOff>
    </xdr:to>
    <xdr:sp macro="" textlink="">
      <xdr:nvSpPr>
        <xdr:cNvPr id="108" name="Text Box 30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>
          <a:spLocks noChangeArrowheads="1"/>
        </xdr:cNvSpPr>
      </xdr:nvSpPr>
      <xdr:spPr bwMode="auto">
        <a:xfrm>
          <a:off x="1914525" y="8264842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409</xdr:row>
      <xdr:rowOff>0</xdr:rowOff>
    </xdr:from>
    <xdr:to>
      <xdr:col>6</xdr:col>
      <xdr:colOff>400050</xdr:colOff>
      <xdr:row>409</xdr:row>
      <xdr:rowOff>133350</xdr:rowOff>
    </xdr:to>
    <xdr:sp macro="" textlink="">
      <xdr:nvSpPr>
        <xdr:cNvPr id="109" name="Text Box 31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 txBox="1">
          <a:spLocks noChangeArrowheads="1"/>
        </xdr:cNvSpPr>
      </xdr:nvSpPr>
      <xdr:spPr bwMode="auto">
        <a:xfrm>
          <a:off x="1724025" y="8264842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409</xdr:row>
      <xdr:rowOff>0</xdr:rowOff>
    </xdr:from>
    <xdr:to>
      <xdr:col>6</xdr:col>
      <xdr:colOff>400050</xdr:colOff>
      <xdr:row>409</xdr:row>
      <xdr:rowOff>133350</xdr:rowOff>
    </xdr:to>
    <xdr:sp macro="" textlink="">
      <xdr:nvSpPr>
        <xdr:cNvPr id="110" name="Text Box 2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 txBox="1">
          <a:spLocks noChangeArrowheads="1"/>
        </xdr:cNvSpPr>
      </xdr:nvSpPr>
      <xdr:spPr bwMode="auto">
        <a:xfrm>
          <a:off x="1724025" y="8264842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409</xdr:row>
      <xdr:rowOff>0</xdr:rowOff>
    </xdr:from>
    <xdr:to>
      <xdr:col>6</xdr:col>
      <xdr:colOff>400050</xdr:colOff>
      <xdr:row>409</xdr:row>
      <xdr:rowOff>76200</xdr:rowOff>
    </xdr:to>
    <xdr:sp macro="" textlink="">
      <xdr:nvSpPr>
        <xdr:cNvPr id="111" name="Text Box 27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 txBox="1">
          <a:spLocks noChangeArrowheads="1"/>
        </xdr:cNvSpPr>
      </xdr:nvSpPr>
      <xdr:spPr bwMode="auto">
        <a:xfrm>
          <a:off x="1724025" y="826484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219075</xdr:colOff>
      <xdr:row>409</xdr:row>
      <xdr:rowOff>0</xdr:rowOff>
    </xdr:from>
    <xdr:to>
      <xdr:col>8</xdr:col>
      <xdr:colOff>571500</xdr:colOff>
      <xdr:row>409</xdr:row>
      <xdr:rowOff>161925</xdr:rowOff>
    </xdr:to>
    <xdr:sp macro="" textlink="">
      <xdr:nvSpPr>
        <xdr:cNvPr id="112" name="Text Box 24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 txBox="1">
          <a:spLocks noChangeArrowheads="1"/>
        </xdr:cNvSpPr>
      </xdr:nvSpPr>
      <xdr:spPr bwMode="auto">
        <a:xfrm>
          <a:off x="1857375" y="82648425"/>
          <a:ext cx="401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409</xdr:row>
      <xdr:rowOff>0</xdr:rowOff>
    </xdr:from>
    <xdr:to>
      <xdr:col>6</xdr:col>
      <xdr:colOff>400050</xdr:colOff>
      <xdr:row>409</xdr:row>
      <xdr:rowOff>76200</xdr:rowOff>
    </xdr:to>
    <xdr:sp macro="" textlink="">
      <xdr:nvSpPr>
        <xdr:cNvPr id="113" name="Text Box 25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 txBox="1">
          <a:spLocks noChangeArrowheads="1"/>
        </xdr:cNvSpPr>
      </xdr:nvSpPr>
      <xdr:spPr bwMode="auto">
        <a:xfrm>
          <a:off x="1724025" y="826484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409</xdr:row>
      <xdr:rowOff>0</xdr:rowOff>
    </xdr:from>
    <xdr:to>
      <xdr:col>7</xdr:col>
      <xdr:colOff>400050</xdr:colOff>
      <xdr:row>409</xdr:row>
      <xdr:rowOff>161925</xdr:rowOff>
    </xdr:to>
    <xdr:sp macro="" textlink="">
      <xdr:nvSpPr>
        <xdr:cNvPr id="114" name="Text Box 22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 txBox="1">
          <a:spLocks noChangeArrowheads="1"/>
        </xdr:cNvSpPr>
      </xdr:nvSpPr>
      <xdr:spPr bwMode="auto">
        <a:xfrm>
          <a:off x="914400" y="826484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409</xdr:row>
      <xdr:rowOff>0</xdr:rowOff>
    </xdr:from>
    <xdr:to>
      <xdr:col>6</xdr:col>
      <xdr:colOff>400050</xdr:colOff>
      <xdr:row>409</xdr:row>
      <xdr:rowOff>76200</xdr:rowOff>
    </xdr:to>
    <xdr:sp macro="" textlink="">
      <xdr:nvSpPr>
        <xdr:cNvPr id="115" name="Text Box 23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 txBox="1">
          <a:spLocks noChangeArrowheads="1"/>
        </xdr:cNvSpPr>
      </xdr:nvSpPr>
      <xdr:spPr bwMode="auto">
        <a:xfrm>
          <a:off x="1724025" y="826484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409</xdr:row>
      <xdr:rowOff>0</xdr:rowOff>
    </xdr:from>
    <xdr:to>
      <xdr:col>7</xdr:col>
      <xdr:colOff>400050</xdr:colOff>
      <xdr:row>409</xdr:row>
      <xdr:rowOff>161925</xdr:rowOff>
    </xdr:to>
    <xdr:sp macro="" textlink="">
      <xdr:nvSpPr>
        <xdr:cNvPr id="116" name="Text Box 20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 txBox="1">
          <a:spLocks noChangeArrowheads="1"/>
        </xdr:cNvSpPr>
      </xdr:nvSpPr>
      <xdr:spPr bwMode="auto">
        <a:xfrm>
          <a:off x="914400" y="826484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409</xdr:row>
      <xdr:rowOff>0</xdr:rowOff>
    </xdr:from>
    <xdr:to>
      <xdr:col>5</xdr:col>
      <xdr:colOff>295275</xdr:colOff>
      <xdr:row>409</xdr:row>
      <xdr:rowOff>161925</xdr:rowOff>
    </xdr:to>
    <xdr:sp macro="" textlink="">
      <xdr:nvSpPr>
        <xdr:cNvPr id="117" name="Text Box 21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 txBox="1">
          <a:spLocks noChangeArrowheads="1"/>
        </xdr:cNvSpPr>
      </xdr:nvSpPr>
      <xdr:spPr bwMode="auto">
        <a:xfrm>
          <a:off x="933450" y="826484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409</xdr:row>
      <xdr:rowOff>0</xdr:rowOff>
    </xdr:from>
    <xdr:to>
      <xdr:col>7</xdr:col>
      <xdr:colOff>400050</xdr:colOff>
      <xdr:row>409</xdr:row>
      <xdr:rowOff>161925</xdr:rowOff>
    </xdr:to>
    <xdr:sp macro="" textlink="">
      <xdr:nvSpPr>
        <xdr:cNvPr id="118" name="Text Box 18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 txBox="1">
          <a:spLocks noChangeArrowheads="1"/>
        </xdr:cNvSpPr>
      </xdr:nvSpPr>
      <xdr:spPr bwMode="auto">
        <a:xfrm>
          <a:off x="914400" y="826484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409</xdr:row>
      <xdr:rowOff>0</xdr:rowOff>
    </xdr:from>
    <xdr:to>
      <xdr:col>5</xdr:col>
      <xdr:colOff>295275</xdr:colOff>
      <xdr:row>409</xdr:row>
      <xdr:rowOff>161925</xdr:rowOff>
    </xdr:to>
    <xdr:sp macro="" textlink="">
      <xdr:nvSpPr>
        <xdr:cNvPr id="119" name="Text Box 19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>
          <a:spLocks noChangeArrowheads="1"/>
        </xdr:cNvSpPr>
      </xdr:nvSpPr>
      <xdr:spPr bwMode="auto">
        <a:xfrm>
          <a:off x="933450" y="826484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409</xdr:row>
      <xdr:rowOff>0</xdr:rowOff>
    </xdr:from>
    <xdr:to>
      <xdr:col>1</xdr:col>
      <xdr:colOff>285750</xdr:colOff>
      <xdr:row>409</xdr:row>
      <xdr:rowOff>28575</xdr:rowOff>
    </xdr:to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 txBox="1">
          <a:spLocks noChangeArrowheads="1"/>
        </xdr:cNvSpPr>
      </xdr:nvSpPr>
      <xdr:spPr bwMode="auto">
        <a:xfrm>
          <a:off x="1143000" y="826484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443</xdr:row>
      <xdr:rowOff>0</xdr:rowOff>
    </xdr:from>
    <xdr:to>
      <xdr:col>6</xdr:col>
      <xdr:colOff>400050</xdr:colOff>
      <xdr:row>443</xdr:row>
      <xdr:rowOff>133350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 txBox="1">
          <a:spLocks noChangeArrowheads="1"/>
        </xdr:cNvSpPr>
      </xdr:nvSpPr>
      <xdr:spPr bwMode="auto">
        <a:xfrm>
          <a:off x="1724025" y="894873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443</xdr:row>
      <xdr:rowOff>0</xdr:rowOff>
    </xdr:from>
    <xdr:to>
      <xdr:col>9</xdr:col>
      <xdr:colOff>19050</xdr:colOff>
      <xdr:row>443</xdr:row>
      <xdr:rowOff>152400</xdr:rowOff>
    </xdr:to>
    <xdr:sp macro="" textlink="">
      <xdr:nvSpPr>
        <xdr:cNvPr id="122" name="Text Box 32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 txBox="1">
          <a:spLocks noChangeArrowheads="1"/>
        </xdr:cNvSpPr>
      </xdr:nvSpPr>
      <xdr:spPr bwMode="auto">
        <a:xfrm>
          <a:off x="1914525" y="8948737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443</xdr:row>
      <xdr:rowOff>0</xdr:rowOff>
    </xdr:from>
    <xdr:to>
      <xdr:col>6</xdr:col>
      <xdr:colOff>400050</xdr:colOff>
      <xdr:row>443</xdr:row>
      <xdr:rowOff>133350</xdr:rowOff>
    </xdr:to>
    <xdr:sp macro="" textlink="">
      <xdr:nvSpPr>
        <xdr:cNvPr id="123" name="Text Box 33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 txBox="1">
          <a:spLocks noChangeArrowheads="1"/>
        </xdr:cNvSpPr>
      </xdr:nvSpPr>
      <xdr:spPr bwMode="auto">
        <a:xfrm>
          <a:off x="1724025" y="894873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443</xdr:row>
      <xdr:rowOff>0</xdr:rowOff>
    </xdr:from>
    <xdr:to>
      <xdr:col>9</xdr:col>
      <xdr:colOff>19050</xdr:colOff>
      <xdr:row>443</xdr:row>
      <xdr:rowOff>152400</xdr:rowOff>
    </xdr:to>
    <xdr:sp macro="" textlink="">
      <xdr:nvSpPr>
        <xdr:cNvPr id="124" name="Text Box 30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 txBox="1">
          <a:spLocks noChangeArrowheads="1"/>
        </xdr:cNvSpPr>
      </xdr:nvSpPr>
      <xdr:spPr bwMode="auto">
        <a:xfrm>
          <a:off x="1914525" y="8948737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443</xdr:row>
      <xdr:rowOff>0</xdr:rowOff>
    </xdr:from>
    <xdr:to>
      <xdr:col>6</xdr:col>
      <xdr:colOff>400050</xdr:colOff>
      <xdr:row>443</xdr:row>
      <xdr:rowOff>133350</xdr:rowOff>
    </xdr:to>
    <xdr:sp macro="" textlink="">
      <xdr:nvSpPr>
        <xdr:cNvPr id="125" name="Text Box 31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 txBox="1">
          <a:spLocks noChangeArrowheads="1"/>
        </xdr:cNvSpPr>
      </xdr:nvSpPr>
      <xdr:spPr bwMode="auto">
        <a:xfrm>
          <a:off x="1724025" y="894873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443</xdr:row>
      <xdr:rowOff>0</xdr:rowOff>
    </xdr:from>
    <xdr:to>
      <xdr:col>6</xdr:col>
      <xdr:colOff>400050</xdr:colOff>
      <xdr:row>443</xdr:row>
      <xdr:rowOff>133350</xdr:rowOff>
    </xdr:to>
    <xdr:sp macro="" textlink="">
      <xdr:nvSpPr>
        <xdr:cNvPr id="126" name="Text Box 29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 txBox="1">
          <a:spLocks noChangeArrowheads="1"/>
        </xdr:cNvSpPr>
      </xdr:nvSpPr>
      <xdr:spPr bwMode="auto">
        <a:xfrm>
          <a:off x="1724025" y="894873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443</xdr:row>
      <xdr:rowOff>0</xdr:rowOff>
    </xdr:from>
    <xdr:to>
      <xdr:col>6</xdr:col>
      <xdr:colOff>400050</xdr:colOff>
      <xdr:row>443</xdr:row>
      <xdr:rowOff>76200</xdr:rowOff>
    </xdr:to>
    <xdr:sp macro="" textlink="">
      <xdr:nvSpPr>
        <xdr:cNvPr id="127" name="Text Box 27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 txBox="1">
          <a:spLocks noChangeArrowheads="1"/>
        </xdr:cNvSpPr>
      </xdr:nvSpPr>
      <xdr:spPr bwMode="auto">
        <a:xfrm>
          <a:off x="1724025" y="894873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443</xdr:row>
      <xdr:rowOff>0</xdr:rowOff>
    </xdr:from>
    <xdr:to>
      <xdr:col>6</xdr:col>
      <xdr:colOff>400050</xdr:colOff>
      <xdr:row>443</xdr:row>
      <xdr:rowOff>76200</xdr:rowOff>
    </xdr:to>
    <xdr:sp macro="" textlink="">
      <xdr:nvSpPr>
        <xdr:cNvPr id="128" name="Text Box 25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 txBox="1">
          <a:spLocks noChangeArrowheads="1"/>
        </xdr:cNvSpPr>
      </xdr:nvSpPr>
      <xdr:spPr bwMode="auto">
        <a:xfrm>
          <a:off x="1724025" y="894873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443</xdr:row>
      <xdr:rowOff>0</xdr:rowOff>
    </xdr:from>
    <xdr:to>
      <xdr:col>7</xdr:col>
      <xdr:colOff>400050</xdr:colOff>
      <xdr:row>443</xdr:row>
      <xdr:rowOff>161925</xdr:rowOff>
    </xdr:to>
    <xdr:sp macro="" textlink="">
      <xdr:nvSpPr>
        <xdr:cNvPr id="129" name="Text Box 22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 txBox="1">
          <a:spLocks noChangeArrowheads="1"/>
        </xdr:cNvSpPr>
      </xdr:nvSpPr>
      <xdr:spPr bwMode="auto">
        <a:xfrm>
          <a:off x="914400" y="894873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443</xdr:row>
      <xdr:rowOff>0</xdr:rowOff>
    </xdr:from>
    <xdr:to>
      <xdr:col>6</xdr:col>
      <xdr:colOff>400050</xdr:colOff>
      <xdr:row>443</xdr:row>
      <xdr:rowOff>76200</xdr:rowOff>
    </xdr:to>
    <xdr:sp macro="" textlink="">
      <xdr:nvSpPr>
        <xdr:cNvPr id="130" name="Text Box 23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 txBox="1">
          <a:spLocks noChangeArrowheads="1"/>
        </xdr:cNvSpPr>
      </xdr:nvSpPr>
      <xdr:spPr bwMode="auto">
        <a:xfrm>
          <a:off x="1724025" y="894873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443</xdr:row>
      <xdr:rowOff>0</xdr:rowOff>
    </xdr:from>
    <xdr:to>
      <xdr:col>7</xdr:col>
      <xdr:colOff>400050</xdr:colOff>
      <xdr:row>443</xdr:row>
      <xdr:rowOff>161925</xdr:rowOff>
    </xdr:to>
    <xdr:sp macro="" textlink="">
      <xdr:nvSpPr>
        <xdr:cNvPr id="131" name="Text Box 2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 txBox="1">
          <a:spLocks noChangeArrowheads="1"/>
        </xdr:cNvSpPr>
      </xdr:nvSpPr>
      <xdr:spPr bwMode="auto">
        <a:xfrm>
          <a:off x="914400" y="894873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443</xdr:row>
      <xdr:rowOff>0</xdr:rowOff>
    </xdr:from>
    <xdr:to>
      <xdr:col>5</xdr:col>
      <xdr:colOff>295275</xdr:colOff>
      <xdr:row>443</xdr:row>
      <xdr:rowOff>161925</xdr:rowOff>
    </xdr:to>
    <xdr:sp macro="" textlink="">
      <xdr:nvSpPr>
        <xdr:cNvPr id="132" name="Text Box 2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 txBox="1">
          <a:spLocks noChangeArrowheads="1"/>
        </xdr:cNvSpPr>
      </xdr:nvSpPr>
      <xdr:spPr bwMode="auto">
        <a:xfrm>
          <a:off x="933450" y="894873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466725</xdr:colOff>
      <xdr:row>454</xdr:row>
      <xdr:rowOff>0</xdr:rowOff>
    </xdr:from>
    <xdr:to>
      <xdr:col>9</xdr:col>
      <xdr:colOff>257175</xdr:colOff>
      <xdr:row>454</xdr:row>
      <xdr:rowOff>161925</xdr:rowOff>
    </xdr:to>
    <xdr:sp macro="" textlink="">
      <xdr:nvSpPr>
        <xdr:cNvPr id="133" name="Text Box 18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 txBox="1">
          <a:spLocks noChangeArrowheads="1"/>
        </xdr:cNvSpPr>
      </xdr:nvSpPr>
      <xdr:spPr bwMode="auto">
        <a:xfrm>
          <a:off x="2105025" y="916971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443</xdr:row>
      <xdr:rowOff>0</xdr:rowOff>
    </xdr:from>
    <xdr:to>
      <xdr:col>4</xdr:col>
      <xdr:colOff>276225</xdr:colOff>
      <xdr:row>443</xdr:row>
      <xdr:rowOff>161925</xdr:rowOff>
    </xdr:to>
    <xdr:sp macro="" textlink="">
      <xdr:nvSpPr>
        <xdr:cNvPr id="134" name="Text Box 19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 txBox="1">
          <a:spLocks noChangeArrowheads="1"/>
        </xdr:cNvSpPr>
      </xdr:nvSpPr>
      <xdr:spPr bwMode="auto">
        <a:xfrm>
          <a:off x="0" y="894873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443</xdr:row>
      <xdr:rowOff>0</xdr:rowOff>
    </xdr:from>
    <xdr:to>
      <xdr:col>1</xdr:col>
      <xdr:colOff>285750</xdr:colOff>
      <xdr:row>443</xdr:row>
      <xdr:rowOff>28575</xdr:rowOff>
    </xdr:to>
    <xdr:sp macro="" textlink="">
      <xdr:nvSpPr>
        <xdr:cNvPr id="135" name="Text Box 1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 txBox="1">
          <a:spLocks noChangeArrowheads="1"/>
        </xdr:cNvSpPr>
      </xdr:nvSpPr>
      <xdr:spPr bwMode="auto">
        <a:xfrm>
          <a:off x="1143000" y="894873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477</xdr:row>
      <xdr:rowOff>0</xdr:rowOff>
    </xdr:from>
    <xdr:to>
      <xdr:col>6</xdr:col>
      <xdr:colOff>400050</xdr:colOff>
      <xdr:row>477</xdr:row>
      <xdr:rowOff>133350</xdr:rowOff>
    </xdr:to>
    <xdr:sp macro="" textlink="">
      <xdr:nvSpPr>
        <xdr:cNvPr id="136" name="Text Box 36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 txBox="1">
          <a:spLocks noChangeArrowheads="1"/>
        </xdr:cNvSpPr>
      </xdr:nvSpPr>
      <xdr:spPr bwMode="auto">
        <a:xfrm>
          <a:off x="1724025" y="9632632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477</xdr:row>
      <xdr:rowOff>0</xdr:rowOff>
    </xdr:from>
    <xdr:to>
      <xdr:col>9</xdr:col>
      <xdr:colOff>19050</xdr:colOff>
      <xdr:row>477</xdr:row>
      <xdr:rowOff>152400</xdr:rowOff>
    </xdr:to>
    <xdr:sp macro="" textlink="">
      <xdr:nvSpPr>
        <xdr:cNvPr id="137" name="Text Box 32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 txBox="1">
          <a:spLocks noChangeArrowheads="1"/>
        </xdr:cNvSpPr>
      </xdr:nvSpPr>
      <xdr:spPr bwMode="auto">
        <a:xfrm>
          <a:off x="1914525" y="9632632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477</xdr:row>
      <xdr:rowOff>0</xdr:rowOff>
    </xdr:from>
    <xdr:to>
      <xdr:col>6</xdr:col>
      <xdr:colOff>400050</xdr:colOff>
      <xdr:row>477</xdr:row>
      <xdr:rowOff>133350</xdr:rowOff>
    </xdr:to>
    <xdr:sp macro="" textlink="">
      <xdr:nvSpPr>
        <xdr:cNvPr id="138" name="Text Box 33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 txBox="1">
          <a:spLocks noChangeArrowheads="1"/>
        </xdr:cNvSpPr>
      </xdr:nvSpPr>
      <xdr:spPr bwMode="auto">
        <a:xfrm>
          <a:off x="1724025" y="9632632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477</xdr:row>
      <xdr:rowOff>0</xdr:rowOff>
    </xdr:from>
    <xdr:to>
      <xdr:col>9</xdr:col>
      <xdr:colOff>19050</xdr:colOff>
      <xdr:row>477</xdr:row>
      <xdr:rowOff>152400</xdr:rowOff>
    </xdr:to>
    <xdr:sp macro="" textlink="">
      <xdr:nvSpPr>
        <xdr:cNvPr id="139" name="Text Box 30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 txBox="1">
          <a:spLocks noChangeArrowheads="1"/>
        </xdr:cNvSpPr>
      </xdr:nvSpPr>
      <xdr:spPr bwMode="auto">
        <a:xfrm>
          <a:off x="1914525" y="9632632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477</xdr:row>
      <xdr:rowOff>0</xdr:rowOff>
    </xdr:from>
    <xdr:to>
      <xdr:col>6</xdr:col>
      <xdr:colOff>400050</xdr:colOff>
      <xdr:row>477</xdr:row>
      <xdr:rowOff>133350</xdr:rowOff>
    </xdr:to>
    <xdr:sp macro="" textlink="">
      <xdr:nvSpPr>
        <xdr:cNvPr id="140" name="Text Box 31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 txBox="1">
          <a:spLocks noChangeArrowheads="1"/>
        </xdr:cNvSpPr>
      </xdr:nvSpPr>
      <xdr:spPr bwMode="auto">
        <a:xfrm>
          <a:off x="1724025" y="9632632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477</xdr:row>
      <xdr:rowOff>0</xdr:rowOff>
    </xdr:from>
    <xdr:to>
      <xdr:col>6</xdr:col>
      <xdr:colOff>400050</xdr:colOff>
      <xdr:row>477</xdr:row>
      <xdr:rowOff>133350</xdr:rowOff>
    </xdr:to>
    <xdr:sp macro="" textlink="">
      <xdr:nvSpPr>
        <xdr:cNvPr id="141" name="Text Box 29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 txBox="1">
          <a:spLocks noChangeArrowheads="1"/>
        </xdr:cNvSpPr>
      </xdr:nvSpPr>
      <xdr:spPr bwMode="auto">
        <a:xfrm>
          <a:off x="1724025" y="9632632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477</xdr:row>
      <xdr:rowOff>0</xdr:rowOff>
    </xdr:from>
    <xdr:to>
      <xdr:col>6</xdr:col>
      <xdr:colOff>400050</xdr:colOff>
      <xdr:row>477</xdr:row>
      <xdr:rowOff>76200</xdr:rowOff>
    </xdr:to>
    <xdr:sp macro="" textlink="">
      <xdr:nvSpPr>
        <xdr:cNvPr id="142" name="Text Box 27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 txBox="1">
          <a:spLocks noChangeArrowheads="1"/>
        </xdr:cNvSpPr>
      </xdr:nvSpPr>
      <xdr:spPr bwMode="auto">
        <a:xfrm>
          <a:off x="1724025" y="963263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477</xdr:row>
      <xdr:rowOff>0</xdr:rowOff>
    </xdr:from>
    <xdr:to>
      <xdr:col>6</xdr:col>
      <xdr:colOff>400050</xdr:colOff>
      <xdr:row>477</xdr:row>
      <xdr:rowOff>76200</xdr:rowOff>
    </xdr:to>
    <xdr:sp macro="" textlink="">
      <xdr:nvSpPr>
        <xdr:cNvPr id="143" name="Text Box 25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 txBox="1">
          <a:spLocks noChangeArrowheads="1"/>
        </xdr:cNvSpPr>
      </xdr:nvSpPr>
      <xdr:spPr bwMode="auto">
        <a:xfrm>
          <a:off x="1724025" y="963263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477</xdr:row>
      <xdr:rowOff>0</xdr:rowOff>
    </xdr:from>
    <xdr:to>
      <xdr:col>7</xdr:col>
      <xdr:colOff>400050</xdr:colOff>
      <xdr:row>477</xdr:row>
      <xdr:rowOff>161925</xdr:rowOff>
    </xdr:to>
    <xdr:sp macro="" textlink="">
      <xdr:nvSpPr>
        <xdr:cNvPr id="144" name="Text Box 22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 txBox="1">
          <a:spLocks noChangeArrowheads="1"/>
        </xdr:cNvSpPr>
      </xdr:nvSpPr>
      <xdr:spPr bwMode="auto">
        <a:xfrm>
          <a:off x="914400" y="963263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477</xdr:row>
      <xdr:rowOff>0</xdr:rowOff>
    </xdr:from>
    <xdr:to>
      <xdr:col>6</xdr:col>
      <xdr:colOff>400050</xdr:colOff>
      <xdr:row>477</xdr:row>
      <xdr:rowOff>76200</xdr:rowOff>
    </xdr:to>
    <xdr:sp macro="" textlink="">
      <xdr:nvSpPr>
        <xdr:cNvPr id="145" name="Text Box 23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 txBox="1">
          <a:spLocks noChangeArrowheads="1"/>
        </xdr:cNvSpPr>
      </xdr:nvSpPr>
      <xdr:spPr bwMode="auto">
        <a:xfrm>
          <a:off x="1724025" y="963263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477</xdr:row>
      <xdr:rowOff>0</xdr:rowOff>
    </xdr:from>
    <xdr:to>
      <xdr:col>7</xdr:col>
      <xdr:colOff>400050</xdr:colOff>
      <xdr:row>477</xdr:row>
      <xdr:rowOff>161925</xdr:rowOff>
    </xdr:to>
    <xdr:sp macro="" textlink="">
      <xdr:nvSpPr>
        <xdr:cNvPr id="146" name="Text Box 20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 txBox="1">
          <a:spLocks noChangeArrowheads="1"/>
        </xdr:cNvSpPr>
      </xdr:nvSpPr>
      <xdr:spPr bwMode="auto">
        <a:xfrm>
          <a:off x="914400" y="963263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477</xdr:row>
      <xdr:rowOff>0</xdr:rowOff>
    </xdr:from>
    <xdr:to>
      <xdr:col>5</xdr:col>
      <xdr:colOff>295275</xdr:colOff>
      <xdr:row>477</xdr:row>
      <xdr:rowOff>161925</xdr:rowOff>
    </xdr:to>
    <xdr:sp macro="" textlink="">
      <xdr:nvSpPr>
        <xdr:cNvPr id="147" name="Text Box 21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 txBox="1">
          <a:spLocks noChangeArrowheads="1"/>
        </xdr:cNvSpPr>
      </xdr:nvSpPr>
      <xdr:spPr bwMode="auto">
        <a:xfrm>
          <a:off x="933450" y="963263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477</xdr:row>
      <xdr:rowOff>0</xdr:rowOff>
    </xdr:from>
    <xdr:to>
      <xdr:col>4</xdr:col>
      <xdr:colOff>276225</xdr:colOff>
      <xdr:row>477</xdr:row>
      <xdr:rowOff>161925</xdr:rowOff>
    </xdr:to>
    <xdr:sp macro="" textlink="">
      <xdr:nvSpPr>
        <xdr:cNvPr id="148" name="Text Box 19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 txBox="1">
          <a:spLocks noChangeArrowheads="1"/>
        </xdr:cNvSpPr>
      </xdr:nvSpPr>
      <xdr:spPr bwMode="auto">
        <a:xfrm>
          <a:off x="0" y="963263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477</xdr:row>
      <xdr:rowOff>0</xdr:rowOff>
    </xdr:from>
    <xdr:to>
      <xdr:col>1</xdr:col>
      <xdr:colOff>285750</xdr:colOff>
      <xdr:row>477</xdr:row>
      <xdr:rowOff>28575</xdr:rowOff>
    </xdr:to>
    <xdr:sp macro="" textlink="">
      <xdr:nvSpPr>
        <xdr:cNvPr id="149" name="Text Box 1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 txBox="1">
          <a:spLocks noChangeArrowheads="1"/>
        </xdr:cNvSpPr>
      </xdr:nvSpPr>
      <xdr:spPr bwMode="auto">
        <a:xfrm>
          <a:off x="1143000" y="963263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511</xdr:row>
      <xdr:rowOff>0</xdr:rowOff>
    </xdr:from>
    <xdr:to>
      <xdr:col>6</xdr:col>
      <xdr:colOff>400050</xdr:colOff>
      <xdr:row>511</xdr:row>
      <xdr:rowOff>123825</xdr:rowOff>
    </xdr:to>
    <xdr:sp macro="" textlink="">
      <xdr:nvSpPr>
        <xdr:cNvPr id="150" name="Text Box 36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 txBox="1">
          <a:spLocks noChangeArrowheads="1"/>
        </xdr:cNvSpPr>
      </xdr:nvSpPr>
      <xdr:spPr bwMode="auto">
        <a:xfrm>
          <a:off x="1724025" y="103241475"/>
          <a:ext cx="27527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511</xdr:row>
      <xdr:rowOff>0</xdr:rowOff>
    </xdr:from>
    <xdr:to>
      <xdr:col>6</xdr:col>
      <xdr:colOff>400050</xdr:colOff>
      <xdr:row>511</xdr:row>
      <xdr:rowOff>133350</xdr:rowOff>
    </xdr:to>
    <xdr:sp macro="" textlink="">
      <xdr:nvSpPr>
        <xdr:cNvPr id="151" name="Text Box 36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 txBox="1">
          <a:spLocks noChangeArrowheads="1"/>
        </xdr:cNvSpPr>
      </xdr:nvSpPr>
      <xdr:spPr bwMode="auto">
        <a:xfrm>
          <a:off x="1724025" y="1032414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511</xdr:row>
      <xdr:rowOff>0</xdr:rowOff>
    </xdr:from>
    <xdr:to>
      <xdr:col>9</xdr:col>
      <xdr:colOff>19050</xdr:colOff>
      <xdr:row>511</xdr:row>
      <xdr:rowOff>152400</xdr:rowOff>
    </xdr:to>
    <xdr:sp macro="" textlink="">
      <xdr:nvSpPr>
        <xdr:cNvPr id="152" name="Text Box 32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 txBox="1">
          <a:spLocks noChangeArrowheads="1"/>
        </xdr:cNvSpPr>
      </xdr:nvSpPr>
      <xdr:spPr bwMode="auto">
        <a:xfrm>
          <a:off x="1914525" y="10324147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511</xdr:row>
      <xdr:rowOff>0</xdr:rowOff>
    </xdr:from>
    <xdr:to>
      <xdr:col>6</xdr:col>
      <xdr:colOff>400050</xdr:colOff>
      <xdr:row>511</xdr:row>
      <xdr:rowOff>133350</xdr:rowOff>
    </xdr:to>
    <xdr:sp macro="" textlink="">
      <xdr:nvSpPr>
        <xdr:cNvPr id="153" name="Text Box 33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 txBox="1">
          <a:spLocks noChangeArrowheads="1"/>
        </xdr:cNvSpPr>
      </xdr:nvSpPr>
      <xdr:spPr bwMode="auto">
        <a:xfrm>
          <a:off x="1724025" y="1032414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511</xdr:row>
      <xdr:rowOff>0</xdr:rowOff>
    </xdr:from>
    <xdr:to>
      <xdr:col>9</xdr:col>
      <xdr:colOff>19050</xdr:colOff>
      <xdr:row>511</xdr:row>
      <xdr:rowOff>152400</xdr:rowOff>
    </xdr:to>
    <xdr:sp macro="" textlink="">
      <xdr:nvSpPr>
        <xdr:cNvPr id="154" name="Text Box 30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 txBox="1">
          <a:spLocks noChangeArrowheads="1"/>
        </xdr:cNvSpPr>
      </xdr:nvSpPr>
      <xdr:spPr bwMode="auto">
        <a:xfrm>
          <a:off x="1914525" y="10324147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511</xdr:row>
      <xdr:rowOff>0</xdr:rowOff>
    </xdr:from>
    <xdr:to>
      <xdr:col>6</xdr:col>
      <xdr:colOff>400050</xdr:colOff>
      <xdr:row>511</xdr:row>
      <xdr:rowOff>133350</xdr:rowOff>
    </xdr:to>
    <xdr:sp macro="" textlink="">
      <xdr:nvSpPr>
        <xdr:cNvPr id="155" name="Text Box 31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 txBox="1">
          <a:spLocks noChangeArrowheads="1"/>
        </xdr:cNvSpPr>
      </xdr:nvSpPr>
      <xdr:spPr bwMode="auto">
        <a:xfrm>
          <a:off x="1724025" y="1032414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511</xdr:row>
      <xdr:rowOff>0</xdr:rowOff>
    </xdr:from>
    <xdr:to>
      <xdr:col>6</xdr:col>
      <xdr:colOff>400050</xdr:colOff>
      <xdr:row>511</xdr:row>
      <xdr:rowOff>133350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 txBox="1">
          <a:spLocks noChangeArrowheads="1"/>
        </xdr:cNvSpPr>
      </xdr:nvSpPr>
      <xdr:spPr bwMode="auto">
        <a:xfrm>
          <a:off x="1724025" y="1032414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511</xdr:row>
      <xdr:rowOff>0</xdr:rowOff>
    </xdr:from>
    <xdr:to>
      <xdr:col>6</xdr:col>
      <xdr:colOff>400050</xdr:colOff>
      <xdr:row>511</xdr:row>
      <xdr:rowOff>76200</xdr:rowOff>
    </xdr:to>
    <xdr:sp macro="" textlink="">
      <xdr:nvSpPr>
        <xdr:cNvPr id="157" name="Text Box 27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 txBox="1">
          <a:spLocks noChangeArrowheads="1"/>
        </xdr:cNvSpPr>
      </xdr:nvSpPr>
      <xdr:spPr bwMode="auto">
        <a:xfrm>
          <a:off x="1724025" y="1032414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511</xdr:row>
      <xdr:rowOff>0</xdr:rowOff>
    </xdr:from>
    <xdr:to>
      <xdr:col>6</xdr:col>
      <xdr:colOff>400050</xdr:colOff>
      <xdr:row>511</xdr:row>
      <xdr:rowOff>76200</xdr:rowOff>
    </xdr:to>
    <xdr:sp macro="" textlink="">
      <xdr:nvSpPr>
        <xdr:cNvPr id="158" name="Text Box 25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 txBox="1">
          <a:spLocks noChangeArrowheads="1"/>
        </xdr:cNvSpPr>
      </xdr:nvSpPr>
      <xdr:spPr bwMode="auto">
        <a:xfrm>
          <a:off x="1724025" y="1032414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511</xdr:row>
      <xdr:rowOff>0</xdr:rowOff>
    </xdr:from>
    <xdr:to>
      <xdr:col>7</xdr:col>
      <xdr:colOff>400050</xdr:colOff>
      <xdr:row>511</xdr:row>
      <xdr:rowOff>161925</xdr:rowOff>
    </xdr:to>
    <xdr:sp macro="" textlink="">
      <xdr:nvSpPr>
        <xdr:cNvPr id="159" name="Text Box 22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 txBox="1">
          <a:spLocks noChangeArrowheads="1"/>
        </xdr:cNvSpPr>
      </xdr:nvSpPr>
      <xdr:spPr bwMode="auto">
        <a:xfrm>
          <a:off x="914400" y="1032414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511</xdr:row>
      <xdr:rowOff>0</xdr:rowOff>
    </xdr:from>
    <xdr:to>
      <xdr:col>6</xdr:col>
      <xdr:colOff>400050</xdr:colOff>
      <xdr:row>511</xdr:row>
      <xdr:rowOff>76200</xdr:rowOff>
    </xdr:to>
    <xdr:sp macro="" textlink="">
      <xdr:nvSpPr>
        <xdr:cNvPr id="160" name="Text Box 23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 txBox="1">
          <a:spLocks noChangeArrowheads="1"/>
        </xdr:cNvSpPr>
      </xdr:nvSpPr>
      <xdr:spPr bwMode="auto">
        <a:xfrm>
          <a:off x="1724025" y="1032414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511</xdr:row>
      <xdr:rowOff>0</xdr:rowOff>
    </xdr:from>
    <xdr:to>
      <xdr:col>7</xdr:col>
      <xdr:colOff>400050</xdr:colOff>
      <xdr:row>511</xdr:row>
      <xdr:rowOff>161925</xdr:rowOff>
    </xdr:to>
    <xdr:sp macro="" textlink="">
      <xdr:nvSpPr>
        <xdr:cNvPr id="161" name="Text Box 2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 txBox="1">
          <a:spLocks noChangeArrowheads="1"/>
        </xdr:cNvSpPr>
      </xdr:nvSpPr>
      <xdr:spPr bwMode="auto">
        <a:xfrm>
          <a:off x="914400" y="1032414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511</xdr:row>
      <xdr:rowOff>0</xdr:rowOff>
    </xdr:from>
    <xdr:to>
      <xdr:col>5</xdr:col>
      <xdr:colOff>295275</xdr:colOff>
      <xdr:row>511</xdr:row>
      <xdr:rowOff>161925</xdr:rowOff>
    </xdr:to>
    <xdr:sp macro="" textlink="">
      <xdr:nvSpPr>
        <xdr:cNvPr id="162" name="Text Box 2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 txBox="1">
          <a:spLocks noChangeArrowheads="1"/>
        </xdr:cNvSpPr>
      </xdr:nvSpPr>
      <xdr:spPr bwMode="auto">
        <a:xfrm>
          <a:off x="933450" y="1032414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47625</xdr:colOff>
      <xdr:row>511</xdr:row>
      <xdr:rowOff>0</xdr:rowOff>
    </xdr:from>
    <xdr:to>
      <xdr:col>4</xdr:col>
      <xdr:colOff>323850</xdr:colOff>
      <xdr:row>511</xdr:row>
      <xdr:rowOff>161925</xdr:rowOff>
    </xdr:to>
    <xdr:sp macro="" textlink="">
      <xdr:nvSpPr>
        <xdr:cNvPr id="163" name="Text Box 19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 txBox="1">
          <a:spLocks noChangeArrowheads="1"/>
        </xdr:cNvSpPr>
      </xdr:nvSpPr>
      <xdr:spPr bwMode="auto">
        <a:xfrm>
          <a:off x="47625" y="1032414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511</xdr:row>
      <xdr:rowOff>0</xdr:rowOff>
    </xdr:from>
    <xdr:to>
      <xdr:col>1</xdr:col>
      <xdr:colOff>285750</xdr:colOff>
      <xdr:row>511</xdr:row>
      <xdr:rowOff>28575</xdr:rowOff>
    </xdr:to>
    <xdr:sp macro="" textlink="">
      <xdr:nvSpPr>
        <xdr:cNvPr id="164" name="Text Box 1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 txBox="1">
          <a:spLocks noChangeArrowheads="1"/>
        </xdr:cNvSpPr>
      </xdr:nvSpPr>
      <xdr:spPr bwMode="auto">
        <a:xfrm>
          <a:off x="1143000" y="1032414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8</xdr:col>
      <xdr:colOff>400050</xdr:colOff>
      <xdr:row>1</xdr:row>
      <xdr:rowOff>161925</xdr:rowOff>
    </xdr:to>
    <xdr:sp macro="" textlink="">
      <xdr:nvSpPr>
        <xdr:cNvPr id="165" name="Text Box 20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 txBox="1">
          <a:spLocks noChangeArrowheads="1"/>
        </xdr:cNvSpPr>
      </xdr:nvSpPr>
      <xdr:spPr bwMode="auto">
        <a:xfrm>
          <a:off x="1638300" y="533400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</xdr:row>
      <xdr:rowOff>0</xdr:rowOff>
    </xdr:from>
    <xdr:to>
      <xdr:col>6</xdr:col>
      <xdr:colOff>295275</xdr:colOff>
      <xdr:row>1</xdr:row>
      <xdr:rowOff>161925</xdr:rowOff>
    </xdr:to>
    <xdr:sp macro="" textlink="">
      <xdr:nvSpPr>
        <xdr:cNvPr id="166" name="Text Box 21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 txBox="1">
          <a:spLocks noChangeArrowheads="1"/>
        </xdr:cNvSpPr>
      </xdr:nvSpPr>
      <xdr:spPr bwMode="auto">
        <a:xfrm>
          <a:off x="1657350" y="533400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8</xdr:col>
      <xdr:colOff>400050</xdr:colOff>
      <xdr:row>1</xdr:row>
      <xdr:rowOff>161925</xdr:rowOff>
    </xdr:to>
    <xdr:sp macro="" textlink="">
      <xdr:nvSpPr>
        <xdr:cNvPr id="167" name="Text Box 18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 txBox="1">
          <a:spLocks noChangeArrowheads="1"/>
        </xdr:cNvSpPr>
      </xdr:nvSpPr>
      <xdr:spPr bwMode="auto">
        <a:xfrm>
          <a:off x="1638300" y="533400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</xdr:row>
      <xdr:rowOff>0</xdr:rowOff>
    </xdr:from>
    <xdr:to>
      <xdr:col>6</xdr:col>
      <xdr:colOff>295275</xdr:colOff>
      <xdr:row>1</xdr:row>
      <xdr:rowOff>161925</xdr:rowOff>
    </xdr:to>
    <xdr:sp macro="" textlink="">
      <xdr:nvSpPr>
        <xdr:cNvPr id="168" name="Text Box 19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 txBox="1">
          <a:spLocks noChangeArrowheads="1"/>
        </xdr:cNvSpPr>
      </xdr:nvSpPr>
      <xdr:spPr bwMode="auto">
        <a:xfrm>
          <a:off x="1657350" y="533400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1</xdr:row>
      <xdr:rowOff>0</xdr:rowOff>
    </xdr:from>
    <xdr:to>
      <xdr:col>2</xdr:col>
      <xdr:colOff>285750</xdr:colOff>
      <xdr:row>1</xdr:row>
      <xdr:rowOff>28575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 txBox="1">
          <a:spLocks noChangeArrowheads="1"/>
        </xdr:cNvSpPr>
      </xdr:nvSpPr>
      <xdr:spPr bwMode="auto">
        <a:xfrm>
          <a:off x="1866900" y="53340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1</xdr:rowOff>
    </xdr:from>
    <xdr:to>
      <xdr:col>13</xdr:col>
      <xdr:colOff>0</xdr:colOff>
      <xdr:row>1</xdr:row>
      <xdr:rowOff>0</xdr:rowOff>
    </xdr:to>
    <xdr:sp macro="" textlink="">
      <xdr:nvSpPr>
        <xdr:cNvPr id="170" name="Text Box 4755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>
          <a:spLocks noChangeArrowheads="1"/>
        </xdr:cNvSpPr>
      </xdr:nvSpPr>
      <xdr:spPr bwMode="auto">
        <a:xfrm>
          <a:off x="0" y="1"/>
          <a:ext cx="8867775" cy="5333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*Daily Exchange Rates for Iraqi Dinar Per USD </a:t>
          </a:r>
        </a:p>
      </xdr:txBody>
    </xdr:sp>
    <xdr:clientData/>
  </xdr:twoCellAnchor>
  <xdr:twoCellAnchor editAs="oneCell">
    <xdr:from>
      <xdr:col>1</xdr:col>
      <xdr:colOff>152400</xdr:colOff>
      <xdr:row>545</xdr:row>
      <xdr:rowOff>0</xdr:rowOff>
    </xdr:from>
    <xdr:to>
      <xdr:col>7</xdr:col>
      <xdr:colOff>504825</xdr:colOff>
      <xdr:row>545</xdr:row>
      <xdr:rowOff>152400</xdr:rowOff>
    </xdr:to>
    <xdr:sp macro="" textlink="">
      <xdr:nvSpPr>
        <xdr:cNvPr id="171" name="Text Box 35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 txBox="1">
          <a:spLocks noChangeArrowheads="1"/>
        </xdr:cNvSpPr>
      </xdr:nvSpPr>
      <xdr:spPr bwMode="auto">
        <a:xfrm>
          <a:off x="1066800" y="11006137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257175</xdr:colOff>
      <xdr:row>545</xdr:row>
      <xdr:rowOff>0</xdr:rowOff>
    </xdr:from>
    <xdr:to>
      <xdr:col>6</xdr:col>
      <xdr:colOff>571500</xdr:colOff>
      <xdr:row>545</xdr:row>
      <xdr:rowOff>123825</xdr:rowOff>
    </xdr:to>
    <xdr:sp macro="" textlink="">
      <xdr:nvSpPr>
        <xdr:cNvPr id="172" name="Text Box 36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>
          <a:spLocks noChangeArrowheads="1"/>
        </xdr:cNvSpPr>
      </xdr:nvSpPr>
      <xdr:spPr bwMode="auto">
        <a:xfrm>
          <a:off x="1895475" y="110061375"/>
          <a:ext cx="27527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545</xdr:row>
      <xdr:rowOff>0</xdr:rowOff>
    </xdr:from>
    <xdr:to>
      <xdr:col>6</xdr:col>
      <xdr:colOff>400050</xdr:colOff>
      <xdr:row>545</xdr:row>
      <xdr:rowOff>123825</xdr:rowOff>
    </xdr:to>
    <xdr:sp macro="" textlink="">
      <xdr:nvSpPr>
        <xdr:cNvPr id="173" name="Text Box 36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 txBox="1">
          <a:spLocks noChangeArrowheads="1"/>
        </xdr:cNvSpPr>
      </xdr:nvSpPr>
      <xdr:spPr bwMode="auto">
        <a:xfrm>
          <a:off x="1724025" y="110061375"/>
          <a:ext cx="27527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545</xdr:row>
      <xdr:rowOff>0</xdr:rowOff>
    </xdr:from>
    <xdr:to>
      <xdr:col>6</xdr:col>
      <xdr:colOff>400050</xdr:colOff>
      <xdr:row>545</xdr:row>
      <xdr:rowOff>133350</xdr:rowOff>
    </xdr:to>
    <xdr:sp macro="" textlink="">
      <xdr:nvSpPr>
        <xdr:cNvPr id="174" name="Text Box 36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 txBox="1">
          <a:spLocks noChangeArrowheads="1"/>
        </xdr:cNvSpPr>
      </xdr:nvSpPr>
      <xdr:spPr bwMode="auto">
        <a:xfrm>
          <a:off x="1724025" y="1100613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545</xdr:row>
      <xdr:rowOff>0</xdr:rowOff>
    </xdr:from>
    <xdr:to>
      <xdr:col>9</xdr:col>
      <xdr:colOff>19050</xdr:colOff>
      <xdr:row>545</xdr:row>
      <xdr:rowOff>152400</xdr:rowOff>
    </xdr:to>
    <xdr:sp macro="" textlink="">
      <xdr:nvSpPr>
        <xdr:cNvPr id="175" name="Text Box 32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 txBox="1">
          <a:spLocks noChangeArrowheads="1"/>
        </xdr:cNvSpPr>
      </xdr:nvSpPr>
      <xdr:spPr bwMode="auto">
        <a:xfrm>
          <a:off x="1914525" y="11006137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545</xdr:row>
      <xdr:rowOff>0</xdr:rowOff>
    </xdr:from>
    <xdr:to>
      <xdr:col>6</xdr:col>
      <xdr:colOff>400050</xdr:colOff>
      <xdr:row>545</xdr:row>
      <xdr:rowOff>133350</xdr:rowOff>
    </xdr:to>
    <xdr:sp macro="" textlink="">
      <xdr:nvSpPr>
        <xdr:cNvPr id="176" name="Text Box 33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 txBox="1">
          <a:spLocks noChangeArrowheads="1"/>
        </xdr:cNvSpPr>
      </xdr:nvSpPr>
      <xdr:spPr bwMode="auto">
        <a:xfrm>
          <a:off x="1724025" y="1100613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545</xdr:row>
      <xdr:rowOff>0</xdr:rowOff>
    </xdr:from>
    <xdr:to>
      <xdr:col>9</xdr:col>
      <xdr:colOff>19050</xdr:colOff>
      <xdr:row>545</xdr:row>
      <xdr:rowOff>152400</xdr:rowOff>
    </xdr:to>
    <xdr:sp macro="" textlink="">
      <xdr:nvSpPr>
        <xdr:cNvPr id="177" name="Text Box 30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 txBox="1">
          <a:spLocks noChangeArrowheads="1"/>
        </xdr:cNvSpPr>
      </xdr:nvSpPr>
      <xdr:spPr bwMode="auto">
        <a:xfrm>
          <a:off x="1914525" y="11006137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545</xdr:row>
      <xdr:rowOff>0</xdr:rowOff>
    </xdr:from>
    <xdr:to>
      <xdr:col>6</xdr:col>
      <xdr:colOff>400050</xdr:colOff>
      <xdr:row>545</xdr:row>
      <xdr:rowOff>133350</xdr:rowOff>
    </xdr:to>
    <xdr:sp macro="" textlink="">
      <xdr:nvSpPr>
        <xdr:cNvPr id="178" name="Text Box 31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 txBox="1">
          <a:spLocks noChangeArrowheads="1"/>
        </xdr:cNvSpPr>
      </xdr:nvSpPr>
      <xdr:spPr bwMode="auto">
        <a:xfrm>
          <a:off x="1724025" y="1100613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545</xdr:row>
      <xdr:rowOff>0</xdr:rowOff>
    </xdr:from>
    <xdr:to>
      <xdr:col>6</xdr:col>
      <xdr:colOff>400050</xdr:colOff>
      <xdr:row>545</xdr:row>
      <xdr:rowOff>133350</xdr:rowOff>
    </xdr:to>
    <xdr:sp macro="" textlink="">
      <xdr:nvSpPr>
        <xdr:cNvPr id="179" name="Text Box 29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 txBox="1">
          <a:spLocks noChangeArrowheads="1"/>
        </xdr:cNvSpPr>
      </xdr:nvSpPr>
      <xdr:spPr bwMode="auto">
        <a:xfrm>
          <a:off x="1724025" y="11006137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545</xdr:row>
      <xdr:rowOff>0</xdr:rowOff>
    </xdr:from>
    <xdr:to>
      <xdr:col>6</xdr:col>
      <xdr:colOff>400050</xdr:colOff>
      <xdr:row>545</xdr:row>
      <xdr:rowOff>76200</xdr:rowOff>
    </xdr:to>
    <xdr:sp macro="" textlink="">
      <xdr:nvSpPr>
        <xdr:cNvPr id="180" name="Text Box 27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 txBox="1">
          <a:spLocks noChangeArrowheads="1"/>
        </xdr:cNvSpPr>
      </xdr:nvSpPr>
      <xdr:spPr bwMode="auto">
        <a:xfrm>
          <a:off x="1724025" y="1100613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545</xdr:row>
      <xdr:rowOff>0</xdr:rowOff>
    </xdr:from>
    <xdr:to>
      <xdr:col>6</xdr:col>
      <xdr:colOff>400050</xdr:colOff>
      <xdr:row>545</xdr:row>
      <xdr:rowOff>76200</xdr:rowOff>
    </xdr:to>
    <xdr:sp macro="" textlink="">
      <xdr:nvSpPr>
        <xdr:cNvPr id="181" name="Text Box 25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 txBox="1">
          <a:spLocks noChangeArrowheads="1"/>
        </xdr:cNvSpPr>
      </xdr:nvSpPr>
      <xdr:spPr bwMode="auto">
        <a:xfrm>
          <a:off x="1724025" y="1100613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7</xdr:col>
      <xdr:colOff>400050</xdr:colOff>
      <xdr:row>545</xdr:row>
      <xdr:rowOff>161925</xdr:rowOff>
    </xdr:to>
    <xdr:sp macro="" textlink="">
      <xdr:nvSpPr>
        <xdr:cNvPr id="182" name="Text Box 22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 txBox="1">
          <a:spLocks noChangeArrowheads="1"/>
        </xdr:cNvSpPr>
      </xdr:nvSpPr>
      <xdr:spPr bwMode="auto">
        <a:xfrm>
          <a:off x="914400" y="1100613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545</xdr:row>
      <xdr:rowOff>0</xdr:rowOff>
    </xdr:from>
    <xdr:to>
      <xdr:col>6</xdr:col>
      <xdr:colOff>400050</xdr:colOff>
      <xdr:row>545</xdr:row>
      <xdr:rowOff>76200</xdr:rowOff>
    </xdr:to>
    <xdr:sp macro="" textlink="">
      <xdr:nvSpPr>
        <xdr:cNvPr id="183" name="Text Box 23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 txBox="1">
          <a:spLocks noChangeArrowheads="1"/>
        </xdr:cNvSpPr>
      </xdr:nvSpPr>
      <xdr:spPr bwMode="auto">
        <a:xfrm>
          <a:off x="1724025" y="11006137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7</xdr:col>
      <xdr:colOff>400050</xdr:colOff>
      <xdr:row>545</xdr:row>
      <xdr:rowOff>161925</xdr:rowOff>
    </xdr:to>
    <xdr:sp macro="" textlink="">
      <xdr:nvSpPr>
        <xdr:cNvPr id="184" name="Text Box 20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 txBox="1">
          <a:spLocks noChangeArrowheads="1"/>
        </xdr:cNvSpPr>
      </xdr:nvSpPr>
      <xdr:spPr bwMode="auto">
        <a:xfrm>
          <a:off x="914400" y="1100613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266700</xdr:colOff>
      <xdr:row>542</xdr:row>
      <xdr:rowOff>142875</xdr:rowOff>
    </xdr:from>
    <xdr:to>
      <xdr:col>5</xdr:col>
      <xdr:colOff>542925</xdr:colOff>
      <xdr:row>543</xdr:row>
      <xdr:rowOff>114300</xdr:rowOff>
    </xdr:to>
    <xdr:sp macro="" textlink="">
      <xdr:nvSpPr>
        <xdr:cNvPr id="185" name="Text Box 21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 txBox="1">
          <a:spLocks noChangeArrowheads="1"/>
        </xdr:cNvSpPr>
      </xdr:nvSpPr>
      <xdr:spPr bwMode="auto">
        <a:xfrm>
          <a:off x="1181100" y="109594650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545</xdr:row>
      <xdr:rowOff>0</xdr:rowOff>
    </xdr:from>
    <xdr:to>
      <xdr:col>1</xdr:col>
      <xdr:colOff>285750</xdr:colOff>
      <xdr:row>545</xdr:row>
      <xdr:rowOff>28575</xdr:rowOff>
    </xdr:to>
    <xdr:sp macro="" textlink="">
      <xdr:nvSpPr>
        <xdr:cNvPr id="186" name="Text Box 1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 txBox="1">
          <a:spLocks noChangeArrowheads="1"/>
        </xdr:cNvSpPr>
      </xdr:nvSpPr>
      <xdr:spPr bwMode="auto">
        <a:xfrm>
          <a:off x="1143000" y="1100613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400050</xdr:colOff>
      <xdr:row>35</xdr:row>
      <xdr:rowOff>152400</xdr:rowOff>
    </xdr:to>
    <xdr:sp macro="" textlink="">
      <xdr:nvSpPr>
        <xdr:cNvPr id="187" name="Text Box 1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 txBox="1">
          <a:spLocks noChangeArrowheads="1"/>
        </xdr:cNvSpPr>
      </xdr:nvSpPr>
      <xdr:spPr bwMode="auto">
        <a:xfrm>
          <a:off x="914400" y="741045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35</xdr:row>
      <xdr:rowOff>0</xdr:rowOff>
    </xdr:from>
    <xdr:to>
      <xdr:col>5</xdr:col>
      <xdr:colOff>295275</xdr:colOff>
      <xdr:row>35</xdr:row>
      <xdr:rowOff>142875</xdr:rowOff>
    </xdr:to>
    <xdr:sp macro="" textlink="">
      <xdr:nvSpPr>
        <xdr:cNvPr id="188" name="Text Box 2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 txBox="1">
          <a:spLocks noChangeArrowheads="1"/>
        </xdr:cNvSpPr>
      </xdr:nvSpPr>
      <xdr:spPr bwMode="auto">
        <a:xfrm>
          <a:off x="933450" y="7410450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400050</xdr:colOff>
      <xdr:row>35</xdr:row>
      <xdr:rowOff>142875</xdr:rowOff>
    </xdr:to>
    <xdr:sp macro="" textlink="">
      <xdr:nvSpPr>
        <xdr:cNvPr id="189" name="Text Box 3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 txBox="1">
          <a:spLocks noChangeArrowheads="1"/>
        </xdr:cNvSpPr>
      </xdr:nvSpPr>
      <xdr:spPr bwMode="auto">
        <a:xfrm>
          <a:off x="914400" y="7410450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35</xdr:row>
      <xdr:rowOff>0</xdr:rowOff>
    </xdr:from>
    <xdr:to>
      <xdr:col>5</xdr:col>
      <xdr:colOff>295275</xdr:colOff>
      <xdr:row>35</xdr:row>
      <xdr:rowOff>95250</xdr:rowOff>
    </xdr:to>
    <xdr:sp macro="" textlink="">
      <xdr:nvSpPr>
        <xdr:cNvPr id="190" name="Text Box 4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 txBox="1">
          <a:spLocks noChangeArrowheads="1"/>
        </xdr:cNvSpPr>
      </xdr:nvSpPr>
      <xdr:spPr bwMode="auto">
        <a:xfrm>
          <a:off x="933450" y="7410450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400050</xdr:colOff>
      <xdr:row>35</xdr:row>
      <xdr:rowOff>152400</xdr:rowOff>
    </xdr:to>
    <xdr:sp macro="" textlink="">
      <xdr:nvSpPr>
        <xdr:cNvPr id="191" name="Text Box 5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 txBox="1">
          <a:spLocks noChangeArrowheads="1"/>
        </xdr:cNvSpPr>
      </xdr:nvSpPr>
      <xdr:spPr bwMode="auto">
        <a:xfrm>
          <a:off x="914400" y="741045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400050</xdr:colOff>
      <xdr:row>35</xdr:row>
      <xdr:rowOff>152400</xdr:rowOff>
    </xdr:to>
    <xdr:sp macro="" textlink="">
      <xdr:nvSpPr>
        <xdr:cNvPr id="192" name="Text Box 6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 txBox="1">
          <a:spLocks noChangeArrowheads="1"/>
        </xdr:cNvSpPr>
      </xdr:nvSpPr>
      <xdr:spPr bwMode="auto">
        <a:xfrm>
          <a:off x="914400" y="741045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35</xdr:row>
      <xdr:rowOff>0</xdr:rowOff>
    </xdr:from>
    <xdr:to>
      <xdr:col>5</xdr:col>
      <xdr:colOff>295275</xdr:colOff>
      <xdr:row>35</xdr:row>
      <xdr:rowOff>95250</xdr:rowOff>
    </xdr:to>
    <xdr:sp macro="" textlink="">
      <xdr:nvSpPr>
        <xdr:cNvPr id="193" name="Text Box 7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 txBox="1">
          <a:spLocks noChangeArrowheads="1"/>
        </xdr:cNvSpPr>
      </xdr:nvSpPr>
      <xdr:spPr bwMode="auto">
        <a:xfrm>
          <a:off x="933450" y="7410450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9</xdr:col>
      <xdr:colOff>400050</xdr:colOff>
      <xdr:row>35</xdr:row>
      <xdr:rowOff>142875</xdr:rowOff>
    </xdr:to>
    <xdr:sp macro="" textlink="">
      <xdr:nvSpPr>
        <xdr:cNvPr id="194" name="Text Box 11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 txBox="1">
          <a:spLocks noChangeArrowheads="1"/>
        </xdr:cNvSpPr>
      </xdr:nvSpPr>
      <xdr:spPr bwMode="auto">
        <a:xfrm>
          <a:off x="2476500" y="7410450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400050</xdr:colOff>
      <xdr:row>35</xdr:row>
      <xdr:rowOff>152400</xdr:rowOff>
    </xdr:to>
    <xdr:sp macro="" textlink="">
      <xdr:nvSpPr>
        <xdr:cNvPr id="195" name="Text Box 1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 txBox="1">
          <a:spLocks noChangeArrowheads="1"/>
        </xdr:cNvSpPr>
      </xdr:nvSpPr>
      <xdr:spPr bwMode="auto">
        <a:xfrm>
          <a:off x="914400" y="741045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400050</xdr:colOff>
      <xdr:row>35</xdr:row>
      <xdr:rowOff>152400</xdr:rowOff>
    </xdr:to>
    <xdr:sp macro="" textlink="">
      <xdr:nvSpPr>
        <xdr:cNvPr id="196" name="Text Box 1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 txBox="1">
          <a:spLocks noChangeArrowheads="1"/>
        </xdr:cNvSpPr>
      </xdr:nvSpPr>
      <xdr:spPr bwMode="auto">
        <a:xfrm>
          <a:off x="914400" y="741045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35</xdr:row>
      <xdr:rowOff>0</xdr:rowOff>
    </xdr:from>
    <xdr:to>
      <xdr:col>5</xdr:col>
      <xdr:colOff>304800</xdr:colOff>
      <xdr:row>35</xdr:row>
      <xdr:rowOff>95250</xdr:rowOff>
    </xdr:to>
    <xdr:sp macro="" textlink="">
      <xdr:nvSpPr>
        <xdr:cNvPr id="197" name="Text Box 1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 txBox="1">
          <a:spLocks noChangeArrowheads="1"/>
        </xdr:cNvSpPr>
      </xdr:nvSpPr>
      <xdr:spPr bwMode="auto">
        <a:xfrm>
          <a:off x="942975" y="7410450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35</xdr:row>
      <xdr:rowOff>104775</xdr:rowOff>
    </xdr:from>
    <xdr:to>
      <xdr:col>20</xdr:col>
      <xdr:colOff>361950</xdr:colOff>
      <xdr:row>35</xdr:row>
      <xdr:rowOff>133350</xdr:rowOff>
    </xdr:to>
    <xdr:sp macro="" textlink="">
      <xdr:nvSpPr>
        <xdr:cNvPr id="198" name="Text Box 1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7491413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35</xdr:row>
      <xdr:rowOff>0</xdr:rowOff>
    </xdr:from>
    <xdr:to>
      <xdr:col>5</xdr:col>
      <xdr:colOff>352425</xdr:colOff>
      <xdr:row>35</xdr:row>
      <xdr:rowOff>28575</xdr:rowOff>
    </xdr:to>
    <xdr:sp macro="" textlink="">
      <xdr:nvSpPr>
        <xdr:cNvPr id="199" name="Text Box 14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 txBox="1">
          <a:spLocks noChangeArrowheads="1"/>
        </xdr:cNvSpPr>
      </xdr:nvSpPr>
      <xdr:spPr bwMode="auto">
        <a:xfrm>
          <a:off x="4133850" y="741045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35</xdr:row>
      <xdr:rowOff>0</xdr:rowOff>
    </xdr:from>
    <xdr:to>
      <xdr:col>5</xdr:col>
      <xdr:colOff>323850</xdr:colOff>
      <xdr:row>35</xdr:row>
      <xdr:rowOff>28575</xdr:rowOff>
    </xdr:to>
    <xdr:sp macro="" textlink="">
      <xdr:nvSpPr>
        <xdr:cNvPr id="200" name="Text Box 15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 txBox="1">
          <a:spLocks noChangeArrowheads="1"/>
        </xdr:cNvSpPr>
      </xdr:nvSpPr>
      <xdr:spPr bwMode="auto">
        <a:xfrm>
          <a:off x="4105275" y="741045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35</xdr:row>
      <xdr:rowOff>0</xdr:rowOff>
    </xdr:from>
    <xdr:to>
      <xdr:col>5</xdr:col>
      <xdr:colOff>457200</xdr:colOff>
      <xdr:row>35</xdr:row>
      <xdr:rowOff>28575</xdr:rowOff>
    </xdr:to>
    <xdr:sp macro="" textlink="">
      <xdr:nvSpPr>
        <xdr:cNvPr id="201" name="Text Box 16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 txBox="1">
          <a:spLocks noChangeArrowheads="1"/>
        </xdr:cNvSpPr>
      </xdr:nvSpPr>
      <xdr:spPr bwMode="auto">
        <a:xfrm>
          <a:off x="4210050" y="7410450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8</xdr:col>
      <xdr:colOff>400050</xdr:colOff>
      <xdr:row>35</xdr:row>
      <xdr:rowOff>161925</xdr:rowOff>
    </xdr:to>
    <xdr:sp macro="" textlink="">
      <xdr:nvSpPr>
        <xdr:cNvPr id="202" name="Text Box 20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 txBox="1">
          <a:spLocks noChangeArrowheads="1"/>
        </xdr:cNvSpPr>
      </xdr:nvSpPr>
      <xdr:spPr bwMode="auto">
        <a:xfrm>
          <a:off x="1638300" y="7410450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35</xdr:row>
      <xdr:rowOff>0</xdr:rowOff>
    </xdr:from>
    <xdr:to>
      <xdr:col>6</xdr:col>
      <xdr:colOff>295275</xdr:colOff>
      <xdr:row>35</xdr:row>
      <xdr:rowOff>161925</xdr:rowOff>
    </xdr:to>
    <xdr:sp macro="" textlink="">
      <xdr:nvSpPr>
        <xdr:cNvPr id="203" name="Text Box 21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 txBox="1">
          <a:spLocks noChangeArrowheads="1"/>
        </xdr:cNvSpPr>
      </xdr:nvSpPr>
      <xdr:spPr bwMode="auto">
        <a:xfrm>
          <a:off x="1657350" y="7410450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8</xdr:col>
      <xdr:colOff>400050</xdr:colOff>
      <xdr:row>35</xdr:row>
      <xdr:rowOff>161925</xdr:rowOff>
    </xdr:to>
    <xdr:sp macro="" textlink="">
      <xdr:nvSpPr>
        <xdr:cNvPr id="204" name="Text Box 18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 txBox="1">
          <a:spLocks noChangeArrowheads="1"/>
        </xdr:cNvSpPr>
      </xdr:nvSpPr>
      <xdr:spPr bwMode="auto">
        <a:xfrm>
          <a:off x="1638300" y="7410450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35</xdr:row>
      <xdr:rowOff>0</xdr:rowOff>
    </xdr:from>
    <xdr:to>
      <xdr:col>6</xdr:col>
      <xdr:colOff>295275</xdr:colOff>
      <xdr:row>35</xdr:row>
      <xdr:rowOff>161925</xdr:rowOff>
    </xdr:to>
    <xdr:sp macro="" textlink="">
      <xdr:nvSpPr>
        <xdr:cNvPr id="205" name="Text Box 19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 txBox="1">
          <a:spLocks noChangeArrowheads="1"/>
        </xdr:cNvSpPr>
      </xdr:nvSpPr>
      <xdr:spPr bwMode="auto">
        <a:xfrm>
          <a:off x="1657350" y="7410450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35</xdr:row>
      <xdr:rowOff>0</xdr:rowOff>
    </xdr:from>
    <xdr:to>
      <xdr:col>2</xdr:col>
      <xdr:colOff>285750</xdr:colOff>
      <xdr:row>35</xdr:row>
      <xdr:rowOff>28575</xdr:rowOff>
    </xdr:to>
    <xdr:sp macro="" textlink="">
      <xdr:nvSpPr>
        <xdr:cNvPr id="206" name="Text Box 1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 txBox="1">
          <a:spLocks noChangeArrowheads="1"/>
        </xdr:cNvSpPr>
      </xdr:nvSpPr>
      <xdr:spPr bwMode="auto">
        <a:xfrm>
          <a:off x="1866900" y="741045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7</xdr:col>
      <xdr:colOff>400050</xdr:colOff>
      <xdr:row>69</xdr:row>
      <xdr:rowOff>152400</xdr:rowOff>
    </xdr:to>
    <xdr:sp macro="" textlink="">
      <xdr:nvSpPr>
        <xdr:cNvPr id="207" name="Text Box 1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 txBox="1">
          <a:spLocks noChangeArrowheads="1"/>
        </xdr:cNvSpPr>
      </xdr:nvSpPr>
      <xdr:spPr bwMode="auto">
        <a:xfrm>
          <a:off x="914400" y="142589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69</xdr:row>
      <xdr:rowOff>0</xdr:rowOff>
    </xdr:from>
    <xdr:to>
      <xdr:col>5</xdr:col>
      <xdr:colOff>295275</xdr:colOff>
      <xdr:row>69</xdr:row>
      <xdr:rowOff>142875</xdr:rowOff>
    </xdr:to>
    <xdr:sp macro="" textlink="">
      <xdr:nvSpPr>
        <xdr:cNvPr id="208" name="Text Box 2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 txBox="1">
          <a:spLocks noChangeArrowheads="1"/>
        </xdr:cNvSpPr>
      </xdr:nvSpPr>
      <xdr:spPr bwMode="auto">
        <a:xfrm>
          <a:off x="933450" y="1425892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7</xdr:col>
      <xdr:colOff>400050</xdr:colOff>
      <xdr:row>69</xdr:row>
      <xdr:rowOff>142875</xdr:rowOff>
    </xdr:to>
    <xdr:sp macro="" textlink="">
      <xdr:nvSpPr>
        <xdr:cNvPr id="209" name="Text Box 3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 txBox="1">
          <a:spLocks noChangeArrowheads="1"/>
        </xdr:cNvSpPr>
      </xdr:nvSpPr>
      <xdr:spPr bwMode="auto">
        <a:xfrm>
          <a:off x="914400" y="142589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69</xdr:row>
      <xdr:rowOff>0</xdr:rowOff>
    </xdr:from>
    <xdr:to>
      <xdr:col>5</xdr:col>
      <xdr:colOff>295275</xdr:colOff>
      <xdr:row>69</xdr:row>
      <xdr:rowOff>95250</xdr:rowOff>
    </xdr:to>
    <xdr:sp macro="" textlink="">
      <xdr:nvSpPr>
        <xdr:cNvPr id="210" name="Text Box 4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 txBox="1">
          <a:spLocks noChangeArrowheads="1"/>
        </xdr:cNvSpPr>
      </xdr:nvSpPr>
      <xdr:spPr bwMode="auto">
        <a:xfrm>
          <a:off x="933450" y="142589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7</xdr:col>
      <xdr:colOff>400050</xdr:colOff>
      <xdr:row>69</xdr:row>
      <xdr:rowOff>152400</xdr:rowOff>
    </xdr:to>
    <xdr:sp macro="" textlink="">
      <xdr:nvSpPr>
        <xdr:cNvPr id="211" name="Text Box 5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 txBox="1">
          <a:spLocks noChangeArrowheads="1"/>
        </xdr:cNvSpPr>
      </xdr:nvSpPr>
      <xdr:spPr bwMode="auto">
        <a:xfrm>
          <a:off x="914400" y="142589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7</xdr:col>
      <xdr:colOff>400050</xdr:colOff>
      <xdr:row>69</xdr:row>
      <xdr:rowOff>152400</xdr:rowOff>
    </xdr:to>
    <xdr:sp macro="" textlink="">
      <xdr:nvSpPr>
        <xdr:cNvPr id="212" name="Text Box 6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 txBox="1">
          <a:spLocks noChangeArrowheads="1"/>
        </xdr:cNvSpPr>
      </xdr:nvSpPr>
      <xdr:spPr bwMode="auto">
        <a:xfrm>
          <a:off x="914400" y="142589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69</xdr:row>
      <xdr:rowOff>0</xdr:rowOff>
    </xdr:from>
    <xdr:to>
      <xdr:col>5</xdr:col>
      <xdr:colOff>295275</xdr:colOff>
      <xdr:row>69</xdr:row>
      <xdr:rowOff>95250</xdr:rowOff>
    </xdr:to>
    <xdr:sp macro="" textlink="">
      <xdr:nvSpPr>
        <xdr:cNvPr id="213" name="Text Box 7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 txBox="1">
          <a:spLocks noChangeArrowheads="1"/>
        </xdr:cNvSpPr>
      </xdr:nvSpPr>
      <xdr:spPr bwMode="auto">
        <a:xfrm>
          <a:off x="933450" y="142589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69</xdr:row>
      <xdr:rowOff>0</xdr:rowOff>
    </xdr:from>
    <xdr:to>
      <xdr:col>9</xdr:col>
      <xdr:colOff>400050</xdr:colOff>
      <xdr:row>69</xdr:row>
      <xdr:rowOff>142875</xdr:rowOff>
    </xdr:to>
    <xdr:sp macro="" textlink="">
      <xdr:nvSpPr>
        <xdr:cNvPr id="214" name="Text Box 11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 txBox="1">
          <a:spLocks noChangeArrowheads="1"/>
        </xdr:cNvSpPr>
      </xdr:nvSpPr>
      <xdr:spPr bwMode="auto">
        <a:xfrm>
          <a:off x="2476500" y="142589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7</xdr:col>
      <xdr:colOff>400050</xdr:colOff>
      <xdr:row>69</xdr:row>
      <xdr:rowOff>152400</xdr:rowOff>
    </xdr:to>
    <xdr:sp macro="" textlink="">
      <xdr:nvSpPr>
        <xdr:cNvPr id="215" name="Text Box 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 txBox="1">
          <a:spLocks noChangeArrowheads="1"/>
        </xdr:cNvSpPr>
      </xdr:nvSpPr>
      <xdr:spPr bwMode="auto">
        <a:xfrm>
          <a:off x="914400" y="142589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7</xdr:col>
      <xdr:colOff>400050</xdr:colOff>
      <xdr:row>69</xdr:row>
      <xdr:rowOff>152400</xdr:rowOff>
    </xdr:to>
    <xdr:sp macro="" textlink="">
      <xdr:nvSpPr>
        <xdr:cNvPr id="216" name="Text Box 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 txBox="1">
          <a:spLocks noChangeArrowheads="1"/>
        </xdr:cNvSpPr>
      </xdr:nvSpPr>
      <xdr:spPr bwMode="auto">
        <a:xfrm>
          <a:off x="914400" y="142589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69</xdr:row>
      <xdr:rowOff>0</xdr:rowOff>
    </xdr:from>
    <xdr:to>
      <xdr:col>5</xdr:col>
      <xdr:colOff>304800</xdr:colOff>
      <xdr:row>69</xdr:row>
      <xdr:rowOff>95250</xdr:rowOff>
    </xdr:to>
    <xdr:sp macro="" textlink="">
      <xdr:nvSpPr>
        <xdr:cNvPr id="217" name="Text Box 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 txBox="1">
          <a:spLocks noChangeArrowheads="1"/>
        </xdr:cNvSpPr>
      </xdr:nvSpPr>
      <xdr:spPr bwMode="auto">
        <a:xfrm>
          <a:off x="942975" y="142589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69</xdr:row>
      <xdr:rowOff>104775</xdr:rowOff>
    </xdr:from>
    <xdr:to>
      <xdr:col>20</xdr:col>
      <xdr:colOff>361950</xdr:colOff>
      <xdr:row>69</xdr:row>
      <xdr:rowOff>133350</xdr:rowOff>
    </xdr:to>
    <xdr:sp macro="" textlink="">
      <xdr:nvSpPr>
        <xdr:cNvPr id="218" name="Text Box 1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1433988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69</xdr:row>
      <xdr:rowOff>0</xdr:rowOff>
    </xdr:from>
    <xdr:to>
      <xdr:col>5</xdr:col>
      <xdr:colOff>352425</xdr:colOff>
      <xdr:row>69</xdr:row>
      <xdr:rowOff>28575</xdr:rowOff>
    </xdr:to>
    <xdr:sp macro="" textlink="">
      <xdr:nvSpPr>
        <xdr:cNvPr id="219" name="Text Box 14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 txBox="1">
          <a:spLocks noChangeArrowheads="1"/>
        </xdr:cNvSpPr>
      </xdr:nvSpPr>
      <xdr:spPr bwMode="auto">
        <a:xfrm>
          <a:off x="4133850" y="142589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69</xdr:row>
      <xdr:rowOff>0</xdr:rowOff>
    </xdr:from>
    <xdr:to>
      <xdr:col>5</xdr:col>
      <xdr:colOff>323850</xdr:colOff>
      <xdr:row>69</xdr:row>
      <xdr:rowOff>28575</xdr:rowOff>
    </xdr:to>
    <xdr:sp macro="" textlink="">
      <xdr:nvSpPr>
        <xdr:cNvPr id="220" name="Text Box 15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 txBox="1">
          <a:spLocks noChangeArrowheads="1"/>
        </xdr:cNvSpPr>
      </xdr:nvSpPr>
      <xdr:spPr bwMode="auto">
        <a:xfrm>
          <a:off x="4105275" y="142589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69</xdr:row>
      <xdr:rowOff>0</xdr:rowOff>
    </xdr:from>
    <xdr:to>
      <xdr:col>5</xdr:col>
      <xdr:colOff>457200</xdr:colOff>
      <xdr:row>69</xdr:row>
      <xdr:rowOff>28575</xdr:rowOff>
    </xdr:to>
    <xdr:sp macro="" textlink="">
      <xdr:nvSpPr>
        <xdr:cNvPr id="221" name="Text Box 16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 txBox="1">
          <a:spLocks noChangeArrowheads="1"/>
        </xdr:cNvSpPr>
      </xdr:nvSpPr>
      <xdr:spPr bwMode="auto">
        <a:xfrm>
          <a:off x="4210050" y="1425892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69</xdr:row>
      <xdr:rowOff>0</xdr:rowOff>
    </xdr:from>
    <xdr:to>
      <xdr:col>8</xdr:col>
      <xdr:colOff>400050</xdr:colOff>
      <xdr:row>69</xdr:row>
      <xdr:rowOff>161925</xdr:rowOff>
    </xdr:to>
    <xdr:sp macro="" textlink="">
      <xdr:nvSpPr>
        <xdr:cNvPr id="222" name="Text Box 20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 txBox="1">
          <a:spLocks noChangeArrowheads="1"/>
        </xdr:cNvSpPr>
      </xdr:nvSpPr>
      <xdr:spPr bwMode="auto">
        <a:xfrm>
          <a:off x="1638300" y="142589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69</xdr:row>
      <xdr:rowOff>0</xdr:rowOff>
    </xdr:from>
    <xdr:to>
      <xdr:col>6</xdr:col>
      <xdr:colOff>295275</xdr:colOff>
      <xdr:row>69</xdr:row>
      <xdr:rowOff>161925</xdr:rowOff>
    </xdr:to>
    <xdr:sp macro="" textlink="">
      <xdr:nvSpPr>
        <xdr:cNvPr id="223" name="Text Box 21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 txBox="1">
          <a:spLocks noChangeArrowheads="1"/>
        </xdr:cNvSpPr>
      </xdr:nvSpPr>
      <xdr:spPr bwMode="auto">
        <a:xfrm>
          <a:off x="1657350" y="142589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69</xdr:row>
      <xdr:rowOff>0</xdr:rowOff>
    </xdr:from>
    <xdr:to>
      <xdr:col>8</xdr:col>
      <xdr:colOff>400050</xdr:colOff>
      <xdr:row>69</xdr:row>
      <xdr:rowOff>161925</xdr:rowOff>
    </xdr:to>
    <xdr:sp macro="" textlink="">
      <xdr:nvSpPr>
        <xdr:cNvPr id="224" name="Text Box 18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 txBox="1">
          <a:spLocks noChangeArrowheads="1"/>
        </xdr:cNvSpPr>
      </xdr:nvSpPr>
      <xdr:spPr bwMode="auto">
        <a:xfrm>
          <a:off x="1638300" y="142589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69</xdr:row>
      <xdr:rowOff>0</xdr:rowOff>
    </xdr:from>
    <xdr:to>
      <xdr:col>6</xdr:col>
      <xdr:colOff>295275</xdr:colOff>
      <xdr:row>69</xdr:row>
      <xdr:rowOff>161925</xdr:rowOff>
    </xdr:to>
    <xdr:sp macro="" textlink="">
      <xdr:nvSpPr>
        <xdr:cNvPr id="225" name="Text Box 19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 txBox="1">
          <a:spLocks noChangeArrowheads="1"/>
        </xdr:cNvSpPr>
      </xdr:nvSpPr>
      <xdr:spPr bwMode="auto">
        <a:xfrm>
          <a:off x="1657350" y="142589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69</xdr:row>
      <xdr:rowOff>0</xdr:rowOff>
    </xdr:from>
    <xdr:to>
      <xdr:col>2</xdr:col>
      <xdr:colOff>285750</xdr:colOff>
      <xdr:row>69</xdr:row>
      <xdr:rowOff>28575</xdr:rowOff>
    </xdr:to>
    <xdr:sp macro="" textlink="">
      <xdr:nvSpPr>
        <xdr:cNvPr id="226" name="Text Box 1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 txBox="1">
          <a:spLocks noChangeArrowheads="1"/>
        </xdr:cNvSpPr>
      </xdr:nvSpPr>
      <xdr:spPr bwMode="auto">
        <a:xfrm>
          <a:off x="1866900" y="142589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7</xdr:col>
      <xdr:colOff>400050</xdr:colOff>
      <xdr:row>103</xdr:row>
      <xdr:rowOff>152400</xdr:rowOff>
    </xdr:to>
    <xdr:sp macro="" textlink="">
      <xdr:nvSpPr>
        <xdr:cNvPr id="227" name="Text Box 1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 txBox="1">
          <a:spLocks noChangeArrowheads="1"/>
        </xdr:cNvSpPr>
      </xdr:nvSpPr>
      <xdr:spPr bwMode="auto">
        <a:xfrm>
          <a:off x="914400" y="210978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103</xdr:row>
      <xdr:rowOff>0</xdr:rowOff>
    </xdr:from>
    <xdr:to>
      <xdr:col>5</xdr:col>
      <xdr:colOff>295275</xdr:colOff>
      <xdr:row>103</xdr:row>
      <xdr:rowOff>142875</xdr:rowOff>
    </xdr:to>
    <xdr:sp macro="" textlink="">
      <xdr:nvSpPr>
        <xdr:cNvPr id="228" name="Text Box 2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 txBox="1">
          <a:spLocks noChangeArrowheads="1"/>
        </xdr:cNvSpPr>
      </xdr:nvSpPr>
      <xdr:spPr bwMode="auto">
        <a:xfrm>
          <a:off x="933450" y="2109787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7</xdr:col>
      <xdr:colOff>400050</xdr:colOff>
      <xdr:row>103</xdr:row>
      <xdr:rowOff>142875</xdr:rowOff>
    </xdr:to>
    <xdr:sp macro="" textlink="">
      <xdr:nvSpPr>
        <xdr:cNvPr id="229" name="Text Box 3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 txBox="1">
          <a:spLocks noChangeArrowheads="1"/>
        </xdr:cNvSpPr>
      </xdr:nvSpPr>
      <xdr:spPr bwMode="auto">
        <a:xfrm>
          <a:off x="914400" y="210978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103</xdr:row>
      <xdr:rowOff>0</xdr:rowOff>
    </xdr:from>
    <xdr:to>
      <xdr:col>5</xdr:col>
      <xdr:colOff>295275</xdr:colOff>
      <xdr:row>103</xdr:row>
      <xdr:rowOff>95250</xdr:rowOff>
    </xdr:to>
    <xdr:sp macro="" textlink="">
      <xdr:nvSpPr>
        <xdr:cNvPr id="230" name="Text Box 4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 txBox="1">
          <a:spLocks noChangeArrowheads="1"/>
        </xdr:cNvSpPr>
      </xdr:nvSpPr>
      <xdr:spPr bwMode="auto">
        <a:xfrm>
          <a:off x="933450" y="210978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7</xdr:col>
      <xdr:colOff>400050</xdr:colOff>
      <xdr:row>103</xdr:row>
      <xdr:rowOff>152400</xdr:rowOff>
    </xdr:to>
    <xdr:sp macro="" textlink="">
      <xdr:nvSpPr>
        <xdr:cNvPr id="231" name="Text Box 5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 txBox="1">
          <a:spLocks noChangeArrowheads="1"/>
        </xdr:cNvSpPr>
      </xdr:nvSpPr>
      <xdr:spPr bwMode="auto">
        <a:xfrm>
          <a:off x="914400" y="210978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7</xdr:col>
      <xdr:colOff>400050</xdr:colOff>
      <xdr:row>103</xdr:row>
      <xdr:rowOff>152400</xdr:rowOff>
    </xdr:to>
    <xdr:sp macro="" textlink="">
      <xdr:nvSpPr>
        <xdr:cNvPr id="232" name="Text Box 6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 txBox="1">
          <a:spLocks noChangeArrowheads="1"/>
        </xdr:cNvSpPr>
      </xdr:nvSpPr>
      <xdr:spPr bwMode="auto">
        <a:xfrm>
          <a:off x="914400" y="210978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103</xdr:row>
      <xdr:rowOff>0</xdr:rowOff>
    </xdr:from>
    <xdr:to>
      <xdr:col>5</xdr:col>
      <xdr:colOff>295275</xdr:colOff>
      <xdr:row>103</xdr:row>
      <xdr:rowOff>95250</xdr:rowOff>
    </xdr:to>
    <xdr:sp macro="" textlink="">
      <xdr:nvSpPr>
        <xdr:cNvPr id="233" name="Text Box 7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 txBox="1">
          <a:spLocks noChangeArrowheads="1"/>
        </xdr:cNvSpPr>
      </xdr:nvSpPr>
      <xdr:spPr bwMode="auto">
        <a:xfrm>
          <a:off x="933450" y="210978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103</xdr:row>
      <xdr:rowOff>0</xdr:rowOff>
    </xdr:from>
    <xdr:to>
      <xdr:col>9</xdr:col>
      <xdr:colOff>400050</xdr:colOff>
      <xdr:row>103</xdr:row>
      <xdr:rowOff>142875</xdr:rowOff>
    </xdr:to>
    <xdr:sp macro="" textlink="">
      <xdr:nvSpPr>
        <xdr:cNvPr id="234" name="Text Box 11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 txBox="1">
          <a:spLocks noChangeArrowheads="1"/>
        </xdr:cNvSpPr>
      </xdr:nvSpPr>
      <xdr:spPr bwMode="auto">
        <a:xfrm>
          <a:off x="2476500" y="210978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7</xdr:col>
      <xdr:colOff>400050</xdr:colOff>
      <xdr:row>103</xdr:row>
      <xdr:rowOff>152400</xdr:rowOff>
    </xdr:to>
    <xdr:sp macro="" textlink="">
      <xdr:nvSpPr>
        <xdr:cNvPr id="235" name="Text Box 1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 txBox="1">
          <a:spLocks noChangeArrowheads="1"/>
        </xdr:cNvSpPr>
      </xdr:nvSpPr>
      <xdr:spPr bwMode="auto">
        <a:xfrm>
          <a:off x="914400" y="210978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7</xdr:col>
      <xdr:colOff>400050</xdr:colOff>
      <xdr:row>103</xdr:row>
      <xdr:rowOff>152400</xdr:rowOff>
    </xdr:to>
    <xdr:sp macro="" textlink="">
      <xdr:nvSpPr>
        <xdr:cNvPr id="236" name="Text Box 1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 txBox="1">
          <a:spLocks noChangeArrowheads="1"/>
        </xdr:cNvSpPr>
      </xdr:nvSpPr>
      <xdr:spPr bwMode="auto">
        <a:xfrm>
          <a:off x="914400" y="210978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103</xdr:row>
      <xdr:rowOff>0</xdr:rowOff>
    </xdr:from>
    <xdr:to>
      <xdr:col>5</xdr:col>
      <xdr:colOff>304800</xdr:colOff>
      <xdr:row>103</xdr:row>
      <xdr:rowOff>95250</xdr:rowOff>
    </xdr:to>
    <xdr:sp macro="" textlink="">
      <xdr:nvSpPr>
        <xdr:cNvPr id="237" name="Text Box 1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 txBox="1">
          <a:spLocks noChangeArrowheads="1"/>
        </xdr:cNvSpPr>
      </xdr:nvSpPr>
      <xdr:spPr bwMode="auto">
        <a:xfrm>
          <a:off x="942975" y="210978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103</xdr:row>
      <xdr:rowOff>104775</xdr:rowOff>
    </xdr:from>
    <xdr:to>
      <xdr:col>20</xdr:col>
      <xdr:colOff>361950</xdr:colOff>
      <xdr:row>103</xdr:row>
      <xdr:rowOff>133350</xdr:rowOff>
    </xdr:to>
    <xdr:sp macro="" textlink="">
      <xdr:nvSpPr>
        <xdr:cNvPr id="238" name="Text Box 1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2117883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103</xdr:row>
      <xdr:rowOff>0</xdr:rowOff>
    </xdr:from>
    <xdr:to>
      <xdr:col>5</xdr:col>
      <xdr:colOff>352425</xdr:colOff>
      <xdr:row>103</xdr:row>
      <xdr:rowOff>28575</xdr:rowOff>
    </xdr:to>
    <xdr:sp macro="" textlink="">
      <xdr:nvSpPr>
        <xdr:cNvPr id="239" name="Text Box 14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 txBox="1">
          <a:spLocks noChangeArrowheads="1"/>
        </xdr:cNvSpPr>
      </xdr:nvSpPr>
      <xdr:spPr bwMode="auto">
        <a:xfrm>
          <a:off x="4133850" y="210978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103</xdr:row>
      <xdr:rowOff>0</xdr:rowOff>
    </xdr:from>
    <xdr:to>
      <xdr:col>5</xdr:col>
      <xdr:colOff>323850</xdr:colOff>
      <xdr:row>103</xdr:row>
      <xdr:rowOff>28575</xdr:rowOff>
    </xdr:to>
    <xdr:sp macro="" textlink="">
      <xdr:nvSpPr>
        <xdr:cNvPr id="240" name="Text Box 15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 txBox="1">
          <a:spLocks noChangeArrowheads="1"/>
        </xdr:cNvSpPr>
      </xdr:nvSpPr>
      <xdr:spPr bwMode="auto">
        <a:xfrm>
          <a:off x="4105275" y="210978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103</xdr:row>
      <xdr:rowOff>0</xdr:rowOff>
    </xdr:from>
    <xdr:to>
      <xdr:col>5</xdr:col>
      <xdr:colOff>457200</xdr:colOff>
      <xdr:row>103</xdr:row>
      <xdr:rowOff>28575</xdr:rowOff>
    </xdr:to>
    <xdr:sp macro="" textlink="">
      <xdr:nvSpPr>
        <xdr:cNvPr id="241" name="Text Box 16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 txBox="1">
          <a:spLocks noChangeArrowheads="1"/>
        </xdr:cNvSpPr>
      </xdr:nvSpPr>
      <xdr:spPr bwMode="auto">
        <a:xfrm>
          <a:off x="4210050" y="2109787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103</xdr:row>
      <xdr:rowOff>0</xdr:rowOff>
    </xdr:from>
    <xdr:to>
      <xdr:col>8</xdr:col>
      <xdr:colOff>400050</xdr:colOff>
      <xdr:row>103</xdr:row>
      <xdr:rowOff>161925</xdr:rowOff>
    </xdr:to>
    <xdr:sp macro="" textlink="">
      <xdr:nvSpPr>
        <xdr:cNvPr id="242" name="Text Box 20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 txBox="1">
          <a:spLocks noChangeArrowheads="1"/>
        </xdr:cNvSpPr>
      </xdr:nvSpPr>
      <xdr:spPr bwMode="auto">
        <a:xfrm>
          <a:off x="1638300" y="210978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103</xdr:row>
      <xdr:rowOff>0</xdr:rowOff>
    </xdr:from>
    <xdr:to>
      <xdr:col>6</xdr:col>
      <xdr:colOff>295275</xdr:colOff>
      <xdr:row>103</xdr:row>
      <xdr:rowOff>161925</xdr:rowOff>
    </xdr:to>
    <xdr:sp macro="" textlink="">
      <xdr:nvSpPr>
        <xdr:cNvPr id="243" name="Text Box 21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 txBox="1">
          <a:spLocks noChangeArrowheads="1"/>
        </xdr:cNvSpPr>
      </xdr:nvSpPr>
      <xdr:spPr bwMode="auto">
        <a:xfrm>
          <a:off x="1657350" y="210978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103</xdr:row>
      <xdr:rowOff>0</xdr:rowOff>
    </xdr:from>
    <xdr:to>
      <xdr:col>8</xdr:col>
      <xdr:colOff>400050</xdr:colOff>
      <xdr:row>103</xdr:row>
      <xdr:rowOff>161925</xdr:rowOff>
    </xdr:to>
    <xdr:sp macro="" textlink="">
      <xdr:nvSpPr>
        <xdr:cNvPr id="244" name="Text Box 18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 txBox="1">
          <a:spLocks noChangeArrowheads="1"/>
        </xdr:cNvSpPr>
      </xdr:nvSpPr>
      <xdr:spPr bwMode="auto">
        <a:xfrm>
          <a:off x="1638300" y="210978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103</xdr:row>
      <xdr:rowOff>0</xdr:rowOff>
    </xdr:from>
    <xdr:to>
      <xdr:col>6</xdr:col>
      <xdr:colOff>295275</xdr:colOff>
      <xdr:row>103</xdr:row>
      <xdr:rowOff>161925</xdr:rowOff>
    </xdr:to>
    <xdr:sp macro="" textlink="">
      <xdr:nvSpPr>
        <xdr:cNvPr id="245" name="Text Box 19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 txBox="1">
          <a:spLocks noChangeArrowheads="1"/>
        </xdr:cNvSpPr>
      </xdr:nvSpPr>
      <xdr:spPr bwMode="auto">
        <a:xfrm>
          <a:off x="1657350" y="210978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103</xdr:row>
      <xdr:rowOff>0</xdr:rowOff>
    </xdr:from>
    <xdr:to>
      <xdr:col>2</xdr:col>
      <xdr:colOff>285750</xdr:colOff>
      <xdr:row>103</xdr:row>
      <xdr:rowOff>28575</xdr:rowOff>
    </xdr:to>
    <xdr:sp macro="" textlink="">
      <xdr:nvSpPr>
        <xdr:cNvPr id="246" name="Text Box 1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 txBox="1">
          <a:spLocks noChangeArrowheads="1"/>
        </xdr:cNvSpPr>
      </xdr:nvSpPr>
      <xdr:spPr bwMode="auto">
        <a:xfrm>
          <a:off x="1866900" y="210978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7</xdr:col>
      <xdr:colOff>400050</xdr:colOff>
      <xdr:row>137</xdr:row>
      <xdr:rowOff>152400</xdr:rowOff>
    </xdr:to>
    <xdr:sp macro="" textlink="">
      <xdr:nvSpPr>
        <xdr:cNvPr id="247" name="Text Box 1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 txBox="1">
          <a:spLocks noChangeArrowheads="1"/>
        </xdr:cNvSpPr>
      </xdr:nvSpPr>
      <xdr:spPr bwMode="auto">
        <a:xfrm>
          <a:off x="914400" y="279368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137</xdr:row>
      <xdr:rowOff>0</xdr:rowOff>
    </xdr:from>
    <xdr:to>
      <xdr:col>5</xdr:col>
      <xdr:colOff>295275</xdr:colOff>
      <xdr:row>137</xdr:row>
      <xdr:rowOff>142875</xdr:rowOff>
    </xdr:to>
    <xdr:sp macro="" textlink="">
      <xdr:nvSpPr>
        <xdr:cNvPr id="248" name="Text Box 2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 txBox="1">
          <a:spLocks noChangeArrowheads="1"/>
        </xdr:cNvSpPr>
      </xdr:nvSpPr>
      <xdr:spPr bwMode="auto">
        <a:xfrm>
          <a:off x="933450" y="2793682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7</xdr:col>
      <xdr:colOff>400050</xdr:colOff>
      <xdr:row>137</xdr:row>
      <xdr:rowOff>142875</xdr:rowOff>
    </xdr:to>
    <xdr:sp macro="" textlink="">
      <xdr:nvSpPr>
        <xdr:cNvPr id="249" name="Text Box 3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 txBox="1">
          <a:spLocks noChangeArrowheads="1"/>
        </xdr:cNvSpPr>
      </xdr:nvSpPr>
      <xdr:spPr bwMode="auto">
        <a:xfrm>
          <a:off x="914400" y="279368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137</xdr:row>
      <xdr:rowOff>0</xdr:rowOff>
    </xdr:from>
    <xdr:to>
      <xdr:col>5</xdr:col>
      <xdr:colOff>295275</xdr:colOff>
      <xdr:row>137</xdr:row>
      <xdr:rowOff>95250</xdr:rowOff>
    </xdr:to>
    <xdr:sp macro="" textlink="">
      <xdr:nvSpPr>
        <xdr:cNvPr id="250" name="Text Box 4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 txBox="1">
          <a:spLocks noChangeArrowheads="1"/>
        </xdr:cNvSpPr>
      </xdr:nvSpPr>
      <xdr:spPr bwMode="auto">
        <a:xfrm>
          <a:off x="933450" y="279368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7</xdr:col>
      <xdr:colOff>400050</xdr:colOff>
      <xdr:row>137</xdr:row>
      <xdr:rowOff>152400</xdr:rowOff>
    </xdr:to>
    <xdr:sp macro="" textlink="">
      <xdr:nvSpPr>
        <xdr:cNvPr id="251" name="Text Box 5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 txBox="1">
          <a:spLocks noChangeArrowheads="1"/>
        </xdr:cNvSpPr>
      </xdr:nvSpPr>
      <xdr:spPr bwMode="auto">
        <a:xfrm>
          <a:off x="914400" y="279368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7</xdr:col>
      <xdr:colOff>400050</xdr:colOff>
      <xdr:row>137</xdr:row>
      <xdr:rowOff>152400</xdr:rowOff>
    </xdr:to>
    <xdr:sp macro="" textlink="">
      <xdr:nvSpPr>
        <xdr:cNvPr id="252" name="Text Box 6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 txBox="1">
          <a:spLocks noChangeArrowheads="1"/>
        </xdr:cNvSpPr>
      </xdr:nvSpPr>
      <xdr:spPr bwMode="auto">
        <a:xfrm>
          <a:off x="914400" y="279368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137</xdr:row>
      <xdr:rowOff>0</xdr:rowOff>
    </xdr:from>
    <xdr:to>
      <xdr:col>5</xdr:col>
      <xdr:colOff>295275</xdr:colOff>
      <xdr:row>137</xdr:row>
      <xdr:rowOff>95250</xdr:rowOff>
    </xdr:to>
    <xdr:sp macro="" textlink="">
      <xdr:nvSpPr>
        <xdr:cNvPr id="253" name="Text Box 7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 txBox="1">
          <a:spLocks noChangeArrowheads="1"/>
        </xdr:cNvSpPr>
      </xdr:nvSpPr>
      <xdr:spPr bwMode="auto">
        <a:xfrm>
          <a:off x="933450" y="279368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137</xdr:row>
      <xdr:rowOff>0</xdr:rowOff>
    </xdr:from>
    <xdr:to>
      <xdr:col>9</xdr:col>
      <xdr:colOff>400050</xdr:colOff>
      <xdr:row>137</xdr:row>
      <xdr:rowOff>142875</xdr:rowOff>
    </xdr:to>
    <xdr:sp macro="" textlink="">
      <xdr:nvSpPr>
        <xdr:cNvPr id="254" name="Text Box 11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 txBox="1">
          <a:spLocks noChangeArrowheads="1"/>
        </xdr:cNvSpPr>
      </xdr:nvSpPr>
      <xdr:spPr bwMode="auto">
        <a:xfrm>
          <a:off x="2476500" y="279368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7</xdr:col>
      <xdr:colOff>400050</xdr:colOff>
      <xdr:row>137</xdr:row>
      <xdr:rowOff>152400</xdr:rowOff>
    </xdr:to>
    <xdr:sp macro="" textlink="">
      <xdr:nvSpPr>
        <xdr:cNvPr id="255" name="Text Box 1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 txBox="1">
          <a:spLocks noChangeArrowheads="1"/>
        </xdr:cNvSpPr>
      </xdr:nvSpPr>
      <xdr:spPr bwMode="auto">
        <a:xfrm>
          <a:off x="914400" y="279368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7</xdr:col>
      <xdr:colOff>400050</xdr:colOff>
      <xdr:row>137</xdr:row>
      <xdr:rowOff>152400</xdr:rowOff>
    </xdr:to>
    <xdr:sp macro="" textlink="">
      <xdr:nvSpPr>
        <xdr:cNvPr id="256" name="Text Box 1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 txBox="1">
          <a:spLocks noChangeArrowheads="1"/>
        </xdr:cNvSpPr>
      </xdr:nvSpPr>
      <xdr:spPr bwMode="auto">
        <a:xfrm>
          <a:off x="914400" y="279368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137</xdr:row>
      <xdr:rowOff>0</xdr:rowOff>
    </xdr:from>
    <xdr:to>
      <xdr:col>5</xdr:col>
      <xdr:colOff>304800</xdr:colOff>
      <xdr:row>137</xdr:row>
      <xdr:rowOff>95250</xdr:rowOff>
    </xdr:to>
    <xdr:sp macro="" textlink="">
      <xdr:nvSpPr>
        <xdr:cNvPr id="257" name="Text Box 1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 txBox="1">
          <a:spLocks noChangeArrowheads="1"/>
        </xdr:cNvSpPr>
      </xdr:nvSpPr>
      <xdr:spPr bwMode="auto">
        <a:xfrm>
          <a:off x="942975" y="279368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137</xdr:row>
      <xdr:rowOff>104775</xdr:rowOff>
    </xdr:from>
    <xdr:to>
      <xdr:col>20</xdr:col>
      <xdr:colOff>361950</xdr:colOff>
      <xdr:row>137</xdr:row>
      <xdr:rowOff>133350</xdr:rowOff>
    </xdr:to>
    <xdr:sp macro="" textlink="">
      <xdr:nvSpPr>
        <xdr:cNvPr id="258" name="Text Box 1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2801778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137</xdr:row>
      <xdr:rowOff>0</xdr:rowOff>
    </xdr:from>
    <xdr:to>
      <xdr:col>5</xdr:col>
      <xdr:colOff>352425</xdr:colOff>
      <xdr:row>137</xdr:row>
      <xdr:rowOff>28575</xdr:rowOff>
    </xdr:to>
    <xdr:sp macro="" textlink="">
      <xdr:nvSpPr>
        <xdr:cNvPr id="259" name="Text Box 14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 txBox="1">
          <a:spLocks noChangeArrowheads="1"/>
        </xdr:cNvSpPr>
      </xdr:nvSpPr>
      <xdr:spPr bwMode="auto">
        <a:xfrm>
          <a:off x="4133850" y="279368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137</xdr:row>
      <xdr:rowOff>0</xdr:rowOff>
    </xdr:from>
    <xdr:to>
      <xdr:col>5</xdr:col>
      <xdr:colOff>323850</xdr:colOff>
      <xdr:row>137</xdr:row>
      <xdr:rowOff>28575</xdr:rowOff>
    </xdr:to>
    <xdr:sp macro="" textlink="">
      <xdr:nvSpPr>
        <xdr:cNvPr id="260" name="Text Box 15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 txBox="1">
          <a:spLocks noChangeArrowheads="1"/>
        </xdr:cNvSpPr>
      </xdr:nvSpPr>
      <xdr:spPr bwMode="auto">
        <a:xfrm>
          <a:off x="4105275" y="279368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137</xdr:row>
      <xdr:rowOff>0</xdr:rowOff>
    </xdr:from>
    <xdr:to>
      <xdr:col>5</xdr:col>
      <xdr:colOff>457200</xdr:colOff>
      <xdr:row>137</xdr:row>
      <xdr:rowOff>28575</xdr:rowOff>
    </xdr:to>
    <xdr:sp macro="" textlink="">
      <xdr:nvSpPr>
        <xdr:cNvPr id="261" name="Text Box 16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 txBox="1">
          <a:spLocks noChangeArrowheads="1"/>
        </xdr:cNvSpPr>
      </xdr:nvSpPr>
      <xdr:spPr bwMode="auto">
        <a:xfrm>
          <a:off x="4210050" y="2793682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137</xdr:row>
      <xdr:rowOff>0</xdr:rowOff>
    </xdr:from>
    <xdr:to>
      <xdr:col>8</xdr:col>
      <xdr:colOff>400050</xdr:colOff>
      <xdr:row>137</xdr:row>
      <xdr:rowOff>161925</xdr:rowOff>
    </xdr:to>
    <xdr:sp macro="" textlink="">
      <xdr:nvSpPr>
        <xdr:cNvPr id="262" name="Text Box 20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 txBox="1">
          <a:spLocks noChangeArrowheads="1"/>
        </xdr:cNvSpPr>
      </xdr:nvSpPr>
      <xdr:spPr bwMode="auto">
        <a:xfrm>
          <a:off x="1638300" y="279368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137</xdr:row>
      <xdr:rowOff>0</xdr:rowOff>
    </xdr:from>
    <xdr:to>
      <xdr:col>6</xdr:col>
      <xdr:colOff>295275</xdr:colOff>
      <xdr:row>137</xdr:row>
      <xdr:rowOff>161925</xdr:rowOff>
    </xdr:to>
    <xdr:sp macro="" textlink="">
      <xdr:nvSpPr>
        <xdr:cNvPr id="263" name="Text Box 21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 txBox="1">
          <a:spLocks noChangeArrowheads="1"/>
        </xdr:cNvSpPr>
      </xdr:nvSpPr>
      <xdr:spPr bwMode="auto">
        <a:xfrm>
          <a:off x="1657350" y="279368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137</xdr:row>
      <xdr:rowOff>0</xdr:rowOff>
    </xdr:from>
    <xdr:to>
      <xdr:col>8</xdr:col>
      <xdr:colOff>400050</xdr:colOff>
      <xdr:row>137</xdr:row>
      <xdr:rowOff>161925</xdr:rowOff>
    </xdr:to>
    <xdr:sp macro="" textlink="">
      <xdr:nvSpPr>
        <xdr:cNvPr id="264" name="Text Box 18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 txBox="1">
          <a:spLocks noChangeArrowheads="1"/>
        </xdr:cNvSpPr>
      </xdr:nvSpPr>
      <xdr:spPr bwMode="auto">
        <a:xfrm>
          <a:off x="1638300" y="279368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137</xdr:row>
      <xdr:rowOff>0</xdr:rowOff>
    </xdr:from>
    <xdr:to>
      <xdr:col>6</xdr:col>
      <xdr:colOff>295275</xdr:colOff>
      <xdr:row>137</xdr:row>
      <xdr:rowOff>161925</xdr:rowOff>
    </xdr:to>
    <xdr:sp macro="" textlink="">
      <xdr:nvSpPr>
        <xdr:cNvPr id="265" name="Text Box 19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 txBox="1">
          <a:spLocks noChangeArrowheads="1"/>
        </xdr:cNvSpPr>
      </xdr:nvSpPr>
      <xdr:spPr bwMode="auto">
        <a:xfrm>
          <a:off x="1657350" y="279368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137</xdr:row>
      <xdr:rowOff>0</xdr:rowOff>
    </xdr:from>
    <xdr:to>
      <xdr:col>2</xdr:col>
      <xdr:colOff>285750</xdr:colOff>
      <xdr:row>137</xdr:row>
      <xdr:rowOff>28575</xdr:rowOff>
    </xdr:to>
    <xdr:sp macro="" textlink="">
      <xdr:nvSpPr>
        <xdr:cNvPr id="266" name="Text Box 1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 txBox="1">
          <a:spLocks noChangeArrowheads="1"/>
        </xdr:cNvSpPr>
      </xdr:nvSpPr>
      <xdr:spPr bwMode="auto">
        <a:xfrm>
          <a:off x="1866900" y="279368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7</xdr:col>
      <xdr:colOff>400050</xdr:colOff>
      <xdr:row>171</xdr:row>
      <xdr:rowOff>152400</xdr:rowOff>
    </xdr:to>
    <xdr:sp macro="" textlink="">
      <xdr:nvSpPr>
        <xdr:cNvPr id="267" name="Text Box 1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 txBox="1">
          <a:spLocks noChangeArrowheads="1"/>
        </xdr:cNvSpPr>
      </xdr:nvSpPr>
      <xdr:spPr bwMode="auto">
        <a:xfrm>
          <a:off x="914400" y="347757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171</xdr:row>
      <xdr:rowOff>0</xdr:rowOff>
    </xdr:from>
    <xdr:to>
      <xdr:col>5</xdr:col>
      <xdr:colOff>295275</xdr:colOff>
      <xdr:row>171</xdr:row>
      <xdr:rowOff>142875</xdr:rowOff>
    </xdr:to>
    <xdr:sp macro="" textlink="">
      <xdr:nvSpPr>
        <xdr:cNvPr id="268" name="Text Box 2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 txBox="1">
          <a:spLocks noChangeArrowheads="1"/>
        </xdr:cNvSpPr>
      </xdr:nvSpPr>
      <xdr:spPr bwMode="auto">
        <a:xfrm>
          <a:off x="933450" y="3477577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7</xdr:col>
      <xdr:colOff>400050</xdr:colOff>
      <xdr:row>171</xdr:row>
      <xdr:rowOff>142875</xdr:rowOff>
    </xdr:to>
    <xdr:sp macro="" textlink="">
      <xdr:nvSpPr>
        <xdr:cNvPr id="269" name="Text Box 3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 txBox="1">
          <a:spLocks noChangeArrowheads="1"/>
        </xdr:cNvSpPr>
      </xdr:nvSpPr>
      <xdr:spPr bwMode="auto">
        <a:xfrm>
          <a:off x="914400" y="347757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171</xdr:row>
      <xdr:rowOff>0</xdr:rowOff>
    </xdr:from>
    <xdr:to>
      <xdr:col>5</xdr:col>
      <xdr:colOff>295275</xdr:colOff>
      <xdr:row>171</xdr:row>
      <xdr:rowOff>95250</xdr:rowOff>
    </xdr:to>
    <xdr:sp macro="" textlink="">
      <xdr:nvSpPr>
        <xdr:cNvPr id="270" name="Text Box 4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 txBox="1">
          <a:spLocks noChangeArrowheads="1"/>
        </xdr:cNvSpPr>
      </xdr:nvSpPr>
      <xdr:spPr bwMode="auto">
        <a:xfrm>
          <a:off x="933450" y="347757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7</xdr:col>
      <xdr:colOff>400050</xdr:colOff>
      <xdr:row>171</xdr:row>
      <xdr:rowOff>152400</xdr:rowOff>
    </xdr:to>
    <xdr:sp macro="" textlink="">
      <xdr:nvSpPr>
        <xdr:cNvPr id="271" name="Text Box 5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 txBox="1">
          <a:spLocks noChangeArrowheads="1"/>
        </xdr:cNvSpPr>
      </xdr:nvSpPr>
      <xdr:spPr bwMode="auto">
        <a:xfrm>
          <a:off x="914400" y="347757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7</xdr:col>
      <xdr:colOff>400050</xdr:colOff>
      <xdr:row>171</xdr:row>
      <xdr:rowOff>152400</xdr:rowOff>
    </xdr:to>
    <xdr:sp macro="" textlink="">
      <xdr:nvSpPr>
        <xdr:cNvPr id="272" name="Text Box 6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 txBox="1">
          <a:spLocks noChangeArrowheads="1"/>
        </xdr:cNvSpPr>
      </xdr:nvSpPr>
      <xdr:spPr bwMode="auto">
        <a:xfrm>
          <a:off x="914400" y="347757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171</xdr:row>
      <xdr:rowOff>0</xdr:rowOff>
    </xdr:from>
    <xdr:to>
      <xdr:col>5</xdr:col>
      <xdr:colOff>295275</xdr:colOff>
      <xdr:row>171</xdr:row>
      <xdr:rowOff>95250</xdr:rowOff>
    </xdr:to>
    <xdr:sp macro="" textlink="">
      <xdr:nvSpPr>
        <xdr:cNvPr id="273" name="Text Box 7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 txBox="1">
          <a:spLocks noChangeArrowheads="1"/>
        </xdr:cNvSpPr>
      </xdr:nvSpPr>
      <xdr:spPr bwMode="auto">
        <a:xfrm>
          <a:off x="933450" y="347757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171</xdr:row>
      <xdr:rowOff>0</xdr:rowOff>
    </xdr:from>
    <xdr:to>
      <xdr:col>9</xdr:col>
      <xdr:colOff>400050</xdr:colOff>
      <xdr:row>171</xdr:row>
      <xdr:rowOff>142875</xdr:rowOff>
    </xdr:to>
    <xdr:sp macro="" textlink="">
      <xdr:nvSpPr>
        <xdr:cNvPr id="274" name="Text Box 11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 txBox="1">
          <a:spLocks noChangeArrowheads="1"/>
        </xdr:cNvSpPr>
      </xdr:nvSpPr>
      <xdr:spPr bwMode="auto">
        <a:xfrm>
          <a:off x="2476500" y="347757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7</xdr:col>
      <xdr:colOff>400050</xdr:colOff>
      <xdr:row>171</xdr:row>
      <xdr:rowOff>152400</xdr:rowOff>
    </xdr:to>
    <xdr:sp macro="" textlink="">
      <xdr:nvSpPr>
        <xdr:cNvPr id="275" name="Text Box 14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 txBox="1">
          <a:spLocks noChangeArrowheads="1"/>
        </xdr:cNvSpPr>
      </xdr:nvSpPr>
      <xdr:spPr bwMode="auto">
        <a:xfrm>
          <a:off x="914400" y="347757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7</xdr:col>
      <xdr:colOff>400050</xdr:colOff>
      <xdr:row>171</xdr:row>
      <xdr:rowOff>152400</xdr:rowOff>
    </xdr:to>
    <xdr:sp macro="" textlink="">
      <xdr:nvSpPr>
        <xdr:cNvPr id="276" name="Text Box 1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 txBox="1">
          <a:spLocks noChangeArrowheads="1"/>
        </xdr:cNvSpPr>
      </xdr:nvSpPr>
      <xdr:spPr bwMode="auto">
        <a:xfrm>
          <a:off x="914400" y="347757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171</xdr:row>
      <xdr:rowOff>0</xdr:rowOff>
    </xdr:from>
    <xdr:to>
      <xdr:col>5</xdr:col>
      <xdr:colOff>304800</xdr:colOff>
      <xdr:row>171</xdr:row>
      <xdr:rowOff>95250</xdr:rowOff>
    </xdr:to>
    <xdr:sp macro="" textlink="">
      <xdr:nvSpPr>
        <xdr:cNvPr id="277" name="Text Box 1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 txBox="1">
          <a:spLocks noChangeArrowheads="1"/>
        </xdr:cNvSpPr>
      </xdr:nvSpPr>
      <xdr:spPr bwMode="auto">
        <a:xfrm>
          <a:off x="942975" y="347757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171</xdr:row>
      <xdr:rowOff>104775</xdr:rowOff>
    </xdr:from>
    <xdr:to>
      <xdr:col>20</xdr:col>
      <xdr:colOff>361950</xdr:colOff>
      <xdr:row>171</xdr:row>
      <xdr:rowOff>133350</xdr:rowOff>
    </xdr:to>
    <xdr:sp macro="" textlink="">
      <xdr:nvSpPr>
        <xdr:cNvPr id="278" name="Text Box 1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3485673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171</xdr:row>
      <xdr:rowOff>0</xdr:rowOff>
    </xdr:from>
    <xdr:to>
      <xdr:col>5</xdr:col>
      <xdr:colOff>352425</xdr:colOff>
      <xdr:row>171</xdr:row>
      <xdr:rowOff>28575</xdr:rowOff>
    </xdr:to>
    <xdr:sp macro="" textlink="">
      <xdr:nvSpPr>
        <xdr:cNvPr id="279" name="Text Box 14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 txBox="1">
          <a:spLocks noChangeArrowheads="1"/>
        </xdr:cNvSpPr>
      </xdr:nvSpPr>
      <xdr:spPr bwMode="auto">
        <a:xfrm>
          <a:off x="4133850" y="347757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171</xdr:row>
      <xdr:rowOff>0</xdr:rowOff>
    </xdr:from>
    <xdr:to>
      <xdr:col>5</xdr:col>
      <xdr:colOff>323850</xdr:colOff>
      <xdr:row>171</xdr:row>
      <xdr:rowOff>28575</xdr:rowOff>
    </xdr:to>
    <xdr:sp macro="" textlink="">
      <xdr:nvSpPr>
        <xdr:cNvPr id="280" name="Text Box 15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 txBox="1">
          <a:spLocks noChangeArrowheads="1"/>
        </xdr:cNvSpPr>
      </xdr:nvSpPr>
      <xdr:spPr bwMode="auto">
        <a:xfrm>
          <a:off x="4105275" y="347757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171</xdr:row>
      <xdr:rowOff>0</xdr:rowOff>
    </xdr:from>
    <xdr:to>
      <xdr:col>5</xdr:col>
      <xdr:colOff>457200</xdr:colOff>
      <xdr:row>171</xdr:row>
      <xdr:rowOff>28575</xdr:rowOff>
    </xdr:to>
    <xdr:sp macro="" textlink="">
      <xdr:nvSpPr>
        <xdr:cNvPr id="281" name="Text Box 16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 txBox="1">
          <a:spLocks noChangeArrowheads="1"/>
        </xdr:cNvSpPr>
      </xdr:nvSpPr>
      <xdr:spPr bwMode="auto">
        <a:xfrm>
          <a:off x="4210050" y="3477577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171</xdr:row>
      <xdr:rowOff>0</xdr:rowOff>
    </xdr:from>
    <xdr:to>
      <xdr:col>8</xdr:col>
      <xdr:colOff>400050</xdr:colOff>
      <xdr:row>171</xdr:row>
      <xdr:rowOff>161925</xdr:rowOff>
    </xdr:to>
    <xdr:sp macro="" textlink="">
      <xdr:nvSpPr>
        <xdr:cNvPr id="282" name="Text Box 20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 txBox="1">
          <a:spLocks noChangeArrowheads="1"/>
        </xdr:cNvSpPr>
      </xdr:nvSpPr>
      <xdr:spPr bwMode="auto">
        <a:xfrm>
          <a:off x="1638300" y="347757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171</xdr:row>
      <xdr:rowOff>0</xdr:rowOff>
    </xdr:from>
    <xdr:to>
      <xdr:col>6</xdr:col>
      <xdr:colOff>295275</xdr:colOff>
      <xdr:row>171</xdr:row>
      <xdr:rowOff>161925</xdr:rowOff>
    </xdr:to>
    <xdr:sp macro="" textlink="">
      <xdr:nvSpPr>
        <xdr:cNvPr id="283" name="Text Box 21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 txBox="1">
          <a:spLocks noChangeArrowheads="1"/>
        </xdr:cNvSpPr>
      </xdr:nvSpPr>
      <xdr:spPr bwMode="auto">
        <a:xfrm>
          <a:off x="1657350" y="347757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171</xdr:row>
      <xdr:rowOff>0</xdr:rowOff>
    </xdr:from>
    <xdr:to>
      <xdr:col>8</xdr:col>
      <xdr:colOff>400050</xdr:colOff>
      <xdr:row>171</xdr:row>
      <xdr:rowOff>161925</xdr:rowOff>
    </xdr:to>
    <xdr:sp macro="" textlink="">
      <xdr:nvSpPr>
        <xdr:cNvPr id="284" name="Text Box 18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 txBox="1">
          <a:spLocks noChangeArrowheads="1"/>
        </xdr:cNvSpPr>
      </xdr:nvSpPr>
      <xdr:spPr bwMode="auto">
        <a:xfrm>
          <a:off x="1638300" y="347757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171</xdr:row>
      <xdr:rowOff>0</xdr:rowOff>
    </xdr:from>
    <xdr:to>
      <xdr:col>6</xdr:col>
      <xdr:colOff>295275</xdr:colOff>
      <xdr:row>171</xdr:row>
      <xdr:rowOff>161925</xdr:rowOff>
    </xdr:to>
    <xdr:sp macro="" textlink="">
      <xdr:nvSpPr>
        <xdr:cNvPr id="285" name="Text Box 19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 txBox="1">
          <a:spLocks noChangeArrowheads="1"/>
        </xdr:cNvSpPr>
      </xdr:nvSpPr>
      <xdr:spPr bwMode="auto">
        <a:xfrm>
          <a:off x="1657350" y="347757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171</xdr:row>
      <xdr:rowOff>0</xdr:rowOff>
    </xdr:from>
    <xdr:to>
      <xdr:col>2</xdr:col>
      <xdr:colOff>285750</xdr:colOff>
      <xdr:row>171</xdr:row>
      <xdr:rowOff>28575</xdr:rowOff>
    </xdr:to>
    <xdr:sp macro="" textlink="">
      <xdr:nvSpPr>
        <xdr:cNvPr id="286" name="Text Box 1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 txBox="1">
          <a:spLocks noChangeArrowheads="1"/>
        </xdr:cNvSpPr>
      </xdr:nvSpPr>
      <xdr:spPr bwMode="auto">
        <a:xfrm>
          <a:off x="1866900" y="347757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7</xdr:col>
      <xdr:colOff>400050</xdr:colOff>
      <xdr:row>205</xdr:row>
      <xdr:rowOff>152400</xdr:rowOff>
    </xdr:to>
    <xdr:sp macro="" textlink="">
      <xdr:nvSpPr>
        <xdr:cNvPr id="287" name="Text Box 1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 txBox="1">
          <a:spLocks noChangeArrowheads="1"/>
        </xdr:cNvSpPr>
      </xdr:nvSpPr>
      <xdr:spPr bwMode="auto">
        <a:xfrm>
          <a:off x="914400" y="416147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205</xdr:row>
      <xdr:rowOff>0</xdr:rowOff>
    </xdr:from>
    <xdr:to>
      <xdr:col>5</xdr:col>
      <xdr:colOff>295275</xdr:colOff>
      <xdr:row>205</xdr:row>
      <xdr:rowOff>142875</xdr:rowOff>
    </xdr:to>
    <xdr:sp macro="" textlink="">
      <xdr:nvSpPr>
        <xdr:cNvPr id="288" name="Text Box 2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 txBox="1">
          <a:spLocks noChangeArrowheads="1"/>
        </xdr:cNvSpPr>
      </xdr:nvSpPr>
      <xdr:spPr bwMode="auto">
        <a:xfrm>
          <a:off x="933450" y="4161472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7</xdr:col>
      <xdr:colOff>400050</xdr:colOff>
      <xdr:row>205</xdr:row>
      <xdr:rowOff>142875</xdr:rowOff>
    </xdr:to>
    <xdr:sp macro="" textlink="">
      <xdr:nvSpPr>
        <xdr:cNvPr id="289" name="Text Box 3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 txBox="1">
          <a:spLocks noChangeArrowheads="1"/>
        </xdr:cNvSpPr>
      </xdr:nvSpPr>
      <xdr:spPr bwMode="auto">
        <a:xfrm>
          <a:off x="914400" y="416147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205</xdr:row>
      <xdr:rowOff>0</xdr:rowOff>
    </xdr:from>
    <xdr:to>
      <xdr:col>5</xdr:col>
      <xdr:colOff>295275</xdr:colOff>
      <xdr:row>205</xdr:row>
      <xdr:rowOff>95250</xdr:rowOff>
    </xdr:to>
    <xdr:sp macro="" textlink="">
      <xdr:nvSpPr>
        <xdr:cNvPr id="290" name="Text Box 4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 txBox="1">
          <a:spLocks noChangeArrowheads="1"/>
        </xdr:cNvSpPr>
      </xdr:nvSpPr>
      <xdr:spPr bwMode="auto">
        <a:xfrm>
          <a:off x="933450" y="416147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7</xdr:col>
      <xdr:colOff>400050</xdr:colOff>
      <xdr:row>205</xdr:row>
      <xdr:rowOff>152400</xdr:rowOff>
    </xdr:to>
    <xdr:sp macro="" textlink="">
      <xdr:nvSpPr>
        <xdr:cNvPr id="291" name="Text Box 5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 txBox="1">
          <a:spLocks noChangeArrowheads="1"/>
        </xdr:cNvSpPr>
      </xdr:nvSpPr>
      <xdr:spPr bwMode="auto">
        <a:xfrm>
          <a:off x="914400" y="416147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7</xdr:col>
      <xdr:colOff>400050</xdr:colOff>
      <xdr:row>205</xdr:row>
      <xdr:rowOff>152400</xdr:rowOff>
    </xdr:to>
    <xdr:sp macro="" textlink="">
      <xdr:nvSpPr>
        <xdr:cNvPr id="292" name="Text Box 6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 txBox="1">
          <a:spLocks noChangeArrowheads="1"/>
        </xdr:cNvSpPr>
      </xdr:nvSpPr>
      <xdr:spPr bwMode="auto">
        <a:xfrm>
          <a:off x="914400" y="416147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205</xdr:row>
      <xdr:rowOff>0</xdr:rowOff>
    </xdr:from>
    <xdr:to>
      <xdr:col>5</xdr:col>
      <xdr:colOff>295275</xdr:colOff>
      <xdr:row>205</xdr:row>
      <xdr:rowOff>95250</xdr:rowOff>
    </xdr:to>
    <xdr:sp macro="" textlink="">
      <xdr:nvSpPr>
        <xdr:cNvPr id="293" name="Text Box 7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 txBox="1">
          <a:spLocks noChangeArrowheads="1"/>
        </xdr:cNvSpPr>
      </xdr:nvSpPr>
      <xdr:spPr bwMode="auto">
        <a:xfrm>
          <a:off x="933450" y="416147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205</xdr:row>
      <xdr:rowOff>0</xdr:rowOff>
    </xdr:from>
    <xdr:to>
      <xdr:col>9</xdr:col>
      <xdr:colOff>400050</xdr:colOff>
      <xdr:row>205</xdr:row>
      <xdr:rowOff>142875</xdr:rowOff>
    </xdr:to>
    <xdr:sp macro="" textlink="">
      <xdr:nvSpPr>
        <xdr:cNvPr id="294" name="Text Box 11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 txBox="1">
          <a:spLocks noChangeArrowheads="1"/>
        </xdr:cNvSpPr>
      </xdr:nvSpPr>
      <xdr:spPr bwMode="auto">
        <a:xfrm>
          <a:off x="2476500" y="416147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7</xdr:col>
      <xdr:colOff>400050</xdr:colOff>
      <xdr:row>205</xdr:row>
      <xdr:rowOff>152400</xdr:rowOff>
    </xdr:to>
    <xdr:sp macro="" textlink="">
      <xdr:nvSpPr>
        <xdr:cNvPr id="295" name="Text Box 1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 txBox="1">
          <a:spLocks noChangeArrowheads="1"/>
        </xdr:cNvSpPr>
      </xdr:nvSpPr>
      <xdr:spPr bwMode="auto">
        <a:xfrm>
          <a:off x="914400" y="416147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7</xdr:col>
      <xdr:colOff>400050</xdr:colOff>
      <xdr:row>205</xdr:row>
      <xdr:rowOff>152400</xdr:rowOff>
    </xdr:to>
    <xdr:sp macro="" textlink="">
      <xdr:nvSpPr>
        <xdr:cNvPr id="296" name="Text Box 1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 txBox="1">
          <a:spLocks noChangeArrowheads="1"/>
        </xdr:cNvSpPr>
      </xdr:nvSpPr>
      <xdr:spPr bwMode="auto">
        <a:xfrm>
          <a:off x="914400" y="416147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205</xdr:row>
      <xdr:rowOff>0</xdr:rowOff>
    </xdr:from>
    <xdr:to>
      <xdr:col>5</xdr:col>
      <xdr:colOff>304800</xdr:colOff>
      <xdr:row>205</xdr:row>
      <xdr:rowOff>95250</xdr:rowOff>
    </xdr:to>
    <xdr:sp macro="" textlink="">
      <xdr:nvSpPr>
        <xdr:cNvPr id="297" name="Text Box 1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 txBox="1">
          <a:spLocks noChangeArrowheads="1"/>
        </xdr:cNvSpPr>
      </xdr:nvSpPr>
      <xdr:spPr bwMode="auto">
        <a:xfrm>
          <a:off x="942975" y="416147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205</xdr:row>
      <xdr:rowOff>104775</xdr:rowOff>
    </xdr:from>
    <xdr:to>
      <xdr:col>20</xdr:col>
      <xdr:colOff>361950</xdr:colOff>
      <xdr:row>205</xdr:row>
      <xdr:rowOff>133350</xdr:rowOff>
    </xdr:to>
    <xdr:sp macro="" textlink="">
      <xdr:nvSpPr>
        <xdr:cNvPr id="298" name="Text Box 1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4169568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205</xdr:row>
      <xdr:rowOff>0</xdr:rowOff>
    </xdr:from>
    <xdr:to>
      <xdr:col>5</xdr:col>
      <xdr:colOff>352425</xdr:colOff>
      <xdr:row>205</xdr:row>
      <xdr:rowOff>28575</xdr:rowOff>
    </xdr:to>
    <xdr:sp macro="" textlink="">
      <xdr:nvSpPr>
        <xdr:cNvPr id="299" name="Text Box 14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 txBox="1">
          <a:spLocks noChangeArrowheads="1"/>
        </xdr:cNvSpPr>
      </xdr:nvSpPr>
      <xdr:spPr bwMode="auto">
        <a:xfrm>
          <a:off x="4133850" y="416147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205</xdr:row>
      <xdr:rowOff>0</xdr:rowOff>
    </xdr:from>
    <xdr:to>
      <xdr:col>5</xdr:col>
      <xdr:colOff>323850</xdr:colOff>
      <xdr:row>205</xdr:row>
      <xdr:rowOff>28575</xdr:rowOff>
    </xdr:to>
    <xdr:sp macro="" textlink="">
      <xdr:nvSpPr>
        <xdr:cNvPr id="300" name="Text Box 15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 txBox="1">
          <a:spLocks noChangeArrowheads="1"/>
        </xdr:cNvSpPr>
      </xdr:nvSpPr>
      <xdr:spPr bwMode="auto">
        <a:xfrm>
          <a:off x="4105275" y="416147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205</xdr:row>
      <xdr:rowOff>0</xdr:rowOff>
    </xdr:from>
    <xdr:to>
      <xdr:col>5</xdr:col>
      <xdr:colOff>457200</xdr:colOff>
      <xdr:row>205</xdr:row>
      <xdr:rowOff>28575</xdr:rowOff>
    </xdr:to>
    <xdr:sp macro="" textlink="">
      <xdr:nvSpPr>
        <xdr:cNvPr id="301" name="Text Box 16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 txBox="1">
          <a:spLocks noChangeArrowheads="1"/>
        </xdr:cNvSpPr>
      </xdr:nvSpPr>
      <xdr:spPr bwMode="auto">
        <a:xfrm>
          <a:off x="4210050" y="4161472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205</xdr:row>
      <xdr:rowOff>0</xdr:rowOff>
    </xdr:from>
    <xdr:to>
      <xdr:col>8</xdr:col>
      <xdr:colOff>400050</xdr:colOff>
      <xdr:row>205</xdr:row>
      <xdr:rowOff>161925</xdr:rowOff>
    </xdr:to>
    <xdr:sp macro="" textlink="">
      <xdr:nvSpPr>
        <xdr:cNvPr id="302" name="Text Box 20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 txBox="1">
          <a:spLocks noChangeArrowheads="1"/>
        </xdr:cNvSpPr>
      </xdr:nvSpPr>
      <xdr:spPr bwMode="auto">
        <a:xfrm>
          <a:off x="1638300" y="416147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205</xdr:row>
      <xdr:rowOff>0</xdr:rowOff>
    </xdr:from>
    <xdr:to>
      <xdr:col>6</xdr:col>
      <xdr:colOff>295275</xdr:colOff>
      <xdr:row>205</xdr:row>
      <xdr:rowOff>161925</xdr:rowOff>
    </xdr:to>
    <xdr:sp macro="" textlink="">
      <xdr:nvSpPr>
        <xdr:cNvPr id="303" name="Text Box 21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 txBox="1">
          <a:spLocks noChangeArrowheads="1"/>
        </xdr:cNvSpPr>
      </xdr:nvSpPr>
      <xdr:spPr bwMode="auto">
        <a:xfrm>
          <a:off x="1657350" y="416147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205</xdr:row>
      <xdr:rowOff>0</xdr:rowOff>
    </xdr:from>
    <xdr:to>
      <xdr:col>8</xdr:col>
      <xdr:colOff>400050</xdr:colOff>
      <xdr:row>205</xdr:row>
      <xdr:rowOff>161925</xdr:rowOff>
    </xdr:to>
    <xdr:sp macro="" textlink="">
      <xdr:nvSpPr>
        <xdr:cNvPr id="304" name="Text Box 18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 txBox="1">
          <a:spLocks noChangeArrowheads="1"/>
        </xdr:cNvSpPr>
      </xdr:nvSpPr>
      <xdr:spPr bwMode="auto">
        <a:xfrm>
          <a:off x="1638300" y="416147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205</xdr:row>
      <xdr:rowOff>0</xdr:rowOff>
    </xdr:from>
    <xdr:to>
      <xdr:col>6</xdr:col>
      <xdr:colOff>295275</xdr:colOff>
      <xdr:row>205</xdr:row>
      <xdr:rowOff>161925</xdr:rowOff>
    </xdr:to>
    <xdr:sp macro="" textlink="">
      <xdr:nvSpPr>
        <xdr:cNvPr id="305" name="Text Box 19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 txBox="1">
          <a:spLocks noChangeArrowheads="1"/>
        </xdr:cNvSpPr>
      </xdr:nvSpPr>
      <xdr:spPr bwMode="auto">
        <a:xfrm>
          <a:off x="1657350" y="416147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205</xdr:row>
      <xdr:rowOff>0</xdr:rowOff>
    </xdr:from>
    <xdr:to>
      <xdr:col>2</xdr:col>
      <xdr:colOff>285750</xdr:colOff>
      <xdr:row>205</xdr:row>
      <xdr:rowOff>28575</xdr:rowOff>
    </xdr:to>
    <xdr:sp macro="" textlink="">
      <xdr:nvSpPr>
        <xdr:cNvPr id="306" name="Text Box 1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 txBox="1">
          <a:spLocks noChangeArrowheads="1"/>
        </xdr:cNvSpPr>
      </xdr:nvSpPr>
      <xdr:spPr bwMode="auto">
        <a:xfrm>
          <a:off x="1866900" y="416147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7</xdr:col>
      <xdr:colOff>400050</xdr:colOff>
      <xdr:row>239</xdr:row>
      <xdr:rowOff>152400</xdr:rowOff>
    </xdr:to>
    <xdr:sp macro="" textlink="">
      <xdr:nvSpPr>
        <xdr:cNvPr id="307" name="Text Box 1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 txBox="1">
          <a:spLocks noChangeArrowheads="1"/>
        </xdr:cNvSpPr>
      </xdr:nvSpPr>
      <xdr:spPr bwMode="auto">
        <a:xfrm>
          <a:off x="914400" y="484536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239</xdr:row>
      <xdr:rowOff>0</xdr:rowOff>
    </xdr:from>
    <xdr:to>
      <xdr:col>5</xdr:col>
      <xdr:colOff>295275</xdr:colOff>
      <xdr:row>239</xdr:row>
      <xdr:rowOff>142875</xdr:rowOff>
    </xdr:to>
    <xdr:sp macro="" textlink="">
      <xdr:nvSpPr>
        <xdr:cNvPr id="308" name="Text Box 2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 txBox="1">
          <a:spLocks noChangeArrowheads="1"/>
        </xdr:cNvSpPr>
      </xdr:nvSpPr>
      <xdr:spPr bwMode="auto">
        <a:xfrm>
          <a:off x="933450" y="4845367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7</xdr:col>
      <xdr:colOff>400050</xdr:colOff>
      <xdr:row>239</xdr:row>
      <xdr:rowOff>142875</xdr:rowOff>
    </xdr:to>
    <xdr:sp macro="" textlink="">
      <xdr:nvSpPr>
        <xdr:cNvPr id="309" name="Text Box 3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 txBox="1">
          <a:spLocks noChangeArrowheads="1"/>
        </xdr:cNvSpPr>
      </xdr:nvSpPr>
      <xdr:spPr bwMode="auto">
        <a:xfrm>
          <a:off x="914400" y="484536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239</xdr:row>
      <xdr:rowOff>0</xdr:rowOff>
    </xdr:from>
    <xdr:to>
      <xdr:col>5</xdr:col>
      <xdr:colOff>295275</xdr:colOff>
      <xdr:row>239</xdr:row>
      <xdr:rowOff>95250</xdr:rowOff>
    </xdr:to>
    <xdr:sp macro="" textlink="">
      <xdr:nvSpPr>
        <xdr:cNvPr id="310" name="Text Box 4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 txBox="1">
          <a:spLocks noChangeArrowheads="1"/>
        </xdr:cNvSpPr>
      </xdr:nvSpPr>
      <xdr:spPr bwMode="auto">
        <a:xfrm>
          <a:off x="933450" y="484536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7</xdr:col>
      <xdr:colOff>400050</xdr:colOff>
      <xdr:row>239</xdr:row>
      <xdr:rowOff>152400</xdr:rowOff>
    </xdr:to>
    <xdr:sp macro="" textlink="">
      <xdr:nvSpPr>
        <xdr:cNvPr id="311" name="Text Box 5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 txBox="1">
          <a:spLocks noChangeArrowheads="1"/>
        </xdr:cNvSpPr>
      </xdr:nvSpPr>
      <xdr:spPr bwMode="auto">
        <a:xfrm>
          <a:off x="914400" y="484536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7</xdr:col>
      <xdr:colOff>400050</xdr:colOff>
      <xdr:row>239</xdr:row>
      <xdr:rowOff>152400</xdr:rowOff>
    </xdr:to>
    <xdr:sp macro="" textlink="">
      <xdr:nvSpPr>
        <xdr:cNvPr id="312" name="Text Box 6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 txBox="1">
          <a:spLocks noChangeArrowheads="1"/>
        </xdr:cNvSpPr>
      </xdr:nvSpPr>
      <xdr:spPr bwMode="auto">
        <a:xfrm>
          <a:off x="914400" y="484536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239</xdr:row>
      <xdr:rowOff>0</xdr:rowOff>
    </xdr:from>
    <xdr:to>
      <xdr:col>5</xdr:col>
      <xdr:colOff>295275</xdr:colOff>
      <xdr:row>239</xdr:row>
      <xdr:rowOff>95250</xdr:rowOff>
    </xdr:to>
    <xdr:sp macro="" textlink="">
      <xdr:nvSpPr>
        <xdr:cNvPr id="313" name="Text Box 7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 txBox="1">
          <a:spLocks noChangeArrowheads="1"/>
        </xdr:cNvSpPr>
      </xdr:nvSpPr>
      <xdr:spPr bwMode="auto">
        <a:xfrm>
          <a:off x="933450" y="484536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239</xdr:row>
      <xdr:rowOff>0</xdr:rowOff>
    </xdr:from>
    <xdr:to>
      <xdr:col>9</xdr:col>
      <xdr:colOff>400050</xdr:colOff>
      <xdr:row>239</xdr:row>
      <xdr:rowOff>142875</xdr:rowOff>
    </xdr:to>
    <xdr:sp macro="" textlink="">
      <xdr:nvSpPr>
        <xdr:cNvPr id="314" name="Text Box 11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 txBox="1">
          <a:spLocks noChangeArrowheads="1"/>
        </xdr:cNvSpPr>
      </xdr:nvSpPr>
      <xdr:spPr bwMode="auto">
        <a:xfrm>
          <a:off x="2476500" y="484536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7</xdr:col>
      <xdr:colOff>400050</xdr:colOff>
      <xdr:row>239</xdr:row>
      <xdr:rowOff>152400</xdr:rowOff>
    </xdr:to>
    <xdr:sp macro="" textlink="">
      <xdr:nvSpPr>
        <xdr:cNvPr id="315" name="Text Box 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 txBox="1">
          <a:spLocks noChangeArrowheads="1"/>
        </xdr:cNvSpPr>
      </xdr:nvSpPr>
      <xdr:spPr bwMode="auto">
        <a:xfrm>
          <a:off x="914400" y="484536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7</xdr:col>
      <xdr:colOff>400050</xdr:colOff>
      <xdr:row>239</xdr:row>
      <xdr:rowOff>152400</xdr:rowOff>
    </xdr:to>
    <xdr:sp macro="" textlink="">
      <xdr:nvSpPr>
        <xdr:cNvPr id="316" name="Text Box 15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 txBox="1">
          <a:spLocks noChangeArrowheads="1"/>
        </xdr:cNvSpPr>
      </xdr:nvSpPr>
      <xdr:spPr bwMode="auto">
        <a:xfrm>
          <a:off x="914400" y="484536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239</xdr:row>
      <xdr:rowOff>0</xdr:rowOff>
    </xdr:from>
    <xdr:to>
      <xdr:col>5</xdr:col>
      <xdr:colOff>304800</xdr:colOff>
      <xdr:row>239</xdr:row>
      <xdr:rowOff>95250</xdr:rowOff>
    </xdr:to>
    <xdr:sp macro="" textlink="">
      <xdr:nvSpPr>
        <xdr:cNvPr id="317" name="Text Box 16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 txBox="1">
          <a:spLocks noChangeArrowheads="1"/>
        </xdr:cNvSpPr>
      </xdr:nvSpPr>
      <xdr:spPr bwMode="auto">
        <a:xfrm>
          <a:off x="942975" y="484536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239</xdr:row>
      <xdr:rowOff>104775</xdr:rowOff>
    </xdr:from>
    <xdr:to>
      <xdr:col>20</xdr:col>
      <xdr:colOff>361950</xdr:colOff>
      <xdr:row>239</xdr:row>
      <xdr:rowOff>133350</xdr:rowOff>
    </xdr:to>
    <xdr:sp macro="" textlink="">
      <xdr:nvSpPr>
        <xdr:cNvPr id="318" name="Text Box 1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4853463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239</xdr:row>
      <xdr:rowOff>0</xdr:rowOff>
    </xdr:from>
    <xdr:to>
      <xdr:col>5</xdr:col>
      <xdr:colOff>352425</xdr:colOff>
      <xdr:row>239</xdr:row>
      <xdr:rowOff>28575</xdr:rowOff>
    </xdr:to>
    <xdr:sp macro="" textlink="">
      <xdr:nvSpPr>
        <xdr:cNvPr id="319" name="Text Box 14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 txBox="1">
          <a:spLocks noChangeArrowheads="1"/>
        </xdr:cNvSpPr>
      </xdr:nvSpPr>
      <xdr:spPr bwMode="auto">
        <a:xfrm>
          <a:off x="4133850" y="484536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239</xdr:row>
      <xdr:rowOff>0</xdr:rowOff>
    </xdr:from>
    <xdr:to>
      <xdr:col>5</xdr:col>
      <xdr:colOff>323850</xdr:colOff>
      <xdr:row>239</xdr:row>
      <xdr:rowOff>28575</xdr:rowOff>
    </xdr:to>
    <xdr:sp macro="" textlink="">
      <xdr:nvSpPr>
        <xdr:cNvPr id="320" name="Text Box 15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 txBox="1">
          <a:spLocks noChangeArrowheads="1"/>
        </xdr:cNvSpPr>
      </xdr:nvSpPr>
      <xdr:spPr bwMode="auto">
        <a:xfrm>
          <a:off x="4105275" y="484536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239</xdr:row>
      <xdr:rowOff>0</xdr:rowOff>
    </xdr:from>
    <xdr:to>
      <xdr:col>5</xdr:col>
      <xdr:colOff>457200</xdr:colOff>
      <xdr:row>239</xdr:row>
      <xdr:rowOff>28575</xdr:rowOff>
    </xdr:to>
    <xdr:sp macro="" textlink="">
      <xdr:nvSpPr>
        <xdr:cNvPr id="321" name="Text Box 16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 txBox="1">
          <a:spLocks noChangeArrowheads="1"/>
        </xdr:cNvSpPr>
      </xdr:nvSpPr>
      <xdr:spPr bwMode="auto">
        <a:xfrm>
          <a:off x="4210050" y="4845367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239</xdr:row>
      <xdr:rowOff>0</xdr:rowOff>
    </xdr:from>
    <xdr:to>
      <xdr:col>8</xdr:col>
      <xdr:colOff>400050</xdr:colOff>
      <xdr:row>239</xdr:row>
      <xdr:rowOff>161925</xdr:rowOff>
    </xdr:to>
    <xdr:sp macro="" textlink="">
      <xdr:nvSpPr>
        <xdr:cNvPr id="322" name="Text Box 20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 txBox="1">
          <a:spLocks noChangeArrowheads="1"/>
        </xdr:cNvSpPr>
      </xdr:nvSpPr>
      <xdr:spPr bwMode="auto">
        <a:xfrm>
          <a:off x="1638300" y="484536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239</xdr:row>
      <xdr:rowOff>0</xdr:rowOff>
    </xdr:from>
    <xdr:to>
      <xdr:col>6</xdr:col>
      <xdr:colOff>295275</xdr:colOff>
      <xdr:row>239</xdr:row>
      <xdr:rowOff>161925</xdr:rowOff>
    </xdr:to>
    <xdr:sp macro="" textlink="">
      <xdr:nvSpPr>
        <xdr:cNvPr id="323" name="Text Box 21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 txBox="1">
          <a:spLocks noChangeArrowheads="1"/>
        </xdr:cNvSpPr>
      </xdr:nvSpPr>
      <xdr:spPr bwMode="auto">
        <a:xfrm>
          <a:off x="1657350" y="484536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239</xdr:row>
      <xdr:rowOff>0</xdr:rowOff>
    </xdr:from>
    <xdr:to>
      <xdr:col>8</xdr:col>
      <xdr:colOff>400050</xdr:colOff>
      <xdr:row>239</xdr:row>
      <xdr:rowOff>161925</xdr:rowOff>
    </xdr:to>
    <xdr:sp macro="" textlink="">
      <xdr:nvSpPr>
        <xdr:cNvPr id="324" name="Text Box 18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 txBox="1">
          <a:spLocks noChangeArrowheads="1"/>
        </xdr:cNvSpPr>
      </xdr:nvSpPr>
      <xdr:spPr bwMode="auto">
        <a:xfrm>
          <a:off x="1638300" y="484536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239</xdr:row>
      <xdr:rowOff>0</xdr:rowOff>
    </xdr:from>
    <xdr:to>
      <xdr:col>6</xdr:col>
      <xdr:colOff>295275</xdr:colOff>
      <xdr:row>239</xdr:row>
      <xdr:rowOff>161925</xdr:rowOff>
    </xdr:to>
    <xdr:sp macro="" textlink="">
      <xdr:nvSpPr>
        <xdr:cNvPr id="325" name="Text Box 19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 txBox="1">
          <a:spLocks noChangeArrowheads="1"/>
        </xdr:cNvSpPr>
      </xdr:nvSpPr>
      <xdr:spPr bwMode="auto">
        <a:xfrm>
          <a:off x="1657350" y="484536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239</xdr:row>
      <xdr:rowOff>0</xdr:rowOff>
    </xdr:from>
    <xdr:to>
      <xdr:col>2</xdr:col>
      <xdr:colOff>285750</xdr:colOff>
      <xdr:row>239</xdr:row>
      <xdr:rowOff>28575</xdr:rowOff>
    </xdr:to>
    <xdr:sp macro="" textlink="">
      <xdr:nvSpPr>
        <xdr:cNvPr id="326" name="Text Box 1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 txBox="1">
          <a:spLocks noChangeArrowheads="1"/>
        </xdr:cNvSpPr>
      </xdr:nvSpPr>
      <xdr:spPr bwMode="auto">
        <a:xfrm>
          <a:off x="1866900" y="484536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273</xdr:row>
      <xdr:rowOff>0</xdr:rowOff>
    </xdr:from>
    <xdr:to>
      <xdr:col>7</xdr:col>
      <xdr:colOff>400050</xdr:colOff>
      <xdr:row>273</xdr:row>
      <xdr:rowOff>152400</xdr:rowOff>
    </xdr:to>
    <xdr:sp macro="" textlink="">
      <xdr:nvSpPr>
        <xdr:cNvPr id="327" name="Text Box 1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 txBox="1">
          <a:spLocks noChangeArrowheads="1"/>
        </xdr:cNvSpPr>
      </xdr:nvSpPr>
      <xdr:spPr bwMode="auto">
        <a:xfrm>
          <a:off x="914400" y="552926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273</xdr:row>
      <xdr:rowOff>0</xdr:rowOff>
    </xdr:from>
    <xdr:to>
      <xdr:col>5</xdr:col>
      <xdr:colOff>295275</xdr:colOff>
      <xdr:row>273</xdr:row>
      <xdr:rowOff>142875</xdr:rowOff>
    </xdr:to>
    <xdr:sp macro="" textlink="">
      <xdr:nvSpPr>
        <xdr:cNvPr id="328" name="Text Box 2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 txBox="1">
          <a:spLocks noChangeArrowheads="1"/>
        </xdr:cNvSpPr>
      </xdr:nvSpPr>
      <xdr:spPr bwMode="auto">
        <a:xfrm>
          <a:off x="933450" y="5529262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273</xdr:row>
      <xdr:rowOff>0</xdr:rowOff>
    </xdr:from>
    <xdr:to>
      <xdr:col>7</xdr:col>
      <xdr:colOff>400050</xdr:colOff>
      <xdr:row>273</xdr:row>
      <xdr:rowOff>142875</xdr:rowOff>
    </xdr:to>
    <xdr:sp macro="" textlink="">
      <xdr:nvSpPr>
        <xdr:cNvPr id="329" name="Text Box 3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 txBox="1">
          <a:spLocks noChangeArrowheads="1"/>
        </xdr:cNvSpPr>
      </xdr:nvSpPr>
      <xdr:spPr bwMode="auto">
        <a:xfrm>
          <a:off x="914400" y="552926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273</xdr:row>
      <xdr:rowOff>0</xdr:rowOff>
    </xdr:from>
    <xdr:to>
      <xdr:col>5</xdr:col>
      <xdr:colOff>295275</xdr:colOff>
      <xdr:row>273</xdr:row>
      <xdr:rowOff>95250</xdr:rowOff>
    </xdr:to>
    <xdr:sp macro="" textlink="">
      <xdr:nvSpPr>
        <xdr:cNvPr id="330" name="Text Box 4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 txBox="1">
          <a:spLocks noChangeArrowheads="1"/>
        </xdr:cNvSpPr>
      </xdr:nvSpPr>
      <xdr:spPr bwMode="auto">
        <a:xfrm>
          <a:off x="933450" y="552926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273</xdr:row>
      <xdr:rowOff>0</xdr:rowOff>
    </xdr:from>
    <xdr:to>
      <xdr:col>7</xdr:col>
      <xdr:colOff>400050</xdr:colOff>
      <xdr:row>273</xdr:row>
      <xdr:rowOff>152400</xdr:rowOff>
    </xdr:to>
    <xdr:sp macro="" textlink="">
      <xdr:nvSpPr>
        <xdr:cNvPr id="331" name="Text Box 5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 txBox="1">
          <a:spLocks noChangeArrowheads="1"/>
        </xdr:cNvSpPr>
      </xdr:nvSpPr>
      <xdr:spPr bwMode="auto">
        <a:xfrm>
          <a:off x="914400" y="552926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273</xdr:row>
      <xdr:rowOff>0</xdr:rowOff>
    </xdr:from>
    <xdr:to>
      <xdr:col>7</xdr:col>
      <xdr:colOff>400050</xdr:colOff>
      <xdr:row>273</xdr:row>
      <xdr:rowOff>152400</xdr:rowOff>
    </xdr:to>
    <xdr:sp macro="" textlink="">
      <xdr:nvSpPr>
        <xdr:cNvPr id="332" name="Text Box 6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 txBox="1">
          <a:spLocks noChangeArrowheads="1"/>
        </xdr:cNvSpPr>
      </xdr:nvSpPr>
      <xdr:spPr bwMode="auto">
        <a:xfrm>
          <a:off x="914400" y="552926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273</xdr:row>
      <xdr:rowOff>0</xdr:rowOff>
    </xdr:from>
    <xdr:to>
      <xdr:col>5</xdr:col>
      <xdr:colOff>295275</xdr:colOff>
      <xdr:row>273</xdr:row>
      <xdr:rowOff>95250</xdr:rowOff>
    </xdr:to>
    <xdr:sp macro="" textlink="">
      <xdr:nvSpPr>
        <xdr:cNvPr id="333" name="Text Box 7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 txBox="1">
          <a:spLocks noChangeArrowheads="1"/>
        </xdr:cNvSpPr>
      </xdr:nvSpPr>
      <xdr:spPr bwMode="auto">
        <a:xfrm>
          <a:off x="933450" y="552926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273</xdr:row>
      <xdr:rowOff>0</xdr:rowOff>
    </xdr:from>
    <xdr:to>
      <xdr:col>9</xdr:col>
      <xdr:colOff>400050</xdr:colOff>
      <xdr:row>273</xdr:row>
      <xdr:rowOff>142875</xdr:rowOff>
    </xdr:to>
    <xdr:sp macro="" textlink="">
      <xdr:nvSpPr>
        <xdr:cNvPr id="334" name="Text Box 11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 txBox="1">
          <a:spLocks noChangeArrowheads="1"/>
        </xdr:cNvSpPr>
      </xdr:nvSpPr>
      <xdr:spPr bwMode="auto">
        <a:xfrm>
          <a:off x="2476500" y="552926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273</xdr:row>
      <xdr:rowOff>0</xdr:rowOff>
    </xdr:from>
    <xdr:to>
      <xdr:col>7</xdr:col>
      <xdr:colOff>400050</xdr:colOff>
      <xdr:row>273</xdr:row>
      <xdr:rowOff>152400</xdr:rowOff>
    </xdr:to>
    <xdr:sp macro="" textlink="">
      <xdr:nvSpPr>
        <xdr:cNvPr id="335" name="Text Box 14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 txBox="1">
          <a:spLocks noChangeArrowheads="1"/>
        </xdr:cNvSpPr>
      </xdr:nvSpPr>
      <xdr:spPr bwMode="auto">
        <a:xfrm>
          <a:off x="914400" y="552926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273</xdr:row>
      <xdr:rowOff>0</xdr:rowOff>
    </xdr:from>
    <xdr:to>
      <xdr:col>7</xdr:col>
      <xdr:colOff>400050</xdr:colOff>
      <xdr:row>273</xdr:row>
      <xdr:rowOff>152400</xdr:rowOff>
    </xdr:to>
    <xdr:sp macro="" textlink="">
      <xdr:nvSpPr>
        <xdr:cNvPr id="336" name="Text Box 15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 txBox="1">
          <a:spLocks noChangeArrowheads="1"/>
        </xdr:cNvSpPr>
      </xdr:nvSpPr>
      <xdr:spPr bwMode="auto">
        <a:xfrm>
          <a:off x="914400" y="552926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273</xdr:row>
      <xdr:rowOff>0</xdr:rowOff>
    </xdr:from>
    <xdr:to>
      <xdr:col>5</xdr:col>
      <xdr:colOff>304800</xdr:colOff>
      <xdr:row>273</xdr:row>
      <xdr:rowOff>95250</xdr:rowOff>
    </xdr:to>
    <xdr:sp macro="" textlink="">
      <xdr:nvSpPr>
        <xdr:cNvPr id="337" name="Text Box 16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 txBox="1">
          <a:spLocks noChangeArrowheads="1"/>
        </xdr:cNvSpPr>
      </xdr:nvSpPr>
      <xdr:spPr bwMode="auto">
        <a:xfrm>
          <a:off x="942975" y="552926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273</xdr:row>
      <xdr:rowOff>104775</xdr:rowOff>
    </xdr:from>
    <xdr:to>
      <xdr:col>20</xdr:col>
      <xdr:colOff>361950</xdr:colOff>
      <xdr:row>273</xdr:row>
      <xdr:rowOff>133350</xdr:rowOff>
    </xdr:to>
    <xdr:sp macro="" textlink="">
      <xdr:nvSpPr>
        <xdr:cNvPr id="338" name="Text Box 1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5537358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273</xdr:row>
      <xdr:rowOff>0</xdr:rowOff>
    </xdr:from>
    <xdr:to>
      <xdr:col>5</xdr:col>
      <xdr:colOff>352425</xdr:colOff>
      <xdr:row>273</xdr:row>
      <xdr:rowOff>28575</xdr:rowOff>
    </xdr:to>
    <xdr:sp macro="" textlink="">
      <xdr:nvSpPr>
        <xdr:cNvPr id="339" name="Text Box 14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 txBox="1">
          <a:spLocks noChangeArrowheads="1"/>
        </xdr:cNvSpPr>
      </xdr:nvSpPr>
      <xdr:spPr bwMode="auto">
        <a:xfrm>
          <a:off x="4133850" y="552926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273</xdr:row>
      <xdr:rowOff>0</xdr:rowOff>
    </xdr:from>
    <xdr:to>
      <xdr:col>5</xdr:col>
      <xdr:colOff>323850</xdr:colOff>
      <xdr:row>273</xdr:row>
      <xdr:rowOff>28575</xdr:rowOff>
    </xdr:to>
    <xdr:sp macro="" textlink="">
      <xdr:nvSpPr>
        <xdr:cNvPr id="340" name="Text Box 15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 txBox="1">
          <a:spLocks noChangeArrowheads="1"/>
        </xdr:cNvSpPr>
      </xdr:nvSpPr>
      <xdr:spPr bwMode="auto">
        <a:xfrm>
          <a:off x="4105275" y="552926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273</xdr:row>
      <xdr:rowOff>0</xdr:rowOff>
    </xdr:from>
    <xdr:to>
      <xdr:col>5</xdr:col>
      <xdr:colOff>457200</xdr:colOff>
      <xdr:row>273</xdr:row>
      <xdr:rowOff>28575</xdr:rowOff>
    </xdr:to>
    <xdr:sp macro="" textlink="">
      <xdr:nvSpPr>
        <xdr:cNvPr id="341" name="Text Box 16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 txBox="1">
          <a:spLocks noChangeArrowheads="1"/>
        </xdr:cNvSpPr>
      </xdr:nvSpPr>
      <xdr:spPr bwMode="auto">
        <a:xfrm>
          <a:off x="4210050" y="5529262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8</xdr:col>
      <xdr:colOff>400050</xdr:colOff>
      <xdr:row>273</xdr:row>
      <xdr:rowOff>161925</xdr:rowOff>
    </xdr:to>
    <xdr:sp macro="" textlink="">
      <xdr:nvSpPr>
        <xdr:cNvPr id="342" name="Text Box 20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 txBox="1">
          <a:spLocks noChangeArrowheads="1"/>
        </xdr:cNvSpPr>
      </xdr:nvSpPr>
      <xdr:spPr bwMode="auto">
        <a:xfrm>
          <a:off x="1638300" y="552926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273</xdr:row>
      <xdr:rowOff>0</xdr:rowOff>
    </xdr:from>
    <xdr:to>
      <xdr:col>6</xdr:col>
      <xdr:colOff>295275</xdr:colOff>
      <xdr:row>273</xdr:row>
      <xdr:rowOff>161925</xdr:rowOff>
    </xdr:to>
    <xdr:sp macro="" textlink="">
      <xdr:nvSpPr>
        <xdr:cNvPr id="343" name="Text Box 21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 txBox="1">
          <a:spLocks noChangeArrowheads="1"/>
        </xdr:cNvSpPr>
      </xdr:nvSpPr>
      <xdr:spPr bwMode="auto">
        <a:xfrm>
          <a:off x="1657350" y="552926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8</xdr:col>
      <xdr:colOff>400050</xdr:colOff>
      <xdr:row>273</xdr:row>
      <xdr:rowOff>161925</xdr:rowOff>
    </xdr:to>
    <xdr:sp macro="" textlink="">
      <xdr:nvSpPr>
        <xdr:cNvPr id="344" name="Text Box 18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 txBox="1">
          <a:spLocks noChangeArrowheads="1"/>
        </xdr:cNvSpPr>
      </xdr:nvSpPr>
      <xdr:spPr bwMode="auto">
        <a:xfrm>
          <a:off x="1638300" y="552926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273</xdr:row>
      <xdr:rowOff>0</xdr:rowOff>
    </xdr:from>
    <xdr:to>
      <xdr:col>6</xdr:col>
      <xdr:colOff>295275</xdr:colOff>
      <xdr:row>273</xdr:row>
      <xdr:rowOff>161925</xdr:rowOff>
    </xdr:to>
    <xdr:sp macro="" textlink="">
      <xdr:nvSpPr>
        <xdr:cNvPr id="345" name="Text Box 19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 txBox="1">
          <a:spLocks noChangeArrowheads="1"/>
        </xdr:cNvSpPr>
      </xdr:nvSpPr>
      <xdr:spPr bwMode="auto">
        <a:xfrm>
          <a:off x="1657350" y="552926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273</xdr:row>
      <xdr:rowOff>0</xdr:rowOff>
    </xdr:from>
    <xdr:to>
      <xdr:col>2</xdr:col>
      <xdr:colOff>285750</xdr:colOff>
      <xdr:row>273</xdr:row>
      <xdr:rowOff>28575</xdr:rowOff>
    </xdr:to>
    <xdr:sp macro="" textlink="">
      <xdr:nvSpPr>
        <xdr:cNvPr id="346" name="Text Box 1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 txBox="1">
          <a:spLocks noChangeArrowheads="1"/>
        </xdr:cNvSpPr>
      </xdr:nvSpPr>
      <xdr:spPr bwMode="auto">
        <a:xfrm>
          <a:off x="1866900" y="552926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307</xdr:row>
      <xdr:rowOff>0</xdr:rowOff>
    </xdr:from>
    <xdr:to>
      <xdr:col>7</xdr:col>
      <xdr:colOff>400050</xdr:colOff>
      <xdr:row>307</xdr:row>
      <xdr:rowOff>152400</xdr:rowOff>
    </xdr:to>
    <xdr:sp macro="" textlink="">
      <xdr:nvSpPr>
        <xdr:cNvPr id="347" name="Text Box 1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 txBox="1">
          <a:spLocks noChangeArrowheads="1"/>
        </xdr:cNvSpPr>
      </xdr:nvSpPr>
      <xdr:spPr bwMode="auto">
        <a:xfrm>
          <a:off x="914400" y="621315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307</xdr:row>
      <xdr:rowOff>0</xdr:rowOff>
    </xdr:from>
    <xdr:to>
      <xdr:col>5</xdr:col>
      <xdr:colOff>295275</xdr:colOff>
      <xdr:row>307</xdr:row>
      <xdr:rowOff>142875</xdr:rowOff>
    </xdr:to>
    <xdr:sp macro="" textlink="">
      <xdr:nvSpPr>
        <xdr:cNvPr id="348" name="Text Box 2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 txBox="1">
          <a:spLocks noChangeArrowheads="1"/>
        </xdr:cNvSpPr>
      </xdr:nvSpPr>
      <xdr:spPr bwMode="auto">
        <a:xfrm>
          <a:off x="933450" y="6213157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307</xdr:row>
      <xdr:rowOff>0</xdr:rowOff>
    </xdr:from>
    <xdr:to>
      <xdr:col>7</xdr:col>
      <xdr:colOff>400050</xdr:colOff>
      <xdr:row>307</xdr:row>
      <xdr:rowOff>142875</xdr:rowOff>
    </xdr:to>
    <xdr:sp macro="" textlink="">
      <xdr:nvSpPr>
        <xdr:cNvPr id="349" name="Text Box 3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 txBox="1">
          <a:spLocks noChangeArrowheads="1"/>
        </xdr:cNvSpPr>
      </xdr:nvSpPr>
      <xdr:spPr bwMode="auto">
        <a:xfrm>
          <a:off x="914400" y="621315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307</xdr:row>
      <xdr:rowOff>0</xdr:rowOff>
    </xdr:from>
    <xdr:to>
      <xdr:col>5</xdr:col>
      <xdr:colOff>295275</xdr:colOff>
      <xdr:row>307</xdr:row>
      <xdr:rowOff>95250</xdr:rowOff>
    </xdr:to>
    <xdr:sp macro="" textlink="">
      <xdr:nvSpPr>
        <xdr:cNvPr id="350" name="Text Box 4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 txBox="1">
          <a:spLocks noChangeArrowheads="1"/>
        </xdr:cNvSpPr>
      </xdr:nvSpPr>
      <xdr:spPr bwMode="auto">
        <a:xfrm>
          <a:off x="933450" y="621315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307</xdr:row>
      <xdr:rowOff>0</xdr:rowOff>
    </xdr:from>
    <xdr:to>
      <xdr:col>7</xdr:col>
      <xdr:colOff>400050</xdr:colOff>
      <xdr:row>307</xdr:row>
      <xdr:rowOff>152400</xdr:rowOff>
    </xdr:to>
    <xdr:sp macro="" textlink="">
      <xdr:nvSpPr>
        <xdr:cNvPr id="351" name="Text Box 5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 txBox="1">
          <a:spLocks noChangeArrowheads="1"/>
        </xdr:cNvSpPr>
      </xdr:nvSpPr>
      <xdr:spPr bwMode="auto">
        <a:xfrm>
          <a:off x="914400" y="621315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307</xdr:row>
      <xdr:rowOff>0</xdr:rowOff>
    </xdr:from>
    <xdr:to>
      <xdr:col>7</xdr:col>
      <xdr:colOff>400050</xdr:colOff>
      <xdr:row>307</xdr:row>
      <xdr:rowOff>152400</xdr:rowOff>
    </xdr:to>
    <xdr:sp macro="" textlink="">
      <xdr:nvSpPr>
        <xdr:cNvPr id="352" name="Text Box 6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 txBox="1">
          <a:spLocks noChangeArrowheads="1"/>
        </xdr:cNvSpPr>
      </xdr:nvSpPr>
      <xdr:spPr bwMode="auto">
        <a:xfrm>
          <a:off x="914400" y="621315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307</xdr:row>
      <xdr:rowOff>0</xdr:rowOff>
    </xdr:from>
    <xdr:to>
      <xdr:col>5</xdr:col>
      <xdr:colOff>295275</xdr:colOff>
      <xdr:row>307</xdr:row>
      <xdr:rowOff>95250</xdr:rowOff>
    </xdr:to>
    <xdr:sp macro="" textlink="">
      <xdr:nvSpPr>
        <xdr:cNvPr id="353" name="Text Box 7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 txBox="1">
          <a:spLocks noChangeArrowheads="1"/>
        </xdr:cNvSpPr>
      </xdr:nvSpPr>
      <xdr:spPr bwMode="auto">
        <a:xfrm>
          <a:off x="933450" y="621315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307</xdr:row>
      <xdr:rowOff>0</xdr:rowOff>
    </xdr:from>
    <xdr:to>
      <xdr:col>9</xdr:col>
      <xdr:colOff>400050</xdr:colOff>
      <xdr:row>307</xdr:row>
      <xdr:rowOff>142875</xdr:rowOff>
    </xdr:to>
    <xdr:sp macro="" textlink="">
      <xdr:nvSpPr>
        <xdr:cNvPr id="354" name="Text Box 11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 txBox="1">
          <a:spLocks noChangeArrowheads="1"/>
        </xdr:cNvSpPr>
      </xdr:nvSpPr>
      <xdr:spPr bwMode="auto">
        <a:xfrm>
          <a:off x="2476500" y="621315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307</xdr:row>
      <xdr:rowOff>0</xdr:rowOff>
    </xdr:from>
    <xdr:to>
      <xdr:col>7</xdr:col>
      <xdr:colOff>400050</xdr:colOff>
      <xdr:row>307</xdr:row>
      <xdr:rowOff>152400</xdr:rowOff>
    </xdr:to>
    <xdr:sp macro="" textlink="">
      <xdr:nvSpPr>
        <xdr:cNvPr id="355" name="Text Box 14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 txBox="1">
          <a:spLocks noChangeArrowheads="1"/>
        </xdr:cNvSpPr>
      </xdr:nvSpPr>
      <xdr:spPr bwMode="auto">
        <a:xfrm>
          <a:off x="914400" y="621315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307</xdr:row>
      <xdr:rowOff>0</xdr:rowOff>
    </xdr:from>
    <xdr:to>
      <xdr:col>7</xdr:col>
      <xdr:colOff>400050</xdr:colOff>
      <xdr:row>307</xdr:row>
      <xdr:rowOff>152400</xdr:rowOff>
    </xdr:to>
    <xdr:sp macro="" textlink="">
      <xdr:nvSpPr>
        <xdr:cNvPr id="356" name="Text Box 15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 txBox="1">
          <a:spLocks noChangeArrowheads="1"/>
        </xdr:cNvSpPr>
      </xdr:nvSpPr>
      <xdr:spPr bwMode="auto">
        <a:xfrm>
          <a:off x="914400" y="621315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307</xdr:row>
      <xdr:rowOff>0</xdr:rowOff>
    </xdr:from>
    <xdr:to>
      <xdr:col>5</xdr:col>
      <xdr:colOff>304800</xdr:colOff>
      <xdr:row>307</xdr:row>
      <xdr:rowOff>95250</xdr:rowOff>
    </xdr:to>
    <xdr:sp macro="" textlink="">
      <xdr:nvSpPr>
        <xdr:cNvPr id="357" name="Text Box 16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 txBox="1">
          <a:spLocks noChangeArrowheads="1"/>
        </xdr:cNvSpPr>
      </xdr:nvSpPr>
      <xdr:spPr bwMode="auto">
        <a:xfrm>
          <a:off x="942975" y="621315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307</xdr:row>
      <xdr:rowOff>104775</xdr:rowOff>
    </xdr:from>
    <xdr:to>
      <xdr:col>20</xdr:col>
      <xdr:colOff>361950</xdr:colOff>
      <xdr:row>307</xdr:row>
      <xdr:rowOff>133350</xdr:rowOff>
    </xdr:to>
    <xdr:sp macro="" textlink="">
      <xdr:nvSpPr>
        <xdr:cNvPr id="358" name="Text Box 1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6221253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307</xdr:row>
      <xdr:rowOff>0</xdr:rowOff>
    </xdr:from>
    <xdr:to>
      <xdr:col>5</xdr:col>
      <xdr:colOff>352425</xdr:colOff>
      <xdr:row>307</xdr:row>
      <xdr:rowOff>28575</xdr:rowOff>
    </xdr:to>
    <xdr:sp macro="" textlink="">
      <xdr:nvSpPr>
        <xdr:cNvPr id="359" name="Text Box 14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 txBox="1">
          <a:spLocks noChangeArrowheads="1"/>
        </xdr:cNvSpPr>
      </xdr:nvSpPr>
      <xdr:spPr bwMode="auto">
        <a:xfrm>
          <a:off x="4133850" y="621315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307</xdr:row>
      <xdr:rowOff>0</xdr:rowOff>
    </xdr:from>
    <xdr:to>
      <xdr:col>5</xdr:col>
      <xdr:colOff>323850</xdr:colOff>
      <xdr:row>307</xdr:row>
      <xdr:rowOff>28575</xdr:rowOff>
    </xdr:to>
    <xdr:sp macro="" textlink="">
      <xdr:nvSpPr>
        <xdr:cNvPr id="360" name="Text Box 15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 txBox="1">
          <a:spLocks noChangeArrowheads="1"/>
        </xdr:cNvSpPr>
      </xdr:nvSpPr>
      <xdr:spPr bwMode="auto">
        <a:xfrm>
          <a:off x="4105275" y="621315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307</xdr:row>
      <xdr:rowOff>0</xdr:rowOff>
    </xdr:from>
    <xdr:to>
      <xdr:col>5</xdr:col>
      <xdr:colOff>457200</xdr:colOff>
      <xdr:row>307</xdr:row>
      <xdr:rowOff>28575</xdr:rowOff>
    </xdr:to>
    <xdr:sp macro="" textlink="">
      <xdr:nvSpPr>
        <xdr:cNvPr id="361" name="Text Box 16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 txBox="1">
          <a:spLocks noChangeArrowheads="1"/>
        </xdr:cNvSpPr>
      </xdr:nvSpPr>
      <xdr:spPr bwMode="auto">
        <a:xfrm>
          <a:off x="4210050" y="6213157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307</xdr:row>
      <xdr:rowOff>0</xdr:rowOff>
    </xdr:from>
    <xdr:to>
      <xdr:col>8</xdr:col>
      <xdr:colOff>400050</xdr:colOff>
      <xdr:row>307</xdr:row>
      <xdr:rowOff>161925</xdr:rowOff>
    </xdr:to>
    <xdr:sp macro="" textlink="">
      <xdr:nvSpPr>
        <xdr:cNvPr id="362" name="Text Box 20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 txBox="1">
          <a:spLocks noChangeArrowheads="1"/>
        </xdr:cNvSpPr>
      </xdr:nvSpPr>
      <xdr:spPr bwMode="auto">
        <a:xfrm>
          <a:off x="1638300" y="621315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307</xdr:row>
      <xdr:rowOff>0</xdr:rowOff>
    </xdr:from>
    <xdr:to>
      <xdr:col>6</xdr:col>
      <xdr:colOff>295275</xdr:colOff>
      <xdr:row>307</xdr:row>
      <xdr:rowOff>161925</xdr:rowOff>
    </xdr:to>
    <xdr:sp macro="" textlink="">
      <xdr:nvSpPr>
        <xdr:cNvPr id="363" name="Text Box 21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 txBox="1">
          <a:spLocks noChangeArrowheads="1"/>
        </xdr:cNvSpPr>
      </xdr:nvSpPr>
      <xdr:spPr bwMode="auto">
        <a:xfrm>
          <a:off x="1657350" y="621315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307</xdr:row>
      <xdr:rowOff>0</xdr:rowOff>
    </xdr:from>
    <xdr:to>
      <xdr:col>8</xdr:col>
      <xdr:colOff>400050</xdr:colOff>
      <xdr:row>307</xdr:row>
      <xdr:rowOff>161925</xdr:rowOff>
    </xdr:to>
    <xdr:sp macro="" textlink="">
      <xdr:nvSpPr>
        <xdr:cNvPr id="364" name="Text Box 18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 txBox="1">
          <a:spLocks noChangeArrowheads="1"/>
        </xdr:cNvSpPr>
      </xdr:nvSpPr>
      <xdr:spPr bwMode="auto">
        <a:xfrm>
          <a:off x="1638300" y="621315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307</xdr:row>
      <xdr:rowOff>0</xdr:rowOff>
    </xdr:from>
    <xdr:to>
      <xdr:col>6</xdr:col>
      <xdr:colOff>295275</xdr:colOff>
      <xdr:row>307</xdr:row>
      <xdr:rowOff>161925</xdr:rowOff>
    </xdr:to>
    <xdr:sp macro="" textlink="">
      <xdr:nvSpPr>
        <xdr:cNvPr id="365" name="Text Box 19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 txBox="1">
          <a:spLocks noChangeArrowheads="1"/>
        </xdr:cNvSpPr>
      </xdr:nvSpPr>
      <xdr:spPr bwMode="auto">
        <a:xfrm>
          <a:off x="1657350" y="621315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307</xdr:row>
      <xdr:rowOff>0</xdr:rowOff>
    </xdr:from>
    <xdr:to>
      <xdr:col>2</xdr:col>
      <xdr:colOff>285750</xdr:colOff>
      <xdr:row>307</xdr:row>
      <xdr:rowOff>28575</xdr:rowOff>
    </xdr:to>
    <xdr:sp macro="" textlink="">
      <xdr:nvSpPr>
        <xdr:cNvPr id="366" name="Text Box 1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 txBox="1">
          <a:spLocks noChangeArrowheads="1"/>
        </xdr:cNvSpPr>
      </xdr:nvSpPr>
      <xdr:spPr bwMode="auto">
        <a:xfrm>
          <a:off x="1866900" y="621315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341</xdr:row>
      <xdr:rowOff>0</xdr:rowOff>
    </xdr:from>
    <xdr:to>
      <xdr:col>7</xdr:col>
      <xdr:colOff>400050</xdr:colOff>
      <xdr:row>341</xdr:row>
      <xdr:rowOff>152400</xdr:rowOff>
    </xdr:to>
    <xdr:sp macro="" textlink="">
      <xdr:nvSpPr>
        <xdr:cNvPr id="367" name="Text Box 1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 txBox="1">
          <a:spLocks noChangeArrowheads="1"/>
        </xdr:cNvSpPr>
      </xdr:nvSpPr>
      <xdr:spPr bwMode="auto">
        <a:xfrm>
          <a:off x="914400" y="689705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341</xdr:row>
      <xdr:rowOff>0</xdr:rowOff>
    </xdr:from>
    <xdr:to>
      <xdr:col>5</xdr:col>
      <xdr:colOff>295275</xdr:colOff>
      <xdr:row>341</xdr:row>
      <xdr:rowOff>142875</xdr:rowOff>
    </xdr:to>
    <xdr:sp macro="" textlink="">
      <xdr:nvSpPr>
        <xdr:cNvPr id="368" name="Text Box 2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 txBox="1">
          <a:spLocks noChangeArrowheads="1"/>
        </xdr:cNvSpPr>
      </xdr:nvSpPr>
      <xdr:spPr bwMode="auto">
        <a:xfrm>
          <a:off x="933450" y="6897052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341</xdr:row>
      <xdr:rowOff>0</xdr:rowOff>
    </xdr:from>
    <xdr:to>
      <xdr:col>7</xdr:col>
      <xdr:colOff>400050</xdr:colOff>
      <xdr:row>341</xdr:row>
      <xdr:rowOff>142875</xdr:rowOff>
    </xdr:to>
    <xdr:sp macro="" textlink="">
      <xdr:nvSpPr>
        <xdr:cNvPr id="369" name="Text Box 3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 txBox="1">
          <a:spLocks noChangeArrowheads="1"/>
        </xdr:cNvSpPr>
      </xdr:nvSpPr>
      <xdr:spPr bwMode="auto">
        <a:xfrm>
          <a:off x="914400" y="689705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341</xdr:row>
      <xdr:rowOff>0</xdr:rowOff>
    </xdr:from>
    <xdr:to>
      <xdr:col>5</xdr:col>
      <xdr:colOff>295275</xdr:colOff>
      <xdr:row>341</xdr:row>
      <xdr:rowOff>95250</xdr:rowOff>
    </xdr:to>
    <xdr:sp macro="" textlink="">
      <xdr:nvSpPr>
        <xdr:cNvPr id="370" name="Text Box 4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 txBox="1">
          <a:spLocks noChangeArrowheads="1"/>
        </xdr:cNvSpPr>
      </xdr:nvSpPr>
      <xdr:spPr bwMode="auto">
        <a:xfrm>
          <a:off x="933450" y="689705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341</xdr:row>
      <xdr:rowOff>0</xdr:rowOff>
    </xdr:from>
    <xdr:to>
      <xdr:col>7</xdr:col>
      <xdr:colOff>400050</xdr:colOff>
      <xdr:row>341</xdr:row>
      <xdr:rowOff>152400</xdr:rowOff>
    </xdr:to>
    <xdr:sp macro="" textlink="">
      <xdr:nvSpPr>
        <xdr:cNvPr id="371" name="Text Box 5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 txBox="1">
          <a:spLocks noChangeArrowheads="1"/>
        </xdr:cNvSpPr>
      </xdr:nvSpPr>
      <xdr:spPr bwMode="auto">
        <a:xfrm>
          <a:off x="914400" y="689705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341</xdr:row>
      <xdr:rowOff>0</xdr:rowOff>
    </xdr:from>
    <xdr:to>
      <xdr:col>7</xdr:col>
      <xdr:colOff>400050</xdr:colOff>
      <xdr:row>341</xdr:row>
      <xdr:rowOff>152400</xdr:rowOff>
    </xdr:to>
    <xdr:sp macro="" textlink="">
      <xdr:nvSpPr>
        <xdr:cNvPr id="372" name="Text Box 6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 txBox="1">
          <a:spLocks noChangeArrowheads="1"/>
        </xdr:cNvSpPr>
      </xdr:nvSpPr>
      <xdr:spPr bwMode="auto">
        <a:xfrm>
          <a:off x="914400" y="689705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341</xdr:row>
      <xdr:rowOff>0</xdr:rowOff>
    </xdr:from>
    <xdr:to>
      <xdr:col>5</xdr:col>
      <xdr:colOff>295275</xdr:colOff>
      <xdr:row>341</xdr:row>
      <xdr:rowOff>95250</xdr:rowOff>
    </xdr:to>
    <xdr:sp macro="" textlink="">
      <xdr:nvSpPr>
        <xdr:cNvPr id="373" name="Text Box 7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 txBox="1">
          <a:spLocks noChangeArrowheads="1"/>
        </xdr:cNvSpPr>
      </xdr:nvSpPr>
      <xdr:spPr bwMode="auto">
        <a:xfrm>
          <a:off x="933450" y="689705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341</xdr:row>
      <xdr:rowOff>0</xdr:rowOff>
    </xdr:from>
    <xdr:to>
      <xdr:col>9</xdr:col>
      <xdr:colOff>400050</xdr:colOff>
      <xdr:row>341</xdr:row>
      <xdr:rowOff>142875</xdr:rowOff>
    </xdr:to>
    <xdr:sp macro="" textlink="">
      <xdr:nvSpPr>
        <xdr:cNvPr id="374" name="Text Box 11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 txBox="1">
          <a:spLocks noChangeArrowheads="1"/>
        </xdr:cNvSpPr>
      </xdr:nvSpPr>
      <xdr:spPr bwMode="auto">
        <a:xfrm>
          <a:off x="2476500" y="689705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341</xdr:row>
      <xdr:rowOff>0</xdr:rowOff>
    </xdr:from>
    <xdr:to>
      <xdr:col>7</xdr:col>
      <xdr:colOff>400050</xdr:colOff>
      <xdr:row>341</xdr:row>
      <xdr:rowOff>152400</xdr:rowOff>
    </xdr:to>
    <xdr:sp macro="" textlink="">
      <xdr:nvSpPr>
        <xdr:cNvPr id="375" name="Text Box 14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 txBox="1">
          <a:spLocks noChangeArrowheads="1"/>
        </xdr:cNvSpPr>
      </xdr:nvSpPr>
      <xdr:spPr bwMode="auto">
        <a:xfrm>
          <a:off x="914400" y="689705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341</xdr:row>
      <xdr:rowOff>0</xdr:rowOff>
    </xdr:from>
    <xdr:to>
      <xdr:col>7</xdr:col>
      <xdr:colOff>400050</xdr:colOff>
      <xdr:row>341</xdr:row>
      <xdr:rowOff>152400</xdr:rowOff>
    </xdr:to>
    <xdr:sp macro="" textlink="">
      <xdr:nvSpPr>
        <xdr:cNvPr id="376" name="Text Box 15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 txBox="1">
          <a:spLocks noChangeArrowheads="1"/>
        </xdr:cNvSpPr>
      </xdr:nvSpPr>
      <xdr:spPr bwMode="auto">
        <a:xfrm>
          <a:off x="914400" y="689705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341</xdr:row>
      <xdr:rowOff>0</xdr:rowOff>
    </xdr:from>
    <xdr:to>
      <xdr:col>5</xdr:col>
      <xdr:colOff>304800</xdr:colOff>
      <xdr:row>341</xdr:row>
      <xdr:rowOff>95250</xdr:rowOff>
    </xdr:to>
    <xdr:sp macro="" textlink="">
      <xdr:nvSpPr>
        <xdr:cNvPr id="377" name="Text Box 16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 txBox="1">
          <a:spLocks noChangeArrowheads="1"/>
        </xdr:cNvSpPr>
      </xdr:nvSpPr>
      <xdr:spPr bwMode="auto">
        <a:xfrm>
          <a:off x="942975" y="689705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341</xdr:row>
      <xdr:rowOff>104775</xdr:rowOff>
    </xdr:from>
    <xdr:to>
      <xdr:col>20</xdr:col>
      <xdr:colOff>361950</xdr:colOff>
      <xdr:row>341</xdr:row>
      <xdr:rowOff>133350</xdr:rowOff>
    </xdr:to>
    <xdr:sp macro="" textlink="">
      <xdr:nvSpPr>
        <xdr:cNvPr id="378" name="Text Box 1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6905148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341</xdr:row>
      <xdr:rowOff>0</xdr:rowOff>
    </xdr:from>
    <xdr:to>
      <xdr:col>5</xdr:col>
      <xdr:colOff>352425</xdr:colOff>
      <xdr:row>341</xdr:row>
      <xdr:rowOff>28575</xdr:rowOff>
    </xdr:to>
    <xdr:sp macro="" textlink="">
      <xdr:nvSpPr>
        <xdr:cNvPr id="379" name="Text Box 14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 txBox="1">
          <a:spLocks noChangeArrowheads="1"/>
        </xdr:cNvSpPr>
      </xdr:nvSpPr>
      <xdr:spPr bwMode="auto">
        <a:xfrm>
          <a:off x="4133850" y="689705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341</xdr:row>
      <xdr:rowOff>0</xdr:rowOff>
    </xdr:from>
    <xdr:to>
      <xdr:col>5</xdr:col>
      <xdr:colOff>323850</xdr:colOff>
      <xdr:row>341</xdr:row>
      <xdr:rowOff>28575</xdr:rowOff>
    </xdr:to>
    <xdr:sp macro="" textlink="">
      <xdr:nvSpPr>
        <xdr:cNvPr id="380" name="Text Box 15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 txBox="1">
          <a:spLocks noChangeArrowheads="1"/>
        </xdr:cNvSpPr>
      </xdr:nvSpPr>
      <xdr:spPr bwMode="auto">
        <a:xfrm>
          <a:off x="4105275" y="689705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341</xdr:row>
      <xdr:rowOff>0</xdr:rowOff>
    </xdr:from>
    <xdr:to>
      <xdr:col>5</xdr:col>
      <xdr:colOff>457200</xdr:colOff>
      <xdr:row>341</xdr:row>
      <xdr:rowOff>28575</xdr:rowOff>
    </xdr:to>
    <xdr:sp macro="" textlink="">
      <xdr:nvSpPr>
        <xdr:cNvPr id="381" name="Text Box 16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 txBox="1">
          <a:spLocks noChangeArrowheads="1"/>
        </xdr:cNvSpPr>
      </xdr:nvSpPr>
      <xdr:spPr bwMode="auto">
        <a:xfrm>
          <a:off x="4210050" y="6897052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341</xdr:row>
      <xdr:rowOff>0</xdr:rowOff>
    </xdr:from>
    <xdr:to>
      <xdr:col>8</xdr:col>
      <xdr:colOff>400050</xdr:colOff>
      <xdr:row>341</xdr:row>
      <xdr:rowOff>161925</xdr:rowOff>
    </xdr:to>
    <xdr:sp macro="" textlink="">
      <xdr:nvSpPr>
        <xdr:cNvPr id="382" name="Text Box 20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 txBox="1">
          <a:spLocks noChangeArrowheads="1"/>
        </xdr:cNvSpPr>
      </xdr:nvSpPr>
      <xdr:spPr bwMode="auto">
        <a:xfrm>
          <a:off x="1638300" y="689705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341</xdr:row>
      <xdr:rowOff>0</xdr:rowOff>
    </xdr:from>
    <xdr:to>
      <xdr:col>6</xdr:col>
      <xdr:colOff>295275</xdr:colOff>
      <xdr:row>341</xdr:row>
      <xdr:rowOff>161925</xdr:rowOff>
    </xdr:to>
    <xdr:sp macro="" textlink="">
      <xdr:nvSpPr>
        <xdr:cNvPr id="383" name="Text Box 21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 txBox="1">
          <a:spLocks noChangeArrowheads="1"/>
        </xdr:cNvSpPr>
      </xdr:nvSpPr>
      <xdr:spPr bwMode="auto">
        <a:xfrm>
          <a:off x="1657350" y="689705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341</xdr:row>
      <xdr:rowOff>0</xdr:rowOff>
    </xdr:from>
    <xdr:to>
      <xdr:col>8</xdr:col>
      <xdr:colOff>400050</xdr:colOff>
      <xdr:row>341</xdr:row>
      <xdr:rowOff>161925</xdr:rowOff>
    </xdr:to>
    <xdr:sp macro="" textlink="">
      <xdr:nvSpPr>
        <xdr:cNvPr id="384" name="Text Box 18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 txBox="1">
          <a:spLocks noChangeArrowheads="1"/>
        </xdr:cNvSpPr>
      </xdr:nvSpPr>
      <xdr:spPr bwMode="auto">
        <a:xfrm>
          <a:off x="1638300" y="689705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341</xdr:row>
      <xdr:rowOff>0</xdr:rowOff>
    </xdr:from>
    <xdr:to>
      <xdr:col>6</xdr:col>
      <xdr:colOff>295275</xdr:colOff>
      <xdr:row>341</xdr:row>
      <xdr:rowOff>161925</xdr:rowOff>
    </xdr:to>
    <xdr:sp macro="" textlink="">
      <xdr:nvSpPr>
        <xdr:cNvPr id="385" name="Text Box 19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 txBox="1">
          <a:spLocks noChangeArrowheads="1"/>
        </xdr:cNvSpPr>
      </xdr:nvSpPr>
      <xdr:spPr bwMode="auto">
        <a:xfrm>
          <a:off x="1657350" y="689705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341</xdr:row>
      <xdr:rowOff>0</xdr:rowOff>
    </xdr:from>
    <xdr:to>
      <xdr:col>2</xdr:col>
      <xdr:colOff>285750</xdr:colOff>
      <xdr:row>341</xdr:row>
      <xdr:rowOff>28575</xdr:rowOff>
    </xdr:to>
    <xdr:sp macro="" textlink="">
      <xdr:nvSpPr>
        <xdr:cNvPr id="386" name="Text Box 1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 txBox="1">
          <a:spLocks noChangeArrowheads="1"/>
        </xdr:cNvSpPr>
      </xdr:nvSpPr>
      <xdr:spPr bwMode="auto">
        <a:xfrm>
          <a:off x="1866900" y="689705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375</xdr:row>
      <xdr:rowOff>0</xdr:rowOff>
    </xdr:from>
    <xdr:to>
      <xdr:col>7</xdr:col>
      <xdr:colOff>400050</xdr:colOff>
      <xdr:row>375</xdr:row>
      <xdr:rowOff>152400</xdr:rowOff>
    </xdr:to>
    <xdr:sp macro="" textlink="">
      <xdr:nvSpPr>
        <xdr:cNvPr id="387" name="Text Box 1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 txBox="1">
          <a:spLocks noChangeArrowheads="1"/>
        </xdr:cNvSpPr>
      </xdr:nvSpPr>
      <xdr:spPr bwMode="auto">
        <a:xfrm>
          <a:off x="914400" y="758094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375</xdr:row>
      <xdr:rowOff>0</xdr:rowOff>
    </xdr:from>
    <xdr:to>
      <xdr:col>5</xdr:col>
      <xdr:colOff>295275</xdr:colOff>
      <xdr:row>375</xdr:row>
      <xdr:rowOff>142875</xdr:rowOff>
    </xdr:to>
    <xdr:sp macro="" textlink="">
      <xdr:nvSpPr>
        <xdr:cNvPr id="388" name="Text Box 2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 txBox="1">
          <a:spLocks noChangeArrowheads="1"/>
        </xdr:cNvSpPr>
      </xdr:nvSpPr>
      <xdr:spPr bwMode="auto">
        <a:xfrm>
          <a:off x="933450" y="7580947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375</xdr:row>
      <xdr:rowOff>0</xdr:rowOff>
    </xdr:from>
    <xdr:to>
      <xdr:col>7</xdr:col>
      <xdr:colOff>400050</xdr:colOff>
      <xdr:row>375</xdr:row>
      <xdr:rowOff>142875</xdr:rowOff>
    </xdr:to>
    <xdr:sp macro="" textlink="">
      <xdr:nvSpPr>
        <xdr:cNvPr id="389" name="Text Box 3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 txBox="1">
          <a:spLocks noChangeArrowheads="1"/>
        </xdr:cNvSpPr>
      </xdr:nvSpPr>
      <xdr:spPr bwMode="auto">
        <a:xfrm>
          <a:off x="914400" y="758094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375</xdr:row>
      <xdr:rowOff>0</xdr:rowOff>
    </xdr:from>
    <xdr:to>
      <xdr:col>5</xdr:col>
      <xdr:colOff>295275</xdr:colOff>
      <xdr:row>375</xdr:row>
      <xdr:rowOff>95250</xdr:rowOff>
    </xdr:to>
    <xdr:sp macro="" textlink="">
      <xdr:nvSpPr>
        <xdr:cNvPr id="390" name="Text Box 4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 txBox="1">
          <a:spLocks noChangeArrowheads="1"/>
        </xdr:cNvSpPr>
      </xdr:nvSpPr>
      <xdr:spPr bwMode="auto">
        <a:xfrm>
          <a:off x="933450" y="758094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375</xdr:row>
      <xdr:rowOff>0</xdr:rowOff>
    </xdr:from>
    <xdr:to>
      <xdr:col>7</xdr:col>
      <xdr:colOff>400050</xdr:colOff>
      <xdr:row>375</xdr:row>
      <xdr:rowOff>152400</xdr:rowOff>
    </xdr:to>
    <xdr:sp macro="" textlink="">
      <xdr:nvSpPr>
        <xdr:cNvPr id="391" name="Text Box 5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 txBox="1">
          <a:spLocks noChangeArrowheads="1"/>
        </xdr:cNvSpPr>
      </xdr:nvSpPr>
      <xdr:spPr bwMode="auto">
        <a:xfrm>
          <a:off x="914400" y="758094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375</xdr:row>
      <xdr:rowOff>0</xdr:rowOff>
    </xdr:from>
    <xdr:to>
      <xdr:col>7</xdr:col>
      <xdr:colOff>400050</xdr:colOff>
      <xdr:row>375</xdr:row>
      <xdr:rowOff>152400</xdr:rowOff>
    </xdr:to>
    <xdr:sp macro="" textlink="">
      <xdr:nvSpPr>
        <xdr:cNvPr id="392" name="Text Box 6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 txBox="1">
          <a:spLocks noChangeArrowheads="1"/>
        </xdr:cNvSpPr>
      </xdr:nvSpPr>
      <xdr:spPr bwMode="auto">
        <a:xfrm>
          <a:off x="914400" y="758094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375</xdr:row>
      <xdr:rowOff>0</xdr:rowOff>
    </xdr:from>
    <xdr:to>
      <xdr:col>5</xdr:col>
      <xdr:colOff>295275</xdr:colOff>
      <xdr:row>375</xdr:row>
      <xdr:rowOff>95250</xdr:rowOff>
    </xdr:to>
    <xdr:sp macro="" textlink="">
      <xdr:nvSpPr>
        <xdr:cNvPr id="393" name="Text Box 7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 txBox="1">
          <a:spLocks noChangeArrowheads="1"/>
        </xdr:cNvSpPr>
      </xdr:nvSpPr>
      <xdr:spPr bwMode="auto">
        <a:xfrm>
          <a:off x="933450" y="758094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375</xdr:row>
      <xdr:rowOff>0</xdr:rowOff>
    </xdr:from>
    <xdr:to>
      <xdr:col>9</xdr:col>
      <xdr:colOff>400050</xdr:colOff>
      <xdr:row>375</xdr:row>
      <xdr:rowOff>142875</xdr:rowOff>
    </xdr:to>
    <xdr:sp macro="" textlink="">
      <xdr:nvSpPr>
        <xdr:cNvPr id="394" name="Text Box 11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 txBox="1">
          <a:spLocks noChangeArrowheads="1"/>
        </xdr:cNvSpPr>
      </xdr:nvSpPr>
      <xdr:spPr bwMode="auto">
        <a:xfrm>
          <a:off x="2476500" y="758094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375</xdr:row>
      <xdr:rowOff>0</xdr:rowOff>
    </xdr:from>
    <xdr:to>
      <xdr:col>7</xdr:col>
      <xdr:colOff>400050</xdr:colOff>
      <xdr:row>375</xdr:row>
      <xdr:rowOff>152400</xdr:rowOff>
    </xdr:to>
    <xdr:sp macro="" textlink="">
      <xdr:nvSpPr>
        <xdr:cNvPr id="395" name="Text Box 14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 txBox="1">
          <a:spLocks noChangeArrowheads="1"/>
        </xdr:cNvSpPr>
      </xdr:nvSpPr>
      <xdr:spPr bwMode="auto">
        <a:xfrm>
          <a:off x="914400" y="758094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375</xdr:row>
      <xdr:rowOff>0</xdr:rowOff>
    </xdr:from>
    <xdr:to>
      <xdr:col>7</xdr:col>
      <xdr:colOff>400050</xdr:colOff>
      <xdr:row>375</xdr:row>
      <xdr:rowOff>152400</xdr:rowOff>
    </xdr:to>
    <xdr:sp macro="" textlink="">
      <xdr:nvSpPr>
        <xdr:cNvPr id="396" name="Text Box 15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 txBox="1">
          <a:spLocks noChangeArrowheads="1"/>
        </xdr:cNvSpPr>
      </xdr:nvSpPr>
      <xdr:spPr bwMode="auto">
        <a:xfrm>
          <a:off x="914400" y="758094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375</xdr:row>
      <xdr:rowOff>0</xdr:rowOff>
    </xdr:from>
    <xdr:to>
      <xdr:col>5</xdr:col>
      <xdr:colOff>304800</xdr:colOff>
      <xdr:row>375</xdr:row>
      <xdr:rowOff>95250</xdr:rowOff>
    </xdr:to>
    <xdr:sp macro="" textlink="">
      <xdr:nvSpPr>
        <xdr:cNvPr id="397" name="Text Box 16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 txBox="1">
          <a:spLocks noChangeArrowheads="1"/>
        </xdr:cNvSpPr>
      </xdr:nvSpPr>
      <xdr:spPr bwMode="auto">
        <a:xfrm>
          <a:off x="942975" y="758094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375</xdr:row>
      <xdr:rowOff>104775</xdr:rowOff>
    </xdr:from>
    <xdr:to>
      <xdr:col>20</xdr:col>
      <xdr:colOff>361950</xdr:colOff>
      <xdr:row>375</xdr:row>
      <xdr:rowOff>133350</xdr:rowOff>
    </xdr:to>
    <xdr:sp macro="" textlink="">
      <xdr:nvSpPr>
        <xdr:cNvPr id="398" name="Text Box 1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7589043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375</xdr:row>
      <xdr:rowOff>0</xdr:rowOff>
    </xdr:from>
    <xdr:to>
      <xdr:col>5</xdr:col>
      <xdr:colOff>352425</xdr:colOff>
      <xdr:row>375</xdr:row>
      <xdr:rowOff>28575</xdr:rowOff>
    </xdr:to>
    <xdr:sp macro="" textlink="">
      <xdr:nvSpPr>
        <xdr:cNvPr id="399" name="Text Box 14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 txBox="1">
          <a:spLocks noChangeArrowheads="1"/>
        </xdr:cNvSpPr>
      </xdr:nvSpPr>
      <xdr:spPr bwMode="auto">
        <a:xfrm>
          <a:off x="4133850" y="758094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375</xdr:row>
      <xdr:rowOff>0</xdr:rowOff>
    </xdr:from>
    <xdr:to>
      <xdr:col>5</xdr:col>
      <xdr:colOff>323850</xdr:colOff>
      <xdr:row>375</xdr:row>
      <xdr:rowOff>28575</xdr:rowOff>
    </xdr:to>
    <xdr:sp macro="" textlink="">
      <xdr:nvSpPr>
        <xdr:cNvPr id="400" name="Text Box 15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 txBox="1">
          <a:spLocks noChangeArrowheads="1"/>
        </xdr:cNvSpPr>
      </xdr:nvSpPr>
      <xdr:spPr bwMode="auto">
        <a:xfrm>
          <a:off x="4105275" y="758094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375</xdr:row>
      <xdr:rowOff>0</xdr:rowOff>
    </xdr:from>
    <xdr:to>
      <xdr:col>5</xdr:col>
      <xdr:colOff>457200</xdr:colOff>
      <xdr:row>375</xdr:row>
      <xdr:rowOff>28575</xdr:rowOff>
    </xdr:to>
    <xdr:sp macro="" textlink="">
      <xdr:nvSpPr>
        <xdr:cNvPr id="401" name="Text Box 16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 txBox="1">
          <a:spLocks noChangeArrowheads="1"/>
        </xdr:cNvSpPr>
      </xdr:nvSpPr>
      <xdr:spPr bwMode="auto">
        <a:xfrm>
          <a:off x="4210050" y="7580947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375</xdr:row>
      <xdr:rowOff>0</xdr:rowOff>
    </xdr:from>
    <xdr:to>
      <xdr:col>8</xdr:col>
      <xdr:colOff>400050</xdr:colOff>
      <xdr:row>375</xdr:row>
      <xdr:rowOff>161925</xdr:rowOff>
    </xdr:to>
    <xdr:sp macro="" textlink="">
      <xdr:nvSpPr>
        <xdr:cNvPr id="402" name="Text Box 20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 txBox="1">
          <a:spLocks noChangeArrowheads="1"/>
        </xdr:cNvSpPr>
      </xdr:nvSpPr>
      <xdr:spPr bwMode="auto">
        <a:xfrm>
          <a:off x="1638300" y="758094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375</xdr:row>
      <xdr:rowOff>0</xdr:rowOff>
    </xdr:from>
    <xdr:to>
      <xdr:col>6</xdr:col>
      <xdr:colOff>295275</xdr:colOff>
      <xdr:row>375</xdr:row>
      <xdr:rowOff>161925</xdr:rowOff>
    </xdr:to>
    <xdr:sp macro="" textlink="">
      <xdr:nvSpPr>
        <xdr:cNvPr id="403" name="Text Box 21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 txBox="1">
          <a:spLocks noChangeArrowheads="1"/>
        </xdr:cNvSpPr>
      </xdr:nvSpPr>
      <xdr:spPr bwMode="auto">
        <a:xfrm>
          <a:off x="1657350" y="758094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375</xdr:row>
      <xdr:rowOff>0</xdr:rowOff>
    </xdr:from>
    <xdr:to>
      <xdr:col>8</xdr:col>
      <xdr:colOff>400050</xdr:colOff>
      <xdr:row>375</xdr:row>
      <xdr:rowOff>161925</xdr:rowOff>
    </xdr:to>
    <xdr:sp macro="" textlink="">
      <xdr:nvSpPr>
        <xdr:cNvPr id="404" name="Text Box 18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 txBox="1">
          <a:spLocks noChangeArrowheads="1"/>
        </xdr:cNvSpPr>
      </xdr:nvSpPr>
      <xdr:spPr bwMode="auto">
        <a:xfrm>
          <a:off x="1638300" y="758094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375</xdr:row>
      <xdr:rowOff>0</xdr:rowOff>
    </xdr:from>
    <xdr:to>
      <xdr:col>6</xdr:col>
      <xdr:colOff>295275</xdr:colOff>
      <xdr:row>375</xdr:row>
      <xdr:rowOff>161925</xdr:rowOff>
    </xdr:to>
    <xdr:sp macro="" textlink="">
      <xdr:nvSpPr>
        <xdr:cNvPr id="405" name="Text Box 19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 txBox="1">
          <a:spLocks noChangeArrowheads="1"/>
        </xdr:cNvSpPr>
      </xdr:nvSpPr>
      <xdr:spPr bwMode="auto">
        <a:xfrm>
          <a:off x="1657350" y="758094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375</xdr:row>
      <xdr:rowOff>0</xdr:rowOff>
    </xdr:from>
    <xdr:to>
      <xdr:col>2</xdr:col>
      <xdr:colOff>285750</xdr:colOff>
      <xdr:row>375</xdr:row>
      <xdr:rowOff>28575</xdr:rowOff>
    </xdr:to>
    <xdr:sp macro="" textlink="">
      <xdr:nvSpPr>
        <xdr:cNvPr id="406" name="Text Box 1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 txBox="1">
          <a:spLocks noChangeArrowheads="1"/>
        </xdr:cNvSpPr>
      </xdr:nvSpPr>
      <xdr:spPr bwMode="auto">
        <a:xfrm>
          <a:off x="1866900" y="758094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409</xdr:row>
      <xdr:rowOff>0</xdr:rowOff>
    </xdr:from>
    <xdr:to>
      <xdr:col>7</xdr:col>
      <xdr:colOff>400050</xdr:colOff>
      <xdr:row>409</xdr:row>
      <xdr:rowOff>152400</xdr:rowOff>
    </xdr:to>
    <xdr:sp macro="" textlink="">
      <xdr:nvSpPr>
        <xdr:cNvPr id="407" name="Text Box 1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 txBox="1">
          <a:spLocks noChangeArrowheads="1"/>
        </xdr:cNvSpPr>
      </xdr:nvSpPr>
      <xdr:spPr bwMode="auto">
        <a:xfrm>
          <a:off x="914400" y="826484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409</xdr:row>
      <xdr:rowOff>0</xdr:rowOff>
    </xdr:from>
    <xdr:to>
      <xdr:col>5</xdr:col>
      <xdr:colOff>295275</xdr:colOff>
      <xdr:row>409</xdr:row>
      <xdr:rowOff>142875</xdr:rowOff>
    </xdr:to>
    <xdr:sp macro="" textlink="">
      <xdr:nvSpPr>
        <xdr:cNvPr id="408" name="Text Box 2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 txBox="1">
          <a:spLocks noChangeArrowheads="1"/>
        </xdr:cNvSpPr>
      </xdr:nvSpPr>
      <xdr:spPr bwMode="auto">
        <a:xfrm>
          <a:off x="933450" y="8264842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409</xdr:row>
      <xdr:rowOff>0</xdr:rowOff>
    </xdr:from>
    <xdr:to>
      <xdr:col>7</xdr:col>
      <xdr:colOff>400050</xdr:colOff>
      <xdr:row>409</xdr:row>
      <xdr:rowOff>142875</xdr:rowOff>
    </xdr:to>
    <xdr:sp macro="" textlink="">
      <xdr:nvSpPr>
        <xdr:cNvPr id="409" name="Text Box 3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 txBox="1">
          <a:spLocks noChangeArrowheads="1"/>
        </xdr:cNvSpPr>
      </xdr:nvSpPr>
      <xdr:spPr bwMode="auto">
        <a:xfrm>
          <a:off x="914400" y="826484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409</xdr:row>
      <xdr:rowOff>0</xdr:rowOff>
    </xdr:from>
    <xdr:to>
      <xdr:col>5</xdr:col>
      <xdr:colOff>295275</xdr:colOff>
      <xdr:row>409</xdr:row>
      <xdr:rowOff>95250</xdr:rowOff>
    </xdr:to>
    <xdr:sp macro="" textlink="">
      <xdr:nvSpPr>
        <xdr:cNvPr id="410" name="Text Box 4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 txBox="1">
          <a:spLocks noChangeArrowheads="1"/>
        </xdr:cNvSpPr>
      </xdr:nvSpPr>
      <xdr:spPr bwMode="auto">
        <a:xfrm>
          <a:off x="933450" y="826484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409</xdr:row>
      <xdr:rowOff>0</xdr:rowOff>
    </xdr:from>
    <xdr:to>
      <xdr:col>7</xdr:col>
      <xdr:colOff>400050</xdr:colOff>
      <xdr:row>409</xdr:row>
      <xdr:rowOff>152400</xdr:rowOff>
    </xdr:to>
    <xdr:sp macro="" textlink="">
      <xdr:nvSpPr>
        <xdr:cNvPr id="411" name="Text Box 5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 txBox="1">
          <a:spLocks noChangeArrowheads="1"/>
        </xdr:cNvSpPr>
      </xdr:nvSpPr>
      <xdr:spPr bwMode="auto">
        <a:xfrm>
          <a:off x="914400" y="826484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409</xdr:row>
      <xdr:rowOff>0</xdr:rowOff>
    </xdr:from>
    <xdr:to>
      <xdr:col>7</xdr:col>
      <xdr:colOff>400050</xdr:colOff>
      <xdr:row>409</xdr:row>
      <xdr:rowOff>152400</xdr:rowOff>
    </xdr:to>
    <xdr:sp macro="" textlink="">
      <xdr:nvSpPr>
        <xdr:cNvPr id="412" name="Text Box 6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 txBox="1">
          <a:spLocks noChangeArrowheads="1"/>
        </xdr:cNvSpPr>
      </xdr:nvSpPr>
      <xdr:spPr bwMode="auto">
        <a:xfrm>
          <a:off x="914400" y="826484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409</xdr:row>
      <xdr:rowOff>0</xdr:rowOff>
    </xdr:from>
    <xdr:to>
      <xdr:col>5</xdr:col>
      <xdr:colOff>295275</xdr:colOff>
      <xdr:row>409</xdr:row>
      <xdr:rowOff>95250</xdr:rowOff>
    </xdr:to>
    <xdr:sp macro="" textlink="">
      <xdr:nvSpPr>
        <xdr:cNvPr id="413" name="Text Box 7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 txBox="1">
          <a:spLocks noChangeArrowheads="1"/>
        </xdr:cNvSpPr>
      </xdr:nvSpPr>
      <xdr:spPr bwMode="auto">
        <a:xfrm>
          <a:off x="933450" y="826484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409</xdr:row>
      <xdr:rowOff>0</xdr:rowOff>
    </xdr:from>
    <xdr:to>
      <xdr:col>9</xdr:col>
      <xdr:colOff>400050</xdr:colOff>
      <xdr:row>409</xdr:row>
      <xdr:rowOff>142875</xdr:rowOff>
    </xdr:to>
    <xdr:sp macro="" textlink="">
      <xdr:nvSpPr>
        <xdr:cNvPr id="414" name="Text Box 11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 txBox="1">
          <a:spLocks noChangeArrowheads="1"/>
        </xdr:cNvSpPr>
      </xdr:nvSpPr>
      <xdr:spPr bwMode="auto">
        <a:xfrm>
          <a:off x="2476500" y="826484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409</xdr:row>
      <xdr:rowOff>0</xdr:rowOff>
    </xdr:from>
    <xdr:to>
      <xdr:col>7</xdr:col>
      <xdr:colOff>400050</xdr:colOff>
      <xdr:row>409</xdr:row>
      <xdr:rowOff>152400</xdr:rowOff>
    </xdr:to>
    <xdr:sp macro="" textlink="">
      <xdr:nvSpPr>
        <xdr:cNvPr id="415" name="Text Box 14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 txBox="1">
          <a:spLocks noChangeArrowheads="1"/>
        </xdr:cNvSpPr>
      </xdr:nvSpPr>
      <xdr:spPr bwMode="auto">
        <a:xfrm>
          <a:off x="914400" y="826484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409</xdr:row>
      <xdr:rowOff>0</xdr:rowOff>
    </xdr:from>
    <xdr:to>
      <xdr:col>7</xdr:col>
      <xdr:colOff>400050</xdr:colOff>
      <xdr:row>409</xdr:row>
      <xdr:rowOff>152400</xdr:rowOff>
    </xdr:to>
    <xdr:sp macro="" textlink="">
      <xdr:nvSpPr>
        <xdr:cNvPr id="416" name="Text Box 15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 txBox="1">
          <a:spLocks noChangeArrowheads="1"/>
        </xdr:cNvSpPr>
      </xdr:nvSpPr>
      <xdr:spPr bwMode="auto">
        <a:xfrm>
          <a:off x="914400" y="826484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409</xdr:row>
      <xdr:rowOff>0</xdr:rowOff>
    </xdr:from>
    <xdr:to>
      <xdr:col>5</xdr:col>
      <xdr:colOff>304800</xdr:colOff>
      <xdr:row>409</xdr:row>
      <xdr:rowOff>95250</xdr:rowOff>
    </xdr:to>
    <xdr:sp macro="" textlink="">
      <xdr:nvSpPr>
        <xdr:cNvPr id="417" name="Text Box 16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 txBox="1">
          <a:spLocks noChangeArrowheads="1"/>
        </xdr:cNvSpPr>
      </xdr:nvSpPr>
      <xdr:spPr bwMode="auto">
        <a:xfrm>
          <a:off x="942975" y="826484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409</xdr:row>
      <xdr:rowOff>104775</xdr:rowOff>
    </xdr:from>
    <xdr:to>
      <xdr:col>20</xdr:col>
      <xdr:colOff>361950</xdr:colOff>
      <xdr:row>409</xdr:row>
      <xdr:rowOff>133350</xdr:rowOff>
    </xdr:to>
    <xdr:sp macro="" textlink="">
      <xdr:nvSpPr>
        <xdr:cNvPr id="418" name="Text Box 1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8272938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409</xdr:row>
      <xdr:rowOff>0</xdr:rowOff>
    </xdr:from>
    <xdr:to>
      <xdr:col>5</xdr:col>
      <xdr:colOff>352425</xdr:colOff>
      <xdr:row>409</xdr:row>
      <xdr:rowOff>28575</xdr:rowOff>
    </xdr:to>
    <xdr:sp macro="" textlink="">
      <xdr:nvSpPr>
        <xdr:cNvPr id="419" name="Text Box 14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 txBox="1">
          <a:spLocks noChangeArrowheads="1"/>
        </xdr:cNvSpPr>
      </xdr:nvSpPr>
      <xdr:spPr bwMode="auto">
        <a:xfrm>
          <a:off x="4133850" y="826484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409</xdr:row>
      <xdr:rowOff>0</xdr:rowOff>
    </xdr:from>
    <xdr:to>
      <xdr:col>5</xdr:col>
      <xdr:colOff>323850</xdr:colOff>
      <xdr:row>409</xdr:row>
      <xdr:rowOff>28575</xdr:rowOff>
    </xdr:to>
    <xdr:sp macro="" textlink="">
      <xdr:nvSpPr>
        <xdr:cNvPr id="420" name="Text Box 15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 txBox="1">
          <a:spLocks noChangeArrowheads="1"/>
        </xdr:cNvSpPr>
      </xdr:nvSpPr>
      <xdr:spPr bwMode="auto">
        <a:xfrm>
          <a:off x="4105275" y="826484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409</xdr:row>
      <xdr:rowOff>0</xdr:rowOff>
    </xdr:from>
    <xdr:to>
      <xdr:col>5</xdr:col>
      <xdr:colOff>457200</xdr:colOff>
      <xdr:row>409</xdr:row>
      <xdr:rowOff>28575</xdr:rowOff>
    </xdr:to>
    <xdr:sp macro="" textlink="">
      <xdr:nvSpPr>
        <xdr:cNvPr id="421" name="Text Box 16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 txBox="1">
          <a:spLocks noChangeArrowheads="1"/>
        </xdr:cNvSpPr>
      </xdr:nvSpPr>
      <xdr:spPr bwMode="auto">
        <a:xfrm>
          <a:off x="4210050" y="8264842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409</xdr:row>
      <xdr:rowOff>0</xdr:rowOff>
    </xdr:from>
    <xdr:to>
      <xdr:col>8</xdr:col>
      <xdr:colOff>400050</xdr:colOff>
      <xdr:row>409</xdr:row>
      <xdr:rowOff>161925</xdr:rowOff>
    </xdr:to>
    <xdr:sp macro="" textlink="">
      <xdr:nvSpPr>
        <xdr:cNvPr id="422" name="Text Box 20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 txBox="1">
          <a:spLocks noChangeArrowheads="1"/>
        </xdr:cNvSpPr>
      </xdr:nvSpPr>
      <xdr:spPr bwMode="auto">
        <a:xfrm>
          <a:off x="1638300" y="826484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409</xdr:row>
      <xdr:rowOff>0</xdr:rowOff>
    </xdr:from>
    <xdr:to>
      <xdr:col>6</xdr:col>
      <xdr:colOff>295275</xdr:colOff>
      <xdr:row>409</xdr:row>
      <xdr:rowOff>161925</xdr:rowOff>
    </xdr:to>
    <xdr:sp macro="" textlink="">
      <xdr:nvSpPr>
        <xdr:cNvPr id="423" name="Text Box 21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 txBox="1">
          <a:spLocks noChangeArrowheads="1"/>
        </xdr:cNvSpPr>
      </xdr:nvSpPr>
      <xdr:spPr bwMode="auto">
        <a:xfrm>
          <a:off x="1657350" y="826484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409</xdr:row>
      <xdr:rowOff>0</xdr:rowOff>
    </xdr:from>
    <xdr:to>
      <xdr:col>8</xdr:col>
      <xdr:colOff>400050</xdr:colOff>
      <xdr:row>409</xdr:row>
      <xdr:rowOff>161925</xdr:rowOff>
    </xdr:to>
    <xdr:sp macro="" textlink="">
      <xdr:nvSpPr>
        <xdr:cNvPr id="424" name="Text Box 18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 txBox="1">
          <a:spLocks noChangeArrowheads="1"/>
        </xdr:cNvSpPr>
      </xdr:nvSpPr>
      <xdr:spPr bwMode="auto">
        <a:xfrm>
          <a:off x="1638300" y="826484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409</xdr:row>
      <xdr:rowOff>0</xdr:rowOff>
    </xdr:from>
    <xdr:to>
      <xdr:col>6</xdr:col>
      <xdr:colOff>295275</xdr:colOff>
      <xdr:row>409</xdr:row>
      <xdr:rowOff>161925</xdr:rowOff>
    </xdr:to>
    <xdr:sp macro="" textlink="">
      <xdr:nvSpPr>
        <xdr:cNvPr id="425" name="Text Box 19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 txBox="1">
          <a:spLocks noChangeArrowheads="1"/>
        </xdr:cNvSpPr>
      </xdr:nvSpPr>
      <xdr:spPr bwMode="auto">
        <a:xfrm>
          <a:off x="1657350" y="826484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409</xdr:row>
      <xdr:rowOff>0</xdr:rowOff>
    </xdr:from>
    <xdr:to>
      <xdr:col>2</xdr:col>
      <xdr:colOff>285750</xdr:colOff>
      <xdr:row>409</xdr:row>
      <xdr:rowOff>28575</xdr:rowOff>
    </xdr:to>
    <xdr:sp macro="" textlink="">
      <xdr:nvSpPr>
        <xdr:cNvPr id="426" name="Text Box 1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 txBox="1">
          <a:spLocks noChangeArrowheads="1"/>
        </xdr:cNvSpPr>
      </xdr:nvSpPr>
      <xdr:spPr bwMode="auto">
        <a:xfrm>
          <a:off x="1866900" y="826484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443</xdr:row>
      <xdr:rowOff>0</xdr:rowOff>
    </xdr:from>
    <xdr:to>
      <xdr:col>7</xdr:col>
      <xdr:colOff>400050</xdr:colOff>
      <xdr:row>443</xdr:row>
      <xdr:rowOff>152400</xdr:rowOff>
    </xdr:to>
    <xdr:sp macro="" textlink="">
      <xdr:nvSpPr>
        <xdr:cNvPr id="427" name="Text Box 1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 txBox="1">
          <a:spLocks noChangeArrowheads="1"/>
        </xdr:cNvSpPr>
      </xdr:nvSpPr>
      <xdr:spPr bwMode="auto">
        <a:xfrm>
          <a:off x="914400" y="894873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443</xdr:row>
      <xdr:rowOff>0</xdr:rowOff>
    </xdr:from>
    <xdr:to>
      <xdr:col>5</xdr:col>
      <xdr:colOff>295275</xdr:colOff>
      <xdr:row>443</xdr:row>
      <xdr:rowOff>142875</xdr:rowOff>
    </xdr:to>
    <xdr:sp macro="" textlink="">
      <xdr:nvSpPr>
        <xdr:cNvPr id="428" name="Text Box 2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 txBox="1">
          <a:spLocks noChangeArrowheads="1"/>
        </xdr:cNvSpPr>
      </xdr:nvSpPr>
      <xdr:spPr bwMode="auto">
        <a:xfrm>
          <a:off x="933450" y="8948737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443</xdr:row>
      <xdr:rowOff>0</xdr:rowOff>
    </xdr:from>
    <xdr:to>
      <xdr:col>7</xdr:col>
      <xdr:colOff>400050</xdr:colOff>
      <xdr:row>443</xdr:row>
      <xdr:rowOff>142875</xdr:rowOff>
    </xdr:to>
    <xdr:sp macro="" textlink="">
      <xdr:nvSpPr>
        <xdr:cNvPr id="429" name="Text Box 3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 txBox="1">
          <a:spLocks noChangeArrowheads="1"/>
        </xdr:cNvSpPr>
      </xdr:nvSpPr>
      <xdr:spPr bwMode="auto">
        <a:xfrm>
          <a:off x="914400" y="894873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443</xdr:row>
      <xdr:rowOff>0</xdr:rowOff>
    </xdr:from>
    <xdr:to>
      <xdr:col>5</xdr:col>
      <xdr:colOff>295275</xdr:colOff>
      <xdr:row>443</xdr:row>
      <xdr:rowOff>95250</xdr:rowOff>
    </xdr:to>
    <xdr:sp macro="" textlink="">
      <xdr:nvSpPr>
        <xdr:cNvPr id="430" name="Text Box 4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 txBox="1">
          <a:spLocks noChangeArrowheads="1"/>
        </xdr:cNvSpPr>
      </xdr:nvSpPr>
      <xdr:spPr bwMode="auto">
        <a:xfrm>
          <a:off x="933450" y="894873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443</xdr:row>
      <xdr:rowOff>0</xdr:rowOff>
    </xdr:from>
    <xdr:to>
      <xdr:col>7</xdr:col>
      <xdr:colOff>400050</xdr:colOff>
      <xdr:row>443</xdr:row>
      <xdr:rowOff>152400</xdr:rowOff>
    </xdr:to>
    <xdr:sp macro="" textlink="">
      <xdr:nvSpPr>
        <xdr:cNvPr id="431" name="Text Box 5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 txBox="1">
          <a:spLocks noChangeArrowheads="1"/>
        </xdr:cNvSpPr>
      </xdr:nvSpPr>
      <xdr:spPr bwMode="auto">
        <a:xfrm>
          <a:off x="914400" y="894873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443</xdr:row>
      <xdr:rowOff>0</xdr:rowOff>
    </xdr:from>
    <xdr:to>
      <xdr:col>7</xdr:col>
      <xdr:colOff>400050</xdr:colOff>
      <xdr:row>443</xdr:row>
      <xdr:rowOff>152400</xdr:rowOff>
    </xdr:to>
    <xdr:sp macro="" textlink="">
      <xdr:nvSpPr>
        <xdr:cNvPr id="432" name="Text Box 6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 txBox="1">
          <a:spLocks noChangeArrowheads="1"/>
        </xdr:cNvSpPr>
      </xdr:nvSpPr>
      <xdr:spPr bwMode="auto">
        <a:xfrm>
          <a:off x="914400" y="894873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443</xdr:row>
      <xdr:rowOff>0</xdr:rowOff>
    </xdr:from>
    <xdr:to>
      <xdr:col>5</xdr:col>
      <xdr:colOff>295275</xdr:colOff>
      <xdr:row>443</xdr:row>
      <xdr:rowOff>95250</xdr:rowOff>
    </xdr:to>
    <xdr:sp macro="" textlink="">
      <xdr:nvSpPr>
        <xdr:cNvPr id="433" name="Text Box 7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 txBox="1">
          <a:spLocks noChangeArrowheads="1"/>
        </xdr:cNvSpPr>
      </xdr:nvSpPr>
      <xdr:spPr bwMode="auto">
        <a:xfrm>
          <a:off x="933450" y="894873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443</xdr:row>
      <xdr:rowOff>0</xdr:rowOff>
    </xdr:from>
    <xdr:to>
      <xdr:col>9</xdr:col>
      <xdr:colOff>400050</xdr:colOff>
      <xdr:row>443</xdr:row>
      <xdr:rowOff>142875</xdr:rowOff>
    </xdr:to>
    <xdr:sp macro="" textlink="">
      <xdr:nvSpPr>
        <xdr:cNvPr id="434" name="Text Box 11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 txBox="1">
          <a:spLocks noChangeArrowheads="1"/>
        </xdr:cNvSpPr>
      </xdr:nvSpPr>
      <xdr:spPr bwMode="auto">
        <a:xfrm>
          <a:off x="2476500" y="894873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443</xdr:row>
      <xdr:rowOff>0</xdr:rowOff>
    </xdr:from>
    <xdr:to>
      <xdr:col>7</xdr:col>
      <xdr:colOff>400050</xdr:colOff>
      <xdr:row>443</xdr:row>
      <xdr:rowOff>152400</xdr:rowOff>
    </xdr:to>
    <xdr:sp macro="" textlink="">
      <xdr:nvSpPr>
        <xdr:cNvPr id="435" name="Text Box 14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 txBox="1">
          <a:spLocks noChangeArrowheads="1"/>
        </xdr:cNvSpPr>
      </xdr:nvSpPr>
      <xdr:spPr bwMode="auto">
        <a:xfrm>
          <a:off x="914400" y="894873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443</xdr:row>
      <xdr:rowOff>0</xdr:rowOff>
    </xdr:from>
    <xdr:to>
      <xdr:col>7</xdr:col>
      <xdr:colOff>400050</xdr:colOff>
      <xdr:row>443</xdr:row>
      <xdr:rowOff>152400</xdr:rowOff>
    </xdr:to>
    <xdr:sp macro="" textlink="">
      <xdr:nvSpPr>
        <xdr:cNvPr id="436" name="Text Box 1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 txBox="1">
          <a:spLocks noChangeArrowheads="1"/>
        </xdr:cNvSpPr>
      </xdr:nvSpPr>
      <xdr:spPr bwMode="auto">
        <a:xfrm>
          <a:off x="914400" y="894873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443</xdr:row>
      <xdr:rowOff>0</xdr:rowOff>
    </xdr:from>
    <xdr:to>
      <xdr:col>5</xdr:col>
      <xdr:colOff>304800</xdr:colOff>
      <xdr:row>443</xdr:row>
      <xdr:rowOff>95250</xdr:rowOff>
    </xdr:to>
    <xdr:sp macro="" textlink="">
      <xdr:nvSpPr>
        <xdr:cNvPr id="437" name="Text Box 16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 txBox="1">
          <a:spLocks noChangeArrowheads="1"/>
        </xdr:cNvSpPr>
      </xdr:nvSpPr>
      <xdr:spPr bwMode="auto">
        <a:xfrm>
          <a:off x="942975" y="894873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443</xdr:row>
      <xdr:rowOff>104775</xdr:rowOff>
    </xdr:from>
    <xdr:to>
      <xdr:col>20</xdr:col>
      <xdr:colOff>361950</xdr:colOff>
      <xdr:row>443</xdr:row>
      <xdr:rowOff>133350</xdr:rowOff>
    </xdr:to>
    <xdr:sp macro="" textlink="">
      <xdr:nvSpPr>
        <xdr:cNvPr id="438" name="Text Box 1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8956833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443</xdr:row>
      <xdr:rowOff>0</xdr:rowOff>
    </xdr:from>
    <xdr:to>
      <xdr:col>5</xdr:col>
      <xdr:colOff>352425</xdr:colOff>
      <xdr:row>443</xdr:row>
      <xdr:rowOff>28575</xdr:rowOff>
    </xdr:to>
    <xdr:sp macro="" textlink="">
      <xdr:nvSpPr>
        <xdr:cNvPr id="439" name="Text Box 14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 txBox="1">
          <a:spLocks noChangeArrowheads="1"/>
        </xdr:cNvSpPr>
      </xdr:nvSpPr>
      <xdr:spPr bwMode="auto">
        <a:xfrm>
          <a:off x="4133850" y="894873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443</xdr:row>
      <xdr:rowOff>0</xdr:rowOff>
    </xdr:from>
    <xdr:to>
      <xdr:col>5</xdr:col>
      <xdr:colOff>323850</xdr:colOff>
      <xdr:row>443</xdr:row>
      <xdr:rowOff>28575</xdr:rowOff>
    </xdr:to>
    <xdr:sp macro="" textlink="">
      <xdr:nvSpPr>
        <xdr:cNvPr id="440" name="Text Box 15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 txBox="1">
          <a:spLocks noChangeArrowheads="1"/>
        </xdr:cNvSpPr>
      </xdr:nvSpPr>
      <xdr:spPr bwMode="auto">
        <a:xfrm>
          <a:off x="4105275" y="894873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443</xdr:row>
      <xdr:rowOff>0</xdr:rowOff>
    </xdr:from>
    <xdr:to>
      <xdr:col>5</xdr:col>
      <xdr:colOff>457200</xdr:colOff>
      <xdr:row>443</xdr:row>
      <xdr:rowOff>28575</xdr:rowOff>
    </xdr:to>
    <xdr:sp macro="" textlink="">
      <xdr:nvSpPr>
        <xdr:cNvPr id="441" name="Text Box 16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 txBox="1">
          <a:spLocks noChangeArrowheads="1"/>
        </xdr:cNvSpPr>
      </xdr:nvSpPr>
      <xdr:spPr bwMode="auto">
        <a:xfrm>
          <a:off x="4210050" y="8948737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443</xdr:row>
      <xdr:rowOff>0</xdr:rowOff>
    </xdr:from>
    <xdr:to>
      <xdr:col>8</xdr:col>
      <xdr:colOff>400050</xdr:colOff>
      <xdr:row>443</xdr:row>
      <xdr:rowOff>161925</xdr:rowOff>
    </xdr:to>
    <xdr:sp macro="" textlink="">
      <xdr:nvSpPr>
        <xdr:cNvPr id="442" name="Text Box 20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 txBox="1">
          <a:spLocks noChangeArrowheads="1"/>
        </xdr:cNvSpPr>
      </xdr:nvSpPr>
      <xdr:spPr bwMode="auto">
        <a:xfrm>
          <a:off x="1638300" y="894873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443</xdr:row>
      <xdr:rowOff>0</xdr:rowOff>
    </xdr:from>
    <xdr:to>
      <xdr:col>6</xdr:col>
      <xdr:colOff>295275</xdr:colOff>
      <xdr:row>443</xdr:row>
      <xdr:rowOff>161925</xdr:rowOff>
    </xdr:to>
    <xdr:sp macro="" textlink="">
      <xdr:nvSpPr>
        <xdr:cNvPr id="443" name="Text Box 21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 txBox="1">
          <a:spLocks noChangeArrowheads="1"/>
        </xdr:cNvSpPr>
      </xdr:nvSpPr>
      <xdr:spPr bwMode="auto">
        <a:xfrm>
          <a:off x="1657350" y="894873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443</xdr:row>
      <xdr:rowOff>0</xdr:rowOff>
    </xdr:from>
    <xdr:to>
      <xdr:col>8</xdr:col>
      <xdr:colOff>400050</xdr:colOff>
      <xdr:row>443</xdr:row>
      <xdr:rowOff>161925</xdr:rowOff>
    </xdr:to>
    <xdr:sp macro="" textlink="">
      <xdr:nvSpPr>
        <xdr:cNvPr id="444" name="Text Box 18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 txBox="1">
          <a:spLocks noChangeArrowheads="1"/>
        </xdr:cNvSpPr>
      </xdr:nvSpPr>
      <xdr:spPr bwMode="auto">
        <a:xfrm>
          <a:off x="1638300" y="894873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443</xdr:row>
      <xdr:rowOff>0</xdr:rowOff>
    </xdr:from>
    <xdr:to>
      <xdr:col>6</xdr:col>
      <xdr:colOff>295275</xdr:colOff>
      <xdr:row>443</xdr:row>
      <xdr:rowOff>161925</xdr:rowOff>
    </xdr:to>
    <xdr:sp macro="" textlink="">
      <xdr:nvSpPr>
        <xdr:cNvPr id="445" name="Text Box 19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 txBox="1">
          <a:spLocks noChangeArrowheads="1"/>
        </xdr:cNvSpPr>
      </xdr:nvSpPr>
      <xdr:spPr bwMode="auto">
        <a:xfrm>
          <a:off x="1657350" y="894873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443</xdr:row>
      <xdr:rowOff>0</xdr:rowOff>
    </xdr:from>
    <xdr:to>
      <xdr:col>2</xdr:col>
      <xdr:colOff>285750</xdr:colOff>
      <xdr:row>443</xdr:row>
      <xdr:rowOff>28575</xdr:rowOff>
    </xdr:to>
    <xdr:sp macro="" textlink="">
      <xdr:nvSpPr>
        <xdr:cNvPr id="446" name="Text Box 1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 txBox="1">
          <a:spLocks noChangeArrowheads="1"/>
        </xdr:cNvSpPr>
      </xdr:nvSpPr>
      <xdr:spPr bwMode="auto">
        <a:xfrm>
          <a:off x="1866900" y="894873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477</xdr:row>
      <xdr:rowOff>0</xdr:rowOff>
    </xdr:from>
    <xdr:to>
      <xdr:col>7</xdr:col>
      <xdr:colOff>400050</xdr:colOff>
      <xdr:row>477</xdr:row>
      <xdr:rowOff>152400</xdr:rowOff>
    </xdr:to>
    <xdr:sp macro="" textlink="">
      <xdr:nvSpPr>
        <xdr:cNvPr id="447" name="Text Box 1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 txBox="1">
          <a:spLocks noChangeArrowheads="1"/>
        </xdr:cNvSpPr>
      </xdr:nvSpPr>
      <xdr:spPr bwMode="auto">
        <a:xfrm>
          <a:off x="914400" y="963263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477</xdr:row>
      <xdr:rowOff>0</xdr:rowOff>
    </xdr:from>
    <xdr:to>
      <xdr:col>5</xdr:col>
      <xdr:colOff>295275</xdr:colOff>
      <xdr:row>477</xdr:row>
      <xdr:rowOff>142875</xdr:rowOff>
    </xdr:to>
    <xdr:sp macro="" textlink="">
      <xdr:nvSpPr>
        <xdr:cNvPr id="448" name="Text Box 2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 txBox="1">
          <a:spLocks noChangeArrowheads="1"/>
        </xdr:cNvSpPr>
      </xdr:nvSpPr>
      <xdr:spPr bwMode="auto">
        <a:xfrm>
          <a:off x="933450" y="9632632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477</xdr:row>
      <xdr:rowOff>0</xdr:rowOff>
    </xdr:from>
    <xdr:to>
      <xdr:col>7</xdr:col>
      <xdr:colOff>400050</xdr:colOff>
      <xdr:row>477</xdr:row>
      <xdr:rowOff>142875</xdr:rowOff>
    </xdr:to>
    <xdr:sp macro="" textlink="">
      <xdr:nvSpPr>
        <xdr:cNvPr id="449" name="Text Box 3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 txBox="1">
          <a:spLocks noChangeArrowheads="1"/>
        </xdr:cNvSpPr>
      </xdr:nvSpPr>
      <xdr:spPr bwMode="auto">
        <a:xfrm>
          <a:off x="914400" y="963263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477</xdr:row>
      <xdr:rowOff>0</xdr:rowOff>
    </xdr:from>
    <xdr:to>
      <xdr:col>5</xdr:col>
      <xdr:colOff>295275</xdr:colOff>
      <xdr:row>477</xdr:row>
      <xdr:rowOff>95250</xdr:rowOff>
    </xdr:to>
    <xdr:sp macro="" textlink="">
      <xdr:nvSpPr>
        <xdr:cNvPr id="450" name="Text Box 4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 txBox="1">
          <a:spLocks noChangeArrowheads="1"/>
        </xdr:cNvSpPr>
      </xdr:nvSpPr>
      <xdr:spPr bwMode="auto">
        <a:xfrm>
          <a:off x="933450" y="963263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477</xdr:row>
      <xdr:rowOff>0</xdr:rowOff>
    </xdr:from>
    <xdr:to>
      <xdr:col>7</xdr:col>
      <xdr:colOff>400050</xdr:colOff>
      <xdr:row>477</xdr:row>
      <xdr:rowOff>152400</xdr:rowOff>
    </xdr:to>
    <xdr:sp macro="" textlink="">
      <xdr:nvSpPr>
        <xdr:cNvPr id="451" name="Text Box 5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 txBox="1">
          <a:spLocks noChangeArrowheads="1"/>
        </xdr:cNvSpPr>
      </xdr:nvSpPr>
      <xdr:spPr bwMode="auto">
        <a:xfrm>
          <a:off x="914400" y="963263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477</xdr:row>
      <xdr:rowOff>0</xdr:rowOff>
    </xdr:from>
    <xdr:to>
      <xdr:col>7</xdr:col>
      <xdr:colOff>400050</xdr:colOff>
      <xdr:row>477</xdr:row>
      <xdr:rowOff>152400</xdr:rowOff>
    </xdr:to>
    <xdr:sp macro="" textlink="">
      <xdr:nvSpPr>
        <xdr:cNvPr id="452" name="Text Box 6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 txBox="1">
          <a:spLocks noChangeArrowheads="1"/>
        </xdr:cNvSpPr>
      </xdr:nvSpPr>
      <xdr:spPr bwMode="auto">
        <a:xfrm>
          <a:off x="914400" y="963263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477</xdr:row>
      <xdr:rowOff>0</xdr:rowOff>
    </xdr:from>
    <xdr:to>
      <xdr:col>5</xdr:col>
      <xdr:colOff>295275</xdr:colOff>
      <xdr:row>477</xdr:row>
      <xdr:rowOff>95250</xdr:rowOff>
    </xdr:to>
    <xdr:sp macro="" textlink="">
      <xdr:nvSpPr>
        <xdr:cNvPr id="453" name="Text Box 7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 txBox="1">
          <a:spLocks noChangeArrowheads="1"/>
        </xdr:cNvSpPr>
      </xdr:nvSpPr>
      <xdr:spPr bwMode="auto">
        <a:xfrm>
          <a:off x="933450" y="963263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477</xdr:row>
      <xdr:rowOff>0</xdr:rowOff>
    </xdr:from>
    <xdr:to>
      <xdr:col>9</xdr:col>
      <xdr:colOff>400050</xdr:colOff>
      <xdr:row>477</xdr:row>
      <xdr:rowOff>142875</xdr:rowOff>
    </xdr:to>
    <xdr:sp macro="" textlink="">
      <xdr:nvSpPr>
        <xdr:cNvPr id="454" name="Text Box 11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 txBox="1">
          <a:spLocks noChangeArrowheads="1"/>
        </xdr:cNvSpPr>
      </xdr:nvSpPr>
      <xdr:spPr bwMode="auto">
        <a:xfrm>
          <a:off x="2476500" y="963263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477</xdr:row>
      <xdr:rowOff>0</xdr:rowOff>
    </xdr:from>
    <xdr:to>
      <xdr:col>7</xdr:col>
      <xdr:colOff>400050</xdr:colOff>
      <xdr:row>477</xdr:row>
      <xdr:rowOff>152400</xdr:rowOff>
    </xdr:to>
    <xdr:sp macro="" textlink="">
      <xdr:nvSpPr>
        <xdr:cNvPr id="455" name="Text Box 14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 txBox="1">
          <a:spLocks noChangeArrowheads="1"/>
        </xdr:cNvSpPr>
      </xdr:nvSpPr>
      <xdr:spPr bwMode="auto">
        <a:xfrm>
          <a:off x="914400" y="963263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477</xdr:row>
      <xdr:rowOff>0</xdr:rowOff>
    </xdr:from>
    <xdr:to>
      <xdr:col>7</xdr:col>
      <xdr:colOff>400050</xdr:colOff>
      <xdr:row>477</xdr:row>
      <xdr:rowOff>152400</xdr:rowOff>
    </xdr:to>
    <xdr:sp macro="" textlink="">
      <xdr:nvSpPr>
        <xdr:cNvPr id="456" name="Text Box 15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 txBox="1">
          <a:spLocks noChangeArrowheads="1"/>
        </xdr:cNvSpPr>
      </xdr:nvSpPr>
      <xdr:spPr bwMode="auto">
        <a:xfrm>
          <a:off x="914400" y="963263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477</xdr:row>
      <xdr:rowOff>0</xdr:rowOff>
    </xdr:from>
    <xdr:to>
      <xdr:col>5</xdr:col>
      <xdr:colOff>304800</xdr:colOff>
      <xdr:row>477</xdr:row>
      <xdr:rowOff>95250</xdr:rowOff>
    </xdr:to>
    <xdr:sp macro="" textlink="">
      <xdr:nvSpPr>
        <xdr:cNvPr id="457" name="Text Box 16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 txBox="1">
          <a:spLocks noChangeArrowheads="1"/>
        </xdr:cNvSpPr>
      </xdr:nvSpPr>
      <xdr:spPr bwMode="auto">
        <a:xfrm>
          <a:off x="942975" y="963263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477</xdr:row>
      <xdr:rowOff>104775</xdr:rowOff>
    </xdr:from>
    <xdr:to>
      <xdr:col>20</xdr:col>
      <xdr:colOff>361950</xdr:colOff>
      <xdr:row>477</xdr:row>
      <xdr:rowOff>133350</xdr:rowOff>
    </xdr:to>
    <xdr:sp macro="" textlink="">
      <xdr:nvSpPr>
        <xdr:cNvPr id="458" name="Text Box 1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9640728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477</xdr:row>
      <xdr:rowOff>0</xdr:rowOff>
    </xdr:from>
    <xdr:to>
      <xdr:col>5</xdr:col>
      <xdr:colOff>352425</xdr:colOff>
      <xdr:row>477</xdr:row>
      <xdr:rowOff>28575</xdr:rowOff>
    </xdr:to>
    <xdr:sp macro="" textlink="">
      <xdr:nvSpPr>
        <xdr:cNvPr id="459" name="Text Box 14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 txBox="1">
          <a:spLocks noChangeArrowheads="1"/>
        </xdr:cNvSpPr>
      </xdr:nvSpPr>
      <xdr:spPr bwMode="auto">
        <a:xfrm>
          <a:off x="4133850" y="963263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477</xdr:row>
      <xdr:rowOff>0</xdr:rowOff>
    </xdr:from>
    <xdr:to>
      <xdr:col>5</xdr:col>
      <xdr:colOff>323850</xdr:colOff>
      <xdr:row>477</xdr:row>
      <xdr:rowOff>28575</xdr:rowOff>
    </xdr:to>
    <xdr:sp macro="" textlink="">
      <xdr:nvSpPr>
        <xdr:cNvPr id="460" name="Text Box 15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 txBox="1">
          <a:spLocks noChangeArrowheads="1"/>
        </xdr:cNvSpPr>
      </xdr:nvSpPr>
      <xdr:spPr bwMode="auto">
        <a:xfrm>
          <a:off x="4105275" y="963263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477</xdr:row>
      <xdr:rowOff>0</xdr:rowOff>
    </xdr:from>
    <xdr:to>
      <xdr:col>5</xdr:col>
      <xdr:colOff>457200</xdr:colOff>
      <xdr:row>477</xdr:row>
      <xdr:rowOff>28575</xdr:rowOff>
    </xdr:to>
    <xdr:sp macro="" textlink="">
      <xdr:nvSpPr>
        <xdr:cNvPr id="461" name="Text Box 16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SpPr txBox="1">
          <a:spLocks noChangeArrowheads="1"/>
        </xdr:cNvSpPr>
      </xdr:nvSpPr>
      <xdr:spPr bwMode="auto">
        <a:xfrm>
          <a:off x="4210050" y="9632632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8</xdr:col>
      <xdr:colOff>400050</xdr:colOff>
      <xdr:row>477</xdr:row>
      <xdr:rowOff>161925</xdr:rowOff>
    </xdr:to>
    <xdr:sp macro="" textlink="">
      <xdr:nvSpPr>
        <xdr:cNvPr id="462" name="Text Box 20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 txBox="1">
          <a:spLocks noChangeArrowheads="1"/>
        </xdr:cNvSpPr>
      </xdr:nvSpPr>
      <xdr:spPr bwMode="auto">
        <a:xfrm>
          <a:off x="1638300" y="963263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477</xdr:row>
      <xdr:rowOff>0</xdr:rowOff>
    </xdr:from>
    <xdr:to>
      <xdr:col>6</xdr:col>
      <xdr:colOff>295275</xdr:colOff>
      <xdr:row>477</xdr:row>
      <xdr:rowOff>161925</xdr:rowOff>
    </xdr:to>
    <xdr:sp macro="" textlink="">
      <xdr:nvSpPr>
        <xdr:cNvPr id="463" name="Text Box 21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 txBox="1">
          <a:spLocks noChangeArrowheads="1"/>
        </xdr:cNvSpPr>
      </xdr:nvSpPr>
      <xdr:spPr bwMode="auto">
        <a:xfrm>
          <a:off x="1657350" y="963263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8</xdr:col>
      <xdr:colOff>400050</xdr:colOff>
      <xdr:row>477</xdr:row>
      <xdr:rowOff>161925</xdr:rowOff>
    </xdr:to>
    <xdr:sp macro="" textlink="">
      <xdr:nvSpPr>
        <xdr:cNvPr id="464" name="Text Box 18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 txBox="1">
          <a:spLocks noChangeArrowheads="1"/>
        </xdr:cNvSpPr>
      </xdr:nvSpPr>
      <xdr:spPr bwMode="auto">
        <a:xfrm>
          <a:off x="1638300" y="963263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477</xdr:row>
      <xdr:rowOff>0</xdr:rowOff>
    </xdr:from>
    <xdr:to>
      <xdr:col>6</xdr:col>
      <xdr:colOff>295275</xdr:colOff>
      <xdr:row>477</xdr:row>
      <xdr:rowOff>161925</xdr:rowOff>
    </xdr:to>
    <xdr:sp macro="" textlink="">
      <xdr:nvSpPr>
        <xdr:cNvPr id="465" name="Text Box 19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 txBox="1">
          <a:spLocks noChangeArrowheads="1"/>
        </xdr:cNvSpPr>
      </xdr:nvSpPr>
      <xdr:spPr bwMode="auto">
        <a:xfrm>
          <a:off x="1657350" y="963263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477</xdr:row>
      <xdr:rowOff>0</xdr:rowOff>
    </xdr:from>
    <xdr:to>
      <xdr:col>2</xdr:col>
      <xdr:colOff>285750</xdr:colOff>
      <xdr:row>477</xdr:row>
      <xdr:rowOff>28575</xdr:rowOff>
    </xdr:to>
    <xdr:sp macro="" textlink="">
      <xdr:nvSpPr>
        <xdr:cNvPr id="466" name="Text Box 1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 txBox="1">
          <a:spLocks noChangeArrowheads="1"/>
        </xdr:cNvSpPr>
      </xdr:nvSpPr>
      <xdr:spPr bwMode="auto">
        <a:xfrm>
          <a:off x="1866900" y="963263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511</xdr:row>
      <xdr:rowOff>0</xdr:rowOff>
    </xdr:from>
    <xdr:to>
      <xdr:col>7</xdr:col>
      <xdr:colOff>400050</xdr:colOff>
      <xdr:row>511</xdr:row>
      <xdr:rowOff>152400</xdr:rowOff>
    </xdr:to>
    <xdr:sp macro="" textlink="">
      <xdr:nvSpPr>
        <xdr:cNvPr id="467" name="Text Box 1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 txBox="1">
          <a:spLocks noChangeArrowheads="1"/>
        </xdr:cNvSpPr>
      </xdr:nvSpPr>
      <xdr:spPr bwMode="auto">
        <a:xfrm>
          <a:off x="914400" y="1032414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511</xdr:row>
      <xdr:rowOff>0</xdr:rowOff>
    </xdr:from>
    <xdr:to>
      <xdr:col>5</xdr:col>
      <xdr:colOff>295275</xdr:colOff>
      <xdr:row>511</xdr:row>
      <xdr:rowOff>142875</xdr:rowOff>
    </xdr:to>
    <xdr:sp macro="" textlink="">
      <xdr:nvSpPr>
        <xdr:cNvPr id="468" name="Text Box 2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 txBox="1">
          <a:spLocks noChangeArrowheads="1"/>
        </xdr:cNvSpPr>
      </xdr:nvSpPr>
      <xdr:spPr bwMode="auto">
        <a:xfrm>
          <a:off x="933450" y="10324147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511</xdr:row>
      <xdr:rowOff>0</xdr:rowOff>
    </xdr:from>
    <xdr:to>
      <xdr:col>7</xdr:col>
      <xdr:colOff>400050</xdr:colOff>
      <xdr:row>511</xdr:row>
      <xdr:rowOff>142875</xdr:rowOff>
    </xdr:to>
    <xdr:sp macro="" textlink="">
      <xdr:nvSpPr>
        <xdr:cNvPr id="469" name="Text Box 3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 txBox="1">
          <a:spLocks noChangeArrowheads="1"/>
        </xdr:cNvSpPr>
      </xdr:nvSpPr>
      <xdr:spPr bwMode="auto">
        <a:xfrm>
          <a:off x="914400" y="1032414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511</xdr:row>
      <xdr:rowOff>0</xdr:rowOff>
    </xdr:from>
    <xdr:to>
      <xdr:col>5</xdr:col>
      <xdr:colOff>295275</xdr:colOff>
      <xdr:row>511</xdr:row>
      <xdr:rowOff>95250</xdr:rowOff>
    </xdr:to>
    <xdr:sp macro="" textlink="">
      <xdr:nvSpPr>
        <xdr:cNvPr id="470" name="Text Box 4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SpPr txBox="1">
          <a:spLocks noChangeArrowheads="1"/>
        </xdr:cNvSpPr>
      </xdr:nvSpPr>
      <xdr:spPr bwMode="auto">
        <a:xfrm>
          <a:off x="933450" y="1032414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511</xdr:row>
      <xdr:rowOff>0</xdr:rowOff>
    </xdr:from>
    <xdr:to>
      <xdr:col>7</xdr:col>
      <xdr:colOff>400050</xdr:colOff>
      <xdr:row>511</xdr:row>
      <xdr:rowOff>152400</xdr:rowOff>
    </xdr:to>
    <xdr:sp macro="" textlink="">
      <xdr:nvSpPr>
        <xdr:cNvPr id="471" name="Text Box 5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 txBox="1">
          <a:spLocks noChangeArrowheads="1"/>
        </xdr:cNvSpPr>
      </xdr:nvSpPr>
      <xdr:spPr bwMode="auto">
        <a:xfrm>
          <a:off x="914400" y="1032414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511</xdr:row>
      <xdr:rowOff>0</xdr:rowOff>
    </xdr:from>
    <xdr:to>
      <xdr:col>7</xdr:col>
      <xdr:colOff>400050</xdr:colOff>
      <xdr:row>511</xdr:row>
      <xdr:rowOff>152400</xdr:rowOff>
    </xdr:to>
    <xdr:sp macro="" textlink="">
      <xdr:nvSpPr>
        <xdr:cNvPr id="472" name="Text Box 6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SpPr txBox="1">
          <a:spLocks noChangeArrowheads="1"/>
        </xdr:cNvSpPr>
      </xdr:nvSpPr>
      <xdr:spPr bwMode="auto">
        <a:xfrm>
          <a:off x="914400" y="1032414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511</xdr:row>
      <xdr:rowOff>0</xdr:rowOff>
    </xdr:from>
    <xdr:to>
      <xdr:col>5</xdr:col>
      <xdr:colOff>295275</xdr:colOff>
      <xdr:row>511</xdr:row>
      <xdr:rowOff>95250</xdr:rowOff>
    </xdr:to>
    <xdr:sp macro="" textlink="">
      <xdr:nvSpPr>
        <xdr:cNvPr id="473" name="Text Box 7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 txBox="1">
          <a:spLocks noChangeArrowheads="1"/>
        </xdr:cNvSpPr>
      </xdr:nvSpPr>
      <xdr:spPr bwMode="auto">
        <a:xfrm>
          <a:off x="933450" y="1032414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511</xdr:row>
      <xdr:rowOff>0</xdr:rowOff>
    </xdr:from>
    <xdr:to>
      <xdr:col>9</xdr:col>
      <xdr:colOff>400050</xdr:colOff>
      <xdr:row>511</xdr:row>
      <xdr:rowOff>142875</xdr:rowOff>
    </xdr:to>
    <xdr:sp macro="" textlink="">
      <xdr:nvSpPr>
        <xdr:cNvPr id="474" name="Text Box 11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SpPr txBox="1">
          <a:spLocks noChangeArrowheads="1"/>
        </xdr:cNvSpPr>
      </xdr:nvSpPr>
      <xdr:spPr bwMode="auto">
        <a:xfrm>
          <a:off x="2476500" y="1032414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511</xdr:row>
      <xdr:rowOff>0</xdr:rowOff>
    </xdr:from>
    <xdr:to>
      <xdr:col>7</xdr:col>
      <xdr:colOff>400050</xdr:colOff>
      <xdr:row>511</xdr:row>
      <xdr:rowOff>152400</xdr:rowOff>
    </xdr:to>
    <xdr:sp macro="" textlink="">
      <xdr:nvSpPr>
        <xdr:cNvPr id="475" name="Text Box 14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 txBox="1">
          <a:spLocks noChangeArrowheads="1"/>
        </xdr:cNvSpPr>
      </xdr:nvSpPr>
      <xdr:spPr bwMode="auto">
        <a:xfrm>
          <a:off x="914400" y="1032414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511</xdr:row>
      <xdr:rowOff>0</xdr:rowOff>
    </xdr:from>
    <xdr:to>
      <xdr:col>7</xdr:col>
      <xdr:colOff>400050</xdr:colOff>
      <xdr:row>511</xdr:row>
      <xdr:rowOff>152400</xdr:rowOff>
    </xdr:to>
    <xdr:sp macro="" textlink="">
      <xdr:nvSpPr>
        <xdr:cNvPr id="476" name="Text Box 15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 txBox="1">
          <a:spLocks noChangeArrowheads="1"/>
        </xdr:cNvSpPr>
      </xdr:nvSpPr>
      <xdr:spPr bwMode="auto">
        <a:xfrm>
          <a:off x="914400" y="1032414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511</xdr:row>
      <xdr:rowOff>0</xdr:rowOff>
    </xdr:from>
    <xdr:to>
      <xdr:col>5</xdr:col>
      <xdr:colOff>304800</xdr:colOff>
      <xdr:row>511</xdr:row>
      <xdr:rowOff>95250</xdr:rowOff>
    </xdr:to>
    <xdr:sp macro="" textlink="">
      <xdr:nvSpPr>
        <xdr:cNvPr id="477" name="Text Box 16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SpPr txBox="1">
          <a:spLocks noChangeArrowheads="1"/>
        </xdr:cNvSpPr>
      </xdr:nvSpPr>
      <xdr:spPr bwMode="auto">
        <a:xfrm>
          <a:off x="942975" y="1032414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511</xdr:row>
      <xdr:rowOff>104775</xdr:rowOff>
    </xdr:from>
    <xdr:to>
      <xdr:col>20</xdr:col>
      <xdr:colOff>361950</xdr:colOff>
      <xdr:row>511</xdr:row>
      <xdr:rowOff>133350</xdr:rowOff>
    </xdr:to>
    <xdr:sp macro="" textlink="">
      <xdr:nvSpPr>
        <xdr:cNvPr id="478" name="Text Box 1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10332243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511</xdr:row>
      <xdr:rowOff>0</xdr:rowOff>
    </xdr:from>
    <xdr:to>
      <xdr:col>5</xdr:col>
      <xdr:colOff>352425</xdr:colOff>
      <xdr:row>511</xdr:row>
      <xdr:rowOff>28575</xdr:rowOff>
    </xdr:to>
    <xdr:sp macro="" textlink="">
      <xdr:nvSpPr>
        <xdr:cNvPr id="479" name="Text Box 14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 txBox="1">
          <a:spLocks noChangeArrowheads="1"/>
        </xdr:cNvSpPr>
      </xdr:nvSpPr>
      <xdr:spPr bwMode="auto">
        <a:xfrm>
          <a:off x="4133850" y="1032414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511</xdr:row>
      <xdr:rowOff>0</xdr:rowOff>
    </xdr:from>
    <xdr:to>
      <xdr:col>5</xdr:col>
      <xdr:colOff>323850</xdr:colOff>
      <xdr:row>511</xdr:row>
      <xdr:rowOff>28575</xdr:rowOff>
    </xdr:to>
    <xdr:sp macro="" textlink="">
      <xdr:nvSpPr>
        <xdr:cNvPr id="480" name="Text Box 15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 txBox="1">
          <a:spLocks noChangeArrowheads="1"/>
        </xdr:cNvSpPr>
      </xdr:nvSpPr>
      <xdr:spPr bwMode="auto">
        <a:xfrm>
          <a:off x="4105275" y="1032414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511</xdr:row>
      <xdr:rowOff>0</xdr:rowOff>
    </xdr:from>
    <xdr:to>
      <xdr:col>5</xdr:col>
      <xdr:colOff>457200</xdr:colOff>
      <xdr:row>511</xdr:row>
      <xdr:rowOff>28575</xdr:rowOff>
    </xdr:to>
    <xdr:sp macro="" textlink="">
      <xdr:nvSpPr>
        <xdr:cNvPr id="481" name="Text Box 16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SpPr txBox="1">
          <a:spLocks noChangeArrowheads="1"/>
        </xdr:cNvSpPr>
      </xdr:nvSpPr>
      <xdr:spPr bwMode="auto">
        <a:xfrm>
          <a:off x="4210050" y="10324147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511</xdr:row>
      <xdr:rowOff>0</xdr:rowOff>
    </xdr:from>
    <xdr:to>
      <xdr:col>8</xdr:col>
      <xdr:colOff>400050</xdr:colOff>
      <xdr:row>511</xdr:row>
      <xdr:rowOff>161925</xdr:rowOff>
    </xdr:to>
    <xdr:sp macro="" textlink="">
      <xdr:nvSpPr>
        <xdr:cNvPr id="482" name="Text Box 20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SpPr txBox="1">
          <a:spLocks noChangeArrowheads="1"/>
        </xdr:cNvSpPr>
      </xdr:nvSpPr>
      <xdr:spPr bwMode="auto">
        <a:xfrm>
          <a:off x="1638300" y="1032414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511</xdr:row>
      <xdr:rowOff>0</xdr:rowOff>
    </xdr:from>
    <xdr:to>
      <xdr:col>6</xdr:col>
      <xdr:colOff>295275</xdr:colOff>
      <xdr:row>511</xdr:row>
      <xdr:rowOff>161925</xdr:rowOff>
    </xdr:to>
    <xdr:sp macro="" textlink="">
      <xdr:nvSpPr>
        <xdr:cNvPr id="483" name="Text Box 21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 txBox="1">
          <a:spLocks noChangeArrowheads="1"/>
        </xdr:cNvSpPr>
      </xdr:nvSpPr>
      <xdr:spPr bwMode="auto">
        <a:xfrm>
          <a:off x="1657350" y="1032414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511</xdr:row>
      <xdr:rowOff>0</xdr:rowOff>
    </xdr:from>
    <xdr:to>
      <xdr:col>8</xdr:col>
      <xdr:colOff>400050</xdr:colOff>
      <xdr:row>511</xdr:row>
      <xdr:rowOff>161925</xdr:rowOff>
    </xdr:to>
    <xdr:sp macro="" textlink="">
      <xdr:nvSpPr>
        <xdr:cNvPr id="484" name="Text Box 18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 txBox="1">
          <a:spLocks noChangeArrowheads="1"/>
        </xdr:cNvSpPr>
      </xdr:nvSpPr>
      <xdr:spPr bwMode="auto">
        <a:xfrm>
          <a:off x="1638300" y="1032414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511</xdr:row>
      <xdr:rowOff>0</xdr:rowOff>
    </xdr:from>
    <xdr:to>
      <xdr:col>6</xdr:col>
      <xdr:colOff>295275</xdr:colOff>
      <xdr:row>511</xdr:row>
      <xdr:rowOff>161925</xdr:rowOff>
    </xdr:to>
    <xdr:sp macro="" textlink="">
      <xdr:nvSpPr>
        <xdr:cNvPr id="485" name="Text Box 19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 txBox="1">
          <a:spLocks noChangeArrowheads="1"/>
        </xdr:cNvSpPr>
      </xdr:nvSpPr>
      <xdr:spPr bwMode="auto">
        <a:xfrm>
          <a:off x="1657350" y="1032414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511</xdr:row>
      <xdr:rowOff>0</xdr:rowOff>
    </xdr:from>
    <xdr:to>
      <xdr:col>2</xdr:col>
      <xdr:colOff>285750</xdr:colOff>
      <xdr:row>511</xdr:row>
      <xdr:rowOff>28575</xdr:rowOff>
    </xdr:to>
    <xdr:sp macro="" textlink="">
      <xdr:nvSpPr>
        <xdr:cNvPr id="486" name="Text Box 1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 txBox="1">
          <a:spLocks noChangeArrowheads="1"/>
        </xdr:cNvSpPr>
      </xdr:nvSpPr>
      <xdr:spPr bwMode="auto">
        <a:xfrm>
          <a:off x="1866900" y="1032414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7</xdr:col>
      <xdr:colOff>400050</xdr:colOff>
      <xdr:row>545</xdr:row>
      <xdr:rowOff>152400</xdr:rowOff>
    </xdr:to>
    <xdr:sp macro="" textlink="">
      <xdr:nvSpPr>
        <xdr:cNvPr id="487" name="Text Box 1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 txBox="1">
          <a:spLocks noChangeArrowheads="1"/>
        </xdr:cNvSpPr>
      </xdr:nvSpPr>
      <xdr:spPr bwMode="auto">
        <a:xfrm>
          <a:off x="914400" y="1100613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545</xdr:row>
      <xdr:rowOff>0</xdr:rowOff>
    </xdr:from>
    <xdr:to>
      <xdr:col>5</xdr:col>
      <xdr:colOff>295275</xdr:colOff>
      <xdr:row>545</xdr:row>
      <xdr:rowOff>142875</xdr:rowOff>
    </xdr:to>
    <xdr:sp macro="" textlink="">
      <xdr:nvSpPr>
        <xdr:cNvPr id="488" name="Text Box 2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 txBox="1">
          <a:spLocks noChangeArrowheads="1"/>
        </xdr:cNvSpPr>
      </xdr:nvSpPr>
      <xdr:spPr bwMode="auto">
        <a:xfrm>
          <a:off x="933450" y="11006137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7</xdr:col>
      <xdr:colOff>400050</xdr:colOff>
      <xdr:row>545</xdr:row>
      <xdr:rowOff>142875</xdr:rowOff>
    </xdr:to>
    <xdr:sp macro="" textlink="">
      <xdr:nvSpPr>
        <xdr:cNvPr id="489" name="Text Box 3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 txBox="1">
          <a:spLocks noChangeArrowheads="1"/>
        </xdr:cNvSpPr>
      </xdr:nvSpPr>
      <xdr:spPr bwMode="auto">
        <a:xfrm>
          <a:off x="914400" y="1100613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545</xdr:row>
      <xdr:rowOff>0</xdr:rowOff>
    </xdr:from>
    <xdr:to>
      <xdr:col>5</xdr:col>
      <xdr:colOff>295275</xdr:colOff>
      <xdr:row>545</xdr:row>
      <xdr:rowOff>95250</xdr:rowOff>
    </xdr:to>
    <xdr:sp macro="" textlink="">
      <xdr:nvSpPr>
        <xdr:cNvPr id="490" name="Text Box 4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 txBox="1">
          <a:spLocks noChangeArrowheads="1"/>
        </xdr:cNvSpPr>
      </xdr:nvSpPr>
      <xdr:spPr bwMode="auto">
        <a:xfrm>
          <a:off x="933450" y="1100613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7</xdr:col>
      <xdr:colOff>400050</xdr:colOff>
      <xdr:row>545</xdr:row>
      <xdr:rowOff>152400</xdr:rowOff>
    </xdr:to>
    <xdr:sp macro="" textlink="">
      <xdr:nvSpPr>
        <xdr:cNvPr id="491" name="Text Box 5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 txBox="1">
          <a:spLocks noChangeArrowheads="1"/>
        </xdr:cNvSpPr>
      </xdr:nvSpPr>
      <xdr:spPr bwMode="auto">
        <a:xfrm>
          <a:off x="914400" y="1100613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7</xdr:col>
      <xdr:colOff>400050</xdr:colOff>
      <xdr:row>545</xdr:row>
      <xdr:rowOff>152400</xdr:rowOff>
    </xdr:to>
    <xdr:sp macro="" textlink="">
      <xdr:nvSpPr>
        <xdr:cNvPr id="492" name="Text Box 6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 txBox="1">
          <a:spLocks noChangeArrowheads="1"/>
        </xdr:cNvSpPr>
      </xdr:nvSpPr>
      <xdr:spPr bwMode="auto">
        <a:xfrm>
          <a:off x="914400" y="1100613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545</xdr:row>
      <xdr:rowOff>0</xdr:rowOff>
    </xdr:from>
    <xdr:to>
      <xdr:col>5</xdr:col>
      <xdr:colOff>295275</xdr:colOff>
      <xdr:row>545</xdr:row>
      <xdr:rowOff>95250</xdr:rowOff>
    </xdr:to>
    <xdr:sp macro="" textlink="">
      <xdr:nvSpPr>
        <xdr:cNvPr id="493" name="Text Box 7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SpPr txBox="1">
          <a:spLocks noChangeArrowheads="1"/>
        </xdr:cNvSpPr>
      </xdr:nvSpPr>
      <xdr:spPr bwMode="auto">
        <a:xfrm>
          <a:off x="933450" y="1100613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545</xdr:row>
      <xdr:rowOff>0</xdr:rowOff>
    </xdr:from>
    <xdr:to>
      <xdr:col>9</xdr:col>
      <xdr:colOff>400050</xdr:colOff>
      <xdr:row>545</xdr:row>
      <xdr:rowOff>142875</xdr:rowOff>
    </xdr:to>
    <xdr:sp macro="" textlink="">
      <xdr:nvSpPr>
        <xdr:cNvPr id="494" name="Text Box 11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 txBox="1">
          <a:spLocks noChangeArrowheads="1"/>
        </xdr:cNvSpPr>
      </xdr:nvSpPr>
      <xdr:spPr bwMode="auto">
        <a:xfrm>
          <a:off x="2476500" y="11006137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7</xdr:col>
      <xdr:colOff>400050</xdr:colOff>
      <xdr:row>545</xdr:row>
      <xdr:rowOff>152400</xdr:rowOff>
    </xdr:to>
    <xdr:sp macro="" textlink="">
      <xdr:nvSpPr>
        <xdr:cNvPr id="495" name="Text Box 14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 txBox="1">
          <a:spLocks noChangeArrowheads="1"/>
        </xdr:cNvSpPr>
      </xdr:nvSpPr>
      <xdr:spPr bwMode="auto">
        <a:xfrm>
          <a:off x="914400" y="1100613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7</xdr:col>
      <xdr:colOff>400050</xdr:colOff>
      <xdr:row>545</xdr:row>
      <xdr:rowOff>152400</xdr:rowOff>
    </xdr:to>
    <xdr:sp macro="" textlink="">
      <xdr:nvSpPr>
        <xdr:cNvPr id="496" name="Text Box 15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 txBox="1">
          <a:spLocks noChangeArrowheads="1"/>
        </xdr:cNvSpPr>
      </xdr:nvSpPr>
      <xdr:spPr bwMode="auto">
        <a:xfrm>
          <a:off x="914400" y="11006137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545</xdr:row>
      <xdr:rowOff>0</xdr:rowOff>
    </xdr:from>
    <xdr:to>
      <xdr:col>5</xdr:col>
      <xdr:colOff>304800</xdr:colOff>
      <xdr:row>545</xdr:row>
      <xdr:rowOff>95250</xdr:rowOff>
    </xdr:to>
    <xdr:sp macro="" textlink="">
      <xdr:nvSpPr>
        <xdr:cNvPr id="497" name="Text Box 16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 txBox="1">
          <a:spLocks noChangeArrowheads="1"/>
        </xdr:cNvSpPr>
      </xdr:nvSpPr>
      <xdr:spPr bwMode="auto">
        <a:xfrm>
          <a:off x="942975" y="11006137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545</xdr:row>
      <xdr:rowOff>104775</xdr:rowOff>
    </xdr:from>
    <xdr:to>
      <xdr:col>20</xdr:col>
      <xdr:colOff>361950</xdr:colOff>
      <xdr:row>545</xdr:row>
      <xdr:rowOff>133350</xdr:rowOff>
    </xdr:to>
    <xdr:sp macro="" textlink="">
      <xdr:nvSpPr>
        <xdr:cNvPr id="498" name="Text Box 1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11014233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545</xdr:row>
      <xdr:rowOff>0</xdr:rowOff>
    </xdr:from>
    <xdr:to>
      <xdr:col>5</xdr:col>
      <xdr:colOff>352425</xdr:colOff>
      <xdr:row>545</xdr:row>
      <xdr:rowOff>28575</xdr:rowOff>
    </xdr:to>
    <xdr:sp macro="" textlink="">
      <xdr:nvSpPr>
        <xdr:cNvPr id="499" name="Text Box 14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 txBox="1">
          <a:spLocks noChangeArrowheads="1"/>
        </xdr:cNvSpPr>
      </xdr:nvSpPr>
      <xdr:spPr bwMode="auto">
        <a:xfrm>
          <a:off x="4133850" y="1100613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545</xdr:row>
      <xdr:rowOff>0</xdr:rowOff>
    </xdr:from>
    <xdr:to>
      <xdr:col>5</xdr:col>
      <xdr:colOff>323850</xdr:colOff>
      <xdr:row>545</xdr:row>
      <xdr:rowOff>28575</xdr:rowOff>
    </xdr:to>
    <xdr:sp macro="" textlink="">
      <xdr:nvSpPr>
        <xdr:cNvPr id="500" name="Text Box 15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 txBox="1">
          <a:spLocks noChangeArrowheads="1"/>
        </xdr:cNvSpPr>
      </xdr:nvSpPr>
      <xdr:spPr bwMode="auto">
        <a:xfrm>
          <a:off x="4105275" y="1100613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545</xdr:row>
      <xdr:rowOff>0</xdr:rowOff>
    </xdr:from>
    <xdr:to>
      <xdr:col>5</xdr:col>
      <xdr:colOff>457200</xdr:colOff>
      <xdr:row>545</xdr:row>
      <xdr:rowOff>28575</xdr:rowOff>
    </xdr:to>
    <xdr:sp macro="" textlink="">
      <xdr:nvSpPr>
        <xdr:cNvPr id="501" name="Text Box 16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 txBox="1">
          <a:spLocks noChangeArrowheads="1"/>
        </xdr:cNvSpPr>
      </xdr:nvSpPr>
      <xdr:spPr bwMode="auto">
        <a:xfrm>
          <a:off x="4210050" y="11006137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545</xdr:row>
      <xdr:rowOff>0</xdr:rowOff>
    </xdr:from>
    <xdr:to>
      <xdr:col>8</xdr:col>
      <xdr:colOff>400050</xdr:colOff>
      <xdr:row>545</xdr:row>
      <xdr:rowOff>161925</xdr:rowOff>
    </xdr:to>
    <xdr:sp macro="" textlink="">
      <xdr:nvSpPr>
        <xdr:cNvPr id="502" name="Text Box 20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 txBox="1">
          <a:spLocks noChangeArrowheads="1"/>
        </xdr:cNvSpPr>
      </xdr:nvSpPr>
      <xdr:spPr bwMode="auto">
        <a:xfrm>
          <a:off x="1638300" y="1100613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545</xdr:row>
      <xdr:rowOff>0</xdr:rowOff>
    </xdr:from>
    <xdr:to>
      <xdr:col>6</xdr:col>
      <xdr:colOff>295275</xdr:colOff>
      <xdr:row>545</xdr:row>
      <xdr:rowOff>161925</xdr:rowOff>
    </xdr:to>
    <xdr:sp macro="" textlink="">
      <xdr:nvSpPr>
        <xdr:cNvPr id="503" name="Text Box 21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SpPr txBox="1">
          <a:spLocks noChangeArrowheads="1"/>
        </xdr:cNvSpPr>
      </xdr:nvSpPr>
      <xdr:spPr bwMode="auto">
        <a:xfrm>
          <a:off x="1657350" y="1100613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545</xdr:row>
      <xdr:rowOff>0</xdr:rowOff>
    </xdr:from>
    <xdr:to>
      <xdr:col>8</xdr:col>
      <xdr:colOff>400050</xdr:colOff>
      <xdr:row>545</xdr:row>
      <xdr:rowOff>161925</xdr:rowOff>
    </xdr:to>
    <xdr:sp macro="" textlink="">
      <xdr:nvSpPr>
        <xdr:cNvPr id="504" name="Text Box 18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SpPr txBox="1">
          <a:spLocks noChangeArrowheads="1"/>
        </xdr:cNvSpPr>
      </xdr:nvSpPr>
      <xdr:spPr bwMode="auto">
        <a:xfrm>
          <a:off x="1638300" y="11006137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545</xdr:row>
      <xdr:rowOff>0</xdr:rowOff>
    </xdr:from>
    <xdr:to>
      <xdr:col>6</xdr:col>
      <xdr:colOff>295275</xdr:colOff>
      <xdr:row>545</xdr:row>
      <xdr:rowOff>161925</xdr:rowOff>
    </xdr:to>
    <xdr:sp macro="" textlink="">
      <xdr:nvSpPr>
        <xdr:cNvPr id="505" name="Text Box 19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 txBox="1">
          <a:spLocks noChangeArrowheads="1"/>
        </xdr:cNvSpPr>
      </xdr:nvSpPr>
      <xdr:spPr bwMode="auto">
        <a:xfrm>
          <a:off x="1657350" y="11006137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545</xdr:row>
      <xdr:rowOff>0</xdr:rowOff>
    </xdr:from>
    <xdr:to>
      <xdr:col>2</xdr:col>
      <xdr:colOff>285750</xdr:colOff>
      <xdr:row>545</xdr:row>
      <xdr:rowOff>28575</xdr:rowOff>
    </xdr:to>
    <xdr:sp macro="" textlink="">
      <xdr:nvSpPr>
        <xdr:cNvPr id="506" name="Text Box 1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 txBox="1">
          <a:spLocks noChangeArrowheads="1"/>
        </xdr:cNvSpPr>
      </xdr:nvSpPr>
      <xdr:spPr bwMode="auto">
        <a:xfrm>
          <a:off x="1866900" y="1100613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579</xdr:row>
      <xdr:rowOff>0</xdr:rowOff>
    </xdr:from>
    <xdr:to>
      <xdr:col>7</xdr:col>
      <xdr:colOff>504825</xdr:colOff>
      <xdr:row>579</xdr:row>
      <xdr:rowOff>152400</xdr:rowOff>
    </xdr:to>
    <xdr:sp macro="" textlink="">
      <xdr:nvSpPr>
        <xdr:cNvPr id="507" name="Text Box 35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 txBox="1">
          <a:spLocks noChangeArrowheads="1"/>
        </xdr:cNvSpPr>
      </xdr:nvSpPr>
      <xdr:spPr bwMode="auto">
        <a:xfrm>
          <a:off x="1066800" y="11682412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257175</xdr:colOff>
      <xdr:row>579</xdr:row>
      <xdr:rowOff>0</xdr:rowOff>
    </xdr:from>
    <xdr:to>
      <xdr:col>6</xdr:col>
      <xdr:colOff>571500</xdr:colOff>
      <xdr:row>579</xdr:row>
      <xdr:rowOff>123825</xdr:rowOff>
    </xdr:to>
    <xdr:sp macro="" textlink="">
      <xdr:nvSpPr>
        <xdr:cNvPr id="508" name="Text Box 36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SpPr txBox="1">
          <a:spLocks noChangeArrowheads="1"/>
        </xdr:cNvSpPr>
      </xdr:nvSpPr>
      <xdr:spPr bwMode="auto">
        <a:xfrm>
          <a:off x="1895475" y="116824125"/>
          <a:ext cx="27527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579</xdr:row>
      <xdr:rowOff>0</xdr:rowOff>
    </xdr:from>
    <xdr:to>
      <xdr:col>6</xdr:col>
      <xdr:colOff>400050</xdr:colOff>
      <xdr:row>579</xdr:row>
      <xdr:rowOff>123825</xdr:rowOff>
    </xdr:to>
    <xdr:sp macro="" textlink="">
      <xdr:nvSpPr>
        <xdr:cNvPr id="509" name="Text Box 36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SpPr txBox="1">
          <a:spLocks noChangeArrowheads="1"/>
        </xdr:cNvSpPr>
      </xdr:nvSpPr>
      <xdr:spPr bwMode="auto">
        <a:xfrm>
          <a:off x="1724025" y="116824125"/>
          <a:ext cx="27527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579</xdr:row>
      <xdr:rowOff>0</xdr:rowOff>
    </xdr:from>
    <xdr:to>
      <xdr:col>6</xdr:col>
      <xdr:colOff>400050</xdr:colOff>
      <xdr:row>579</xdr:row>
      <xdr:rowOff>133350</xdr:rowOff>
    </xdr:to>
    <xdr:sp macro="" textlink="">
      <xdr:nvSpPr>
        <xdr:cNvPr id="510" name="Text Box 36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SpPr txBox="1">
          <a:spLocks noChangeArrowheads="1"/>
        </xdr:cNvSpPr>
      </xdr:nvSpPr>
      <xdr:spPr bwMode="auto">
        <a:xfrm>
          <a:off x="1724025" y="11682412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579</xdr:row>
      <xdr:rowOff>0</xdr:rowOff>
    </xdr:from>
    <xdr:to>
      <xdr:col>9</xdr:col>
      <xdr:colOff>19050</xdr:colOff>
      <xdr:row>579</xdr:row>
      <xdr:rowOff>152400</xdr:rowOff>
    </xdr:to>
    <xdr:sp macro="" textlink="">
      <xdr:nvSpPr>
        <xdr:cNvPr id="511" name="Text Box 32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SpPr txBox="1">
          <a:spLocks noChangeArrowheads="1"/>
        </xdr:cNvSpPr>
      </xdr:nvSpPr>
      <xdr:spPr bwMode="auto">
        <a:xfrm>
          <a:off x="1914525" y="11682412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579</xdr:row>
      <xdr:rowOff>0</xdr:rowOff>
    </xdr:from>
    <xdr:to>
      <xdr:col>6</xdr:col>
      <xdr:colOff>400050</xdr:colOff>
      <xdr:row>579</xdr:row>
      <xdr:rowOff>133350</xdr:rowOff>
    </xdr:to>
    <xdr:sp macro="" textlink="">
      <xdr:nvSpPr>
        <xdr:cNvPr id="512" name="Text Box 33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 txBox="1">
          <a:spLocks noChangeArrowheads="1"/>
        </xdr:cNvSpPr>
      </xdr:nvSpPr>
      <xdr:spPr bwMode="auto">
        <a:xfrm>
          <a:off x="1724025" y="11682412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579</xdr:row>
      <xdr:rowOff>0</xdr:rowOff>
    </xdr:from>
    <xdr:to>
      <xdr:col>9</xdr:col>
      <xdr:colOff>19050</xdr:colOff>
      <xdr:row>579</xdr:row>
      <xdr:rowOff>152400</xdr:rowOff>
    </xdr:to>
    <xdr:sp macro="" textlink="">
      <xdr:nvSpPr>
        <xdr:cNvPr id="513" name="Text Box 30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 txBox="1">
          <a:spLocks noChangeArrowheads="1"/>
        </xdr:cNvSpPr>
      </xdr:nvSpPr>
      <xdr:spPr bwMode="auto">
        <a:xfrm>
          <a:off x="1914525" y="116824125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579</xdr:row>
      <xdr:rowOff>0</xdr:rowOff>
    </xdr:from>
    <xdr:to>
      <xdr:col>6</xdr:col>
      <xdr:colOff>400050</xdr:colOff>
      <xdr:row>579</xdr:row>
      <xdr:rowOff>133350</xdr:rowOff>
    </xdr:to>
    <xdr:sp macro="" textlink="">
      <xdr:nvSpPr>
        <xdr:cNvPr id="514" name="Text Box 31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 txBox="1">
          <a:spLocks noChangeArrowheads="1"/>
        </xdr:cNvSpPr>
      </xdr:nvSpPr>
      <xdr:spPr bwMode="auto">
        <a:xfrm>
          <a:off x="1724025" y="11682412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579</xdr:row>
      <xdr:rowOff>0</xdr:rowOff>
    </xdr:from>
    <xdr:to>
      <xdr:col>6</xdr:col>
      <xdr:colOff>400050</xdr:colOff>
      <xdr:row>579</xdr:row>
      <xdr:rowOff>133350</xdr:rowOff>
    </xdr:to>
    <xdr:sp macro="" textlink="">
      <xdr:nvSpPr>
        <xdr:cNvPr id="515" name="Text Box 29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 txBox="1">
          <a:spLocks noChangeArrowheads="1"/>
        </xdr:cNvSpPr>
      </xdr:nvSpPr>
      <xdr:spPr bwMode="auto">
        <a:xfrm>
          <a:off x="1724025" y="116824125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579</xdr:row>
      <xdr:rowOff>0</xdr:rowOff>
    </xdr:from>
    <xdr:to>
      <xdr:col>6</xdr:col>
      <xdr:colOff>400050</xdr:colOff>
      <xdr:row>579</xdr:row>
      <xdr:rowOff>76200</xdr:rowOff>
    </xdr:to>
    <xdr:sp macro="" textlink="">
      <xdr:nvSpPr>
        <xdr:cNvPr id="516" name="Text Box 27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 txBox="1">
          <a:spLocks noChangeArrowheads="1"/>
        </xdr:cNvSpPr>
      </xdr:nvSpPr>
      <xdr:spPr bwMode="auto">
        <a:xfrm>
          <a:off x="1724025" y="1168241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579</xdr:row>
      <xdr:rowOff>0</xdr:rowOff>
    </xdr:from>
    <xdr:to>
      <xdr:col>6</xdr:col>
      <xdr:colOff>400050</xdr:colOff>
      <xdr:row>579</xdr:row>
      <xdr:rowOff>76200</xdr:rowOff>
    </xdr:to>
    <xdr:sp macro="" textlink="">
      <xdr:nvSpPr>
        <xdr:cNvPr id="517" name="Text Box 25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 txBox="1">
          <a:spLocks noChangeArrowheads="1"/>
        </xdr:cNvSpPr>
      </xdr:nvSpPr>
      <xdr:spPr bwMode="auto">
        <a:xfrm>
          <a:off x="1724025" y="1168241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579</xdr:row>
      <xdr:rowOff>0</xdr:rowOff>
    </xdr:from>
    <xdr:to>
      <xdr:col>7</xdr:col>
      <xdr:colOff>400050</xdr:colOff>
      <xdr:row>579</xdr:row>
      <xdr:rowOff>161925</xdr:rowOff>
    </xdr:to>
    <xdr:sp macro="" textlink="">
      <xdr:nvSpPr>
        <xdr:cNvPr id="518" name="Text Box 22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 txBox="1">
          <a:spLocks noChangeArrowheads="1"/>
        </xdr:cNvSpPr>
      </xdr:nvSpPr>
      <xdr:spPr bwMode="auto">
        <a:xfrm>
          <a:off x="914400" y="1168241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579</xdr:row>
      <xdr:rowOff>0</xdr:rowOff>
    </xdr:from>
    <xdr:to>
      <xdr:col>6</xdr:col>
      <xdr:colOff>400050</xdr:colOff>
      <xdr:row>579</xdr:row>
      <xdr:rowOff>76200</xdr:rowOff>
    </xdr:to>
    <xdr:sp macro="" textlink="">
      <xdr:nvSpPr>
        <xdr:cNvPr id="519" name="Text Box 23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SpPr txBox="1">
          <a:spLocks noChangeArrowheads="1"/>
        </xdr:cNvSpPr>
      </xdr:nvSpPr>
      <xdr:spPr bwMode="auto">
        <a:xfrm>
          <a:off x="1724025" y="116824125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579</xdr:row>
      <xdr:rowOff>0</xdr:rowOff>
    </xdr:from>
    <xdr:to>
      <xdr:col>7</xdr:col>
      <xdr:colOff>400050</xdr:colOff>
      <xdr:row>579</xdr:row>
      <xdr:rowOff>161925</xdr:rowOff>
    </xdr:to>
    <xdr:sp macro="" textlink="">
      <xdr:nvSpPr>
        <xdr:cNvPr id="520" name="Text Box 20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SpPr txBox="1">
          <a:spLocks noChangeArrowheads="1"/>
        </xdr:cNvSpPr>
      </xdr:nvSpPr>
      <xdr:spPr bwMode="auto">
        <a:xfrm>
          <a:off x="914400" y="1168241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579</xdr:row>
      <xdr:rowOff>0</xdr:rowOff>
    </xdr:from>
    <xdr:to>
      <xdr:col>1</xdr:col>
      <xdr:colOff>285750</xdr:colOff>
      <xdr:row>579</xdr:row>
      <xdr:rowOff>28575</xdr:rowOff>
    </xdr:to>
    <xdr:sp macro="" textlink="">
      <xdr:nvSpPr>
        <xdr:cNvPr id="521" name="Text Box 1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 txBox="1">
          <a:spLocks noChangeArrowheads="1"/>
        </xdr:cNvSpPr>
      </xdr:nvSpPr>
      <xdr:spPr bwMode="auto">
        <a:xfrm>
          <a:off x="1143000" y="1168241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579</xdr:row>
      <xdr:rowOff>0</xdr:rowOff>
    </xdr:from>
    <xdr:to>
      <xdr:col>7</xdr:col>
      <xdr:colOff>400050</xdr:colOff>
      <xdr:row>579</xdr:row>
      <xdr:rowOff>152400</xdr:rowOff>
    </xdr:to>
    <xdr:sp macro="" textlink="">
      <xdr:nvSpPr>
        <xdr:cNvPr id="522" name="Text Box 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 txBox="1">
          <a:spLocks noChangeArrowheads="1"/>
        </xdr:cNvSpPr>
      </xdr:nvSpPr>
      <xdr:spPr bwMode="auto">
        <a:xfrm>
          <a:off x="914400" y="1168241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579</xdr:row>
      <xdr:rowOff>0</xdr:rowOff>
    </xdr:from>
    <xdr:to>
      <xdr:col>5</xdr:col>
      <xdr:colOff>295275</xdr:colOff>
      <xdr:row>579</xdr:row>
      <xdr:rowOff>142875</xdr:rowOff>
    </xdr:to>
    <xdr:sp macro="" textlink="">
      <xdr:nvSpPr>
        <xdr:cNvPr id="523" name="Text Box 2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 txBox="1">
          <a:spLocks noChangeArrowheads="1"/>
        </xdr:cNvSpPr>
      </xdr:nvSpPr>
      <xdr:spPr bwMode="auto">
        <a:xfrm>
          <a:off x="933450" y="116824125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579</xdr:row>
      <xdr:rowOff>0</xdr:rowOff>
    </xdr:from>
    <xdr:to>
      <xdr:col>7</xdr:col>
      <xdr:colOff>400050</xdr:colOff>
      <xdr:row>579</xdr:row>
      <xdr:rowOff>142875</xdr:rowOff>
    </xdr:to>
    <xdr:sp macro="" textlink="">
      <xdr:nvSpPr>
        <xdr:cNvPr id="524" name="Text Box 3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 txBox="1">
          <a:spLocks noChangeArrowheads="1"/>
        </xdr:cNvSpPr>
      </xdr:nvSpPr>
      <xdr:spPr bwMode="auto">
        <a:xfrm>
          <a:off x="914400" y="1168241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579</xdr:row>
      <xdr:rowOff>0</xdr:rowOff>
    </xdr:from>
    <xdr:to>
      <xdr:col>5</xdr:col>
      <xdr:colOff>295275</xdr:colOff>
      <xdr:row>579</xdr:row>
      <xdr:rowOff>95250</xdr:rowOff>
    </xdr:to>
    <xdr:sp macro="" textlink="">
      <xdr:nvSpPr>
        <xdr:cNvPr id="525" name="Text Box 4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 txBox="1">
          <a:spLocks noChangeArrowheads="1"/>
        </xdr:cNvSpPr>
      </xdr:nvSpPr>
      <xdr:spPr bwMode="auto">
        <a:xfrm>
          <a:off x="933450" y="1168241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579</xdr:row>
      <xdr:rowOff>0</xdr:rowOff>
    </xdr:from>
    <xdr:to>
      <xdr:col>7</xdr:col>
      <xdr:colOff>400050</xdr:colOff>
      <xdr:row>579</xdr:row>
      <xdr:rowOff>152400</xdr:rowOff>
    </xdr:to>
    <xdr:sp macro="" textlink="">
      <xdr:nvSpPr>
        <xdr:cNvPr id="526" name="Text Box 5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 txBox="1">
          <a:spLocks noChangeArrowheads="1"/>
        </xdr:cNvSpPr>
      </xdr:nvSpPr>
      <xdr:spPr bwMode="auto">
        <a:xfrm>
          <a:off x="914400" y="1168241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579</xdr:row>
      <xdr:rowOff>0</xdr:rowOff>
    </xdr:from>
    <xdr:to>
      <xdr:col>7</xdr:col>
      <xdr:colOff>400050</xdr:colOff>
      <xdr:row>579</xdr:row>
      <xdr:rowOff>152400</xdr:rowOff>
    </xdr:to>
    <xdr:sp macro="" textlink="">
      <xdr:nvSpPr>
        <xdr:cNvPr id="527" name="Text Box 6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SpPr txBox="1">
          <a:spLocks noChangeArrowheads="1"/>
        </xdr:cNvSpPr>
      </xdr:nvSpPr>
      <xdr:spPr bwMode="auto">
        <a:xfrm>
          <a:off x="914400" y="1168241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579</xdr:row>
      <xdr:rowOff>0</xdr:rowOff>
    </xdr:from>
    <xdr:to>
      <xdr:col>5</xdr:col>
      <xdr:colOff>295275</xdr:colOff>
      <xdr:row>579</xdr:row>
      <xdr:rowOff>95250</xdr:rowOff>
    </xdr:to>
    <xdr:sp macro="" textlink="">
      <xdr:nvSpPr>
        <xdr:cNvPr id="528" name="Text Box 7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 txBox="1">
          <a:spLocks noChangeArrowheads="1"/>
        </xdr:cNvSpPr>
      </xdr:nvSpPr>
      <xdr:spPr bwMode="auto">
        <a:xfrm>
          <a:off x="933450" y="1168241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579</xdr:row>
      <xdr:rowOff>0</xdr:rowOff>
    </xdr:from>
    <xdr:to>
      <xdr:col>9</xdr:col>
      <xdr:colOff>400050</xdr:colOff>
      <xdr:row>579</xdr:row>
      <xdr:rowOff>142875</xdr:rowOff>
    </xdr:to>
    <xdr:sp macro="" textlink="">
      <xdr:nvSpPr>
        <xdr:cNvPr id="529" name="Text Box 11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SpPr txBox="1">
          <a:spLocks noChangeArrowheads="1"/>
        </xdr:cNvSpPr>
      </xdr:nvSpPr>
      <xdr:spPr bwMode="auto">
        <a:xfrm>
          <a:off x="2476500" y="116824125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579</xdr:row>
      <xdr:rowOff>0</xdr:rowOff>
    </xdr:from>
    <xdr:to>
      <xdr:col>7</xdr:col>
      <xdr:colOff>400050</xdr:colOff>
      <xdr:row>579</xdr:row>
      <xdr:rowOff>152400</xdr:rowOff>
    </xdr:to>
    <xdr:sp macro="" textlink="">
      <xdr:nvSpPr>
        <xdr:cNvPr id="530" name="Text Box 14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 txBox="1">
          <a:spLocks noChangeArrowheads="1"/>
        </xdr:cNvSpPr>
      </xdr:nvSpPr>
      <xdr:spPr bwMode="auto">
        <a:xfrm>
          <a:off x="914400" y="1168241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579</xdr:row>
      <xdr:rowOff>0</xdr:rowOff>
    </xdr:from>
    <xdr:to>
      <xdr:col>7</xdr:col>
      <xdr:colOff>400050</xdr:colOff>
      <xdr:row>579</xdr:row>
      <xdr:rowOff>152400</xdr:rowOff>
    </xdr:to>
    <xdr:sp macro="" textlink="">
      <xdr:nvSpPr>
        <xdr:cNvPr id="531" name="Text Box 15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 txBox="1">
          <a:spLocks noChangeArrowheads="1"/>
        </xdr:cNvSpPr>
      </xdr:nvSpPr>
      <xdr:spPr bwMode="auto">
        <a:xfrm>
          <a:off x="914400" y="116824125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579</xdr:row>
      <xdr:rowOff>0</xdr:rowOff>
    </xdr:from>
    <xdr:to>
      <xdr:col>5</xdr:col>
      <xdr:colOff>304800</xdr:colOff>
      <xdr:row>579</xdr:row>
      <xdr:rowOff>95250</xdr:rowOff>
    </xdr:to>
    <xdr:sp macro="" textlink="">
      <xdr:nvSpPr>
        <xdr:cNvPr id="532" name="Text Box 16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 txBox="1">
          <a:spLocks noChangeArrowheads="1"/>
        </xdr:cNvSpPr>
      </xdr:nvSpPr>
      <xdr:spPr bwMode="auto">
        <a:xfrm>
          <a:off x="942975" y="116824125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579</xdr:row>
      <xdr:rowOff>104775</xdr:rowOff>
    </xdr:from>
    <xdr:to>
      <xdr:col>20</xdr:col>
      <xdr:colOff>361950</xdr:colOff>
      <xdr:row>579</xdr:row>
      <xdr:rowOff>133350</xdr:rowOff>
    </xdr:to>
    <xdr:sp macro="" textlink="">
      <xdr:nvSpPr>
        <xdr:cNvPr id="533" name="Text Box 1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11690508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579</xdr:row>
      <xdr:rowOff>0</xdr:rowOff>
    </xdr:from>
    <xdr:to>
      <xdr:col>5</xdr:col>
      <xdr:colOff>352425</xdr:colOff>
      <xdr:row>579</xdr:row>
      <xdr:rowOff>28575</xdr:rowOff>
    </xdr:to>
    <xdr:sp macro="" textlink="">
      <xdr:nvSpPr>
        <xdr:cNvPr id="534" name="Text Box 14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SpPr txBox="1">
          <a:spLocks noChangeArrowheads="1"/>
        </xdr:cNvSpPr>
      </xdr:nvSpPr>
      <xdr:spPr bwMode="auto">
        <a:xfrm>
          <a:off x="4133850" y="1168241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579</xdr:row>
      <xdr:rowOff>0</xdr:rowOff>
    </xdr:from>
    <xdr:to>
      <xdr:col>5</xdr:col>
      <xdr:colOff>323850</xdr:colOff>
      <xdr:row>579</xdr:row>
      <xdr:rowOff>28575</xdr:rowOff>
    </xdr:to>
    <xdr:sp macro="" textlink="">
      <xdr:nvSpPr>
        <xdr:cNvPr id="535" name="Text Box 15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 txBox="1">
          <a:spLocks noChangeArrowheads="1"/>
        </xdr:cNvSpPr>
      </xdr:nvSpPr>
      <xdr:spPr bwMode="auto">
        <a:xfrm>
          <a:off x="4105275" y="1168241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579</xdr:row>
      <xdr:rowOff>0</xdr:rowOff>
    </xdr:from>
    <xdr:to>
      <xdr:col>5</xdr:col>
      <xdr:colOff>457200</xdr:colOff>
      <xdr:row>579</xdr:row>
      <xdr:rowOff>28575</xdr:rowOff>
    </xdr:to>
    <xdr:sp macro="" textlink="">
      <xdr:nvSpPr>
        <xdr:cNvPr id="536" name="Text Box 16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 txBox="1">
          <a:spLocks noChangeArrowheads="1"/>
        </xdr:cNvSpPr>
      </xdr:nvSpPr>
      <xdr:spPr bwMode="auto">
        <a:xfrm>
          <a:off x="4210050" y="11682412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579</xdr:row>
      <xdr:rowOff>0</xdr:rowOff>
    </xdr:from>
    <xdr:to>
      <xdr:col>8</xdr:col>
      <xdr:colOff>400050</xdr:colOff>
      <xdr:row>579</xdr:row>
      <xdr:rowOff>161925</xdr:rowOff>
    </xdr:to>
    <xdr:sp macro="" textlink="">
      <xdr:nvSpPr>
        <xdr:cNvPr id="537" name="Text Box 20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 txBox="1">
          <a:spLocks noChangeArrowheads="1"/>
        </xdr:cNvSpPr>
      </xdr:nvSpPr>
      <xdr:spPr bwMode="auto">
        <a:xfrm>
          <a:off x="1638300" y="1168241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579</xdr:row>
      <xdr:rowOff>0</xdr:rowOff>
    </xdr:from>
    <xdr:to>
      <xdr:col>6</xdr:col>
      <xdr:colOff>295275</xdr:colOff>
      <xdr:row>579</xdr:row>
      <xdr:rowOff>161925</xdr:rowOff>
    </xdr:to>
    <xdr:sp macro="" textlink="">
      <xdr:nvSpPr>
        <xdr:cNvPr id="538" name="Text Box 21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 txBox="1">
          <a:spLocks noChangeArrowheads="1"/>
        </xdr:cNvSpPr>
      </xdr:nvSpPr>
      <xdr:spPr bwMode="auto">
        <a:xfrm>
          <a:off x="1657350" y="1168241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579</xdr:row>
      <xdr:rowOff>0</xdr:rowOff>
    </xdr:from>
    <xdr:to>
      <xdr:col>8</xdr:col>
      <xdr:colOff>400050</xdr:colOff>
      <xdr:row>579</xdr:row>
      <xdr:rowOff>161925</xdr:rowOff>
    </xdr:to>
    <xdr:sp macro="" textlink="">
      <xdr:nvSpPr>
        <xdr:cNvPr id="539" name="Text Box 18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 txBox="1">
          <a:spLocks noChangeArrowheads="1"/>
        </xdr:cNvSpPr>
      </xdr:nvSpPr>
      <xdr:spPr bwMode="auto">
        <a:xfrm>
          <a:off x="1638300" y="116824125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579</xdr:row>
      <xdr:rowOff>0</xdr:rowOff>
    </xdr:from>
    <xdr:to>
      <xdr:col>6</xdr:col>
      <xdr:colOff>295275</xdr:colOff>
      <xdr:row>579</xdr:row>
      <xdr:rowOff>161925</xdr:rowOff>
    </xdr:to>
    <xdr:sp macro="" textlink="">
      <xdr:nvSpPr>
        <xdr:cNvPr id="540" name="Text Box 19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 txBox="1">
          <a:spLocks noChangeArrowheads="1"/>
        </xdr:cNvSpPr>
      </xdr:nvSpPr>
      <xdr:spPr bwMode="auto">
        <a:xfrm>
          <a:off x="1657350" y="116824125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579</xdr:row>
      <xdr:rowOff>0</xdr:rowOff>
    </xdr:from>
    <xdr:to>
      <xdr:col>2</xdr:col>
      <xdr:colOff>285750</xdr:colOff>
      <xdr:row>579</xdr:row>
      <xdr:rowOff>28575</xdr:rowOff>
    </xdr:to>
    <xdr:sp macro="" textlink="">
      <xdr:nvSpPr>
        <xdr:cNvPr id="541" name="Text Box 1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 txBox="1">
          <a:spLocks noChangeArrowheads="1"/>
        </xdr:cNvSpPr>
      </xdr:nvSpPr>
      <xdr:spPr bwMode="auto">
        <a:xfrm>
          <a:off x="1866900" y="1168241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613</xdr:row>
      <xdr:rowOff>0</xdr:rowOff>
    </xdr:from>
    <xdr:to>
      <xdr:col>7</xdr:col>
      <xdr:colOff>504825</xdr:colOff>
      <xdr:row>613</xdr:row>
      <xdr:rowOff>152400</xdr:rowOff>
    </xdr:to>
    <xdr:sp macro="" textlink="">
      <xdr:nvSpPr>
        <xdr:cNvPr id="542" name="Text Box 35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 txBox="1">
          <a:spLocks noChangeArrowheads="1"/>
        </xdr:cNvSpPr>
      </xdr:nvSpPr>
      <xdr:spPr bwMode="auto">
        <a:xfrm>
          <a:off x="1066800" y="123748800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257175</xdr:colOff>
      <xdr:row>613</xdr:row>
      <xdr:rowOff>0</xdr:rowOff>
    </xdr:from>
    <xdr:to>
      <xdr:col>6</xdr:col>
      <xdr:colOff>571500</xdr:colOff>
      <xdr:row>613</xdr:row>
      <xdr:rowOff>123825</xdr:rowOff>
    </xdr:to>
    <xdr:sp macro="" textlink="">
      <xdr:nvSpPr>
        <xdr:cNvPr id="543" name="Text Box 36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 txBox="1">
          <a:spLocks noChangeArrowheads="1"/>
        </xdr:cNvSpPr>
      </xdr:nvSpPr>
      <xdr:spPr bwMode="auto">
        <a:xfrm>
          <a:off x="1895475" y="123748800"/>
          <a:ext cx="27527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613</xdr:row>
      <xdr:rowOff>0</xdr:rowOff>
    </xdr:from>
    <xdr:to>
      <xdr:col>6</xdr:col>
      <xdr:colOff>400050</xdr:colOff>
      <xdr:row>613</xdr:row>
      <xdr:rowOff>123825</xdr:rowOff>
    </xdr:to>
    <xdr:sp macro="" textlink="">
      <xdr:nvSpPr>
        <xdr:cNvPr id="544" name="Text Box 36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 txBox="1">
          <a:spLocks noChangeArrowheads="1"/>
        </xdr:cNvSpPr>
      </xdr:nvSpPr>
      <xdr:spPr bwMode="auto">
        <a:xfrm>
          <a:off x="1724025" y="123748800"/>
          <a:ext cx="27527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613</xdr:row>
      <xdr:rowOff>0</xdr:rowOff>
    </xdr:from>
    <xdr:to>
      <xdr:col>6</xdr:col>
      <xdr:colOff>400050</xdr:colOff>
      <xdr:row>613</xdr:row>
      <xdr:rowOff>133350</xdr:rowOff>
    </xdr:to>
    <xdr:sp macro="" textlink="">
      <xdr:nvSpPr>
        <xdr:cNvPr id="545" name="Text Box 36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 txBox="1">
          <a:spLocks noChangeArrowheads="1"/>
        </xdr:cNvSpPr>
      </xdr:nvSpPr>
      <xdr:spPr bwMode="auto">
        <a:xfrm>
          <a:off x="1724025" y="123748800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613</xdr:row>
      <xdr:rowOff>0</xdr:rowOff>
    </xdr:from>
    <xdr:to>
      <xdr:col>9</xdr:col>
      <xdr:colOff>19050</xdr:colOff>
      <xdr:row>613</xdr:row>
      <xdr:rowOff>152400</xdr:rowOff>
    </xdr:to>
    <xdr:sp macro="" textlink="">
      <xdr:nvSpPr>
        <xdr:cNvPr id="546" name="Text Box 32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 txBox="1">
          <a:spLocks noChangeArrowheads="1"/>
        </xdr:cNvSpPr>
      </xdr:nvSpPr>
      <xdr:spPr bwMode="auto">
        <a:xfrm>
          <a:off x="1914525" y="123748800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613</xdr:row>
      <xdr:rowOff>0</xdr:rowOff>
    </xdr:from>
    <xdr:to>
      <xdr:col>6</xdr:col>
      <xdr:colOff>400050</xdr:colOff>
      <xdr:row>613</xdr:row>
      <xdr:rowOff>133350</xdr:rowOff>
    </xdr:to>
    <xdr:sp macro="" textlink="">
      <xdr:nvSpPr>
        <xdr:cNvPr id="547" name="Text Box 33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 txBox="1">
          <a:spLocks noChangeArrowheads="1"/>
        </xdr:cNvSpPr>
      </xdr:nvSpPr>
      <xdr:spPr bwMode="auto">
        <a:xfrm>
          <a:off x="1724025" y="123748800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613</xdr:row>
      <xdr:rowOff>0</xdr:rowOff>
    </xdr:from>
    <xdr:to>
      <xdr:col>9</xdr:col>
      <xdr:colOff>19050</xdr:colOff>
      <xdr:row>613</xdr:row>
      <xdr:rowOff>152400</xdr:rowOff>
    </xdr:to>
    <xdr:sp macro="" textlink="">
      <xdr:nvSpPr>
        <xdr:cNvPr id="548" name="Text Box 30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 txBox="1">
          <a:spLocks noChangeArrowheads="1"/>
        </xdr:cNvSpPr>
      </xdr:nvSpPr>
      <xdr:spPr bwMode="auto">
        <a:xfrm>
          <a:off x="1914525" y="123748800"/>
          <a:ext cx="401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613</xdr:row>
      <xdr:rowOff>0</xdr:rowOff>
    </xdr:from>
    <xdr:to>
      <xdr:col>6</xdr:col>
      <xdr:colOff>400050</xdr:colOff>
      <xdr:row>613</xdr:row>
      <xdr:rowOff>133350</xdr:rowOff>
    </xdr:to>
    <xdr:sp macro="" textlink="">
      <xdr:nvSpPr>
        <xdr:cNvPr id="549" name="Text Box 31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 txBox="1">
          <a:spLocks noChangeArrowheads="1"/>
        </xdr:cNvSpPr>
      </xdr:nvSpPr>
      <xdr:spPr bwMode="auto">
        <a:xfrm>
          <a:off x="1724025" y="123748800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613</xdr:row>
      <xdr:rowOff>0</xdr:rowOff>
    </xdr:from>
    <xdr:to>
      <xdr:col>6</xdr:col>
      <xdr:colOff>400050</xdr:colOff>
      <xdr:row>613</xdr:row>
      <xdr:rowOff>133350</xdr:rowOff>
    </xdr:to>
    <xdr:sp macro="" textlink="">
      <xdr:nvSpPr>
        <xdr:cNvPr id="550" name="Text Box 29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 txBox="1">
          <a:spLocks noChangeArrowheads="1"/>
        </xdr:cNvSpPr>
      </xdr:nvSpPr>
      <xdr:spPr bwMode="auto">
        <a:xfrm>
          <a:off x="1724025" y="123748800"/>
          <a:ext cx="27527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613</xdr:row>
      <xdr:rowOff>0</xdr:rowOff>
    </xdr:from>
    <xdr:to>
      <xdr:col>6</xdr:col>
      <xdr:colOff>400050</xdr:colOff>
      <xdr:row>613</xdr:row>
      <xdr:rowOff>76200</xdr:rowOff>
    </xdr:to>
    <xdr:sp macro="" textlink="">
      <xdr:nvSpPr>
        <xdr:cNvPr id="551" name="Text Box 27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 txBox="1">
          <a:spLocks noChangeArrowheads="1"/>
        </xdr:cNvSpPr>
      </xdr:nvSpPr>
      <xdr:spPr bwMode="auto">
        <a:xfrm>
          <a:off x="1724025" y="123748800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613</xdr:row>
      <xdr:rowOff>0</xdr:rowOff>
    </xdr:from>
    <xdr:to>
      <xdr:col>6</xdr:col>
      <xdr:colOff>400050</xdr:colOff>
      <xdr:row>613</xdr:row>
      <xdr:rowOff>76200</xdr:rowOff>
    </xdr:to>
    <xdr:sp macro="" textlink="">
      <xdr:nvSpPr>
        <xdr:cNvPr id="552" name="Text Box 25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 txBox="1">
          <a:spLocks noChangeArrowheads="1"/>
        </xdr:cNvSpPr>
      </xdr:nvSpPr>
      <xdr:spPr bwMode="auto">
        <a:xfrm>
          <a:off x="1724025" y="123748800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613</xdr:row>
      <xdr:rowOff>0</xdr:rowOff>
    </xdr:from>
    <xdr:to>
      <xdr:col>7</xdr:col>
      <xdr:colOff>400050</xdr:colOff>
      <xdr:row>613</xdr:row>
      <xdr:rowOff>161925</xdr:rowOff>
    </xdr:to>
    <xdr:sp macro="" textlink="">
      <xdr:nvSpPr>
        <xdr:cNvPr id="553" name="Text Box 22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 txBox="1">
          <a:spLocks noChangeArrowheads="1"/>
        </xdr:cNvSpPr>
      </xdr:nvSpPr>
      <xdr:spPr bwMode="auto">
        <a:xfrm>
          <a:off x="914400" y="123748800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613</xdr:row>
      <xdr:rowOff>0</xdr:rowOff>
    </xdr:from>
    <xdr:to>
      <xdr:col>6</xdr:col>
      <xdr:colOff>400050</xdr:colOff>
      <xdr:row>613</xdr:row>
      <xdr:rowOff>76200</xdr:rowOff>
    </xdr:to>
    <xdr:sp macro="" textlink="">
      <xdr:nvSpPr>
        <xdr:cNvPr id="554" name="Text Box 23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 txBox="1">
          <a:spLocks noChangeArrowheads="1"/>
        </xdr:cNvSpPr>
      </xdr:nvSpPr>
      <xdr:spPr bwMode="auto">
        <a:xfrm>
          <a:off x="1724025" y="123748800"/>
          <a:ext cx="27527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613</xdr:row>
      <xdr:rowOff>0</xdr:rowOff>
    </xdr:from>
    <xdr:to>
      <xdr:col>7</xdr:col>
      <xdr:colOff>400050</xdr:colOff>
      <xdr:row>613</xdr:row>
      <xdr:rowOff>161925</xdr:rowOff>
    </xdr:to>
    <xdr:sp macro="" textlink="">
      <xdr:nvSpPr>
        <xdr:cNvPr id="555" name="Text Box 20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 txBox="1">
          <a:spLocks noChangeArrowheads="1"/>
        </xdr:cNvSpPr>
      </xdr:nvSpPr>
      <xdr:spPr bwMode="auto">
        <a:xfrm>
          <a:off x="914400" y="123748800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613</xdr:row>
      <xdr:rowOff>0</xdr:rowOff>
    </xdr:from>
    <xdr:to>
      <xdr:col>1</xdr:col>
      <xdr:colOff>285750</xdr:colOff>
      <xdr:row>613</xdr:row>
      <xdr:rowOff>28575</xdr:rowOff>
    </xdr:to>
    <xdr:sp macro="" textlink="">
      <xdr:nvSpPr>
        <xdr:cNvPr id="556" name="Text Box 1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 txBox="1">
          <a:spLocks noChangeArrowheads="1"/>
        </xdr:cNvSpPr>
      </xdr:nvSpPr>
      <xdr:spPr bwMode="auto">
        <a:xfrm>
          <a:off x="1143000" y="12374880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613</xdr:row>
      <xdr:rowOff>0</xdr:rowOff>
    </xdr:from>
    <xdr:to>
      <xdr:col>7</xdr:col>
      <xdr:colOff>400050</xdr:colOff>
      <xdr:row>613</xdr:row>
      <xdr:rowOff>152400</xdr:rowOff>
    </xdr:to>
    <xdr:sp macro="" textlink="">
      <xdr:nvSpPr>
        <xdr:cNvPr id="557" name="Text Box 1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 txBox="1">
          <a:spLocks noChangeArrowheads="1"/>
        </xdr:cNvSpPr>
      </xdr:nvSpPr>
      <xdr:spPr bwMode="auto">
        <a:xfrm>
          <a:off x="914400" y="12374880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613</xdr:row>
      <xdr:rowOff>0</xdr:rowOff>
    </xdr:from>
    <xdr:to>
      <xdr:col>5</xdr:col>
      <xdr:colOff>295275</xdr:colOff>
      <xdr:row>613</xdr:row>
      <xdr:rowOff>142875</xdr:rowOff>
    </xdr:to>
    <xdr:sp macro="" textlink="">
      <xdr:nvSpPr>
        <xdr:cNvPr id="558" name="Text Box 2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 txBox="1">
          <a:spLocks noChangeArrowheads="1"/>
        </xdr:cNvSpPr>
      </xdr:nvSpPr>
      <xdr:spPr bwMode="auto">
        <a:xfrm>
          <a:off x="933450" y="123748800"/>
          <a:ext cx="27146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613</xdr:row>
      <xdr:rowOff>0</xdr:rowOff>
    </xdr:from>
    <xdr:to>
      <xdr:col>7</xdr:col>
      <xdr:colOff>400050</xdr:colOff>
      <xdr:row>613</xdr:row>
      <xdr:rowOff>142875</xdr:rowOff>
    </xdr:to>
    <xdr:sp macro="" textlink="">
      <xdr:nvSpPr>
        <xdr:cNvPr id="559" name="Text Box 3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 txBox="1">
          <a:spLocks noChangeArrowheads="1"/>
        </xdr:cNvSpPr>
      </xdr:nvSpPr>
      <xdr:spPr bwMode="auto">
        <a:xfrm>
          <a:off x="914400" y="123748800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613</xdr:row>
      <xdr:rowOff>0</xdr:rowOff>
    </xdr:from>
    <xdr:to>
      <xdr:col>5</xdr:col>
      <xdr:colOff>295275</xdr:colOff>
      <xdr:row>613</xdr:row>
      <xdr:rowOff>95250</xdr:rowOff>
    </xdr:to>
    <xdr:sp macro="" textlink="">
      <xdr:nvSpPr>
        <xdr:cNvPr id="560" name="Text Box 4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 txBox="1">
          <a:spLocks noChangeArrowheads="1"/>
        </xdr:cNvSpPr>
      </xdr:nvSpPr>
      <xdr:spPr bwMode="auto">
        <a:xfrm>
          <a:off x="933450" y="123748800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613</xdr:row>
      <xdr:rowOff>0</xdr:rowOff>
    </xdr:from>
    <xdr:to>
      <xdr:col>7</xdr:col>
      <xdr:colOff>400050</xdr:colOff>
      <xdr:row>613</xdr:row>
      <xdr:rowOff>152400</xdr:rowOff>
    </xdr:to>
    <xdr:sp macro="" textlink="">
      <xdr:nvSpPr>
        <xdr:cNvPr id="561" name="Text Box 5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 txBox="1">
          <a:spLocks noChangeArrowheads="1"/>
        </xdr:cNvSpPr>
      </xdr:nvSpPr>
      <xdr:spPr bwMode="auto">
        <a:xfrm>
          <a:off x="914400" y="12374880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613</xdr:row>
      <xdr:rowOff>0</xdr:rowOff>
    </xdr:from>
    <xdr:to>
      <xdr:col>7</xdr:col>
      <xdr:colOff>400050</xdr:colOff>
      <xdr:row>613</xdr:row>
      <xdr:rowOff>152400</xdr:rowOff>
    </xdr:to>
    <xdr:sp macro="" textlink="">
      <xdr:nvSpPr>
        <xdr:cNvPr id="562" name="Text Box 6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 txBox="1">
          <a:spLocks noChangeArrowheads="1"/>
        </xdr:cNvSpPr>
      </xdr:nvSpPr>
      <xdr:spPr bwMode="auto">
        <a:xfrm>
          <a:off x="914400" y="12374880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613</xdr:row>
      <xdr:rowOff>0</xdr:rowOff>
    </xdr:from>
    <xdr:to>
      <xdr:col>5</xdr:col>
      <xdr:colOff>295275</xdr:colOff>
      <xdr:row>613</xdr:row>
      <xdr:rowOff>95250</xdr:rowOff>
    </xdr:to>
    <xdr:sp macro="" textlink="">
      <xdr:nvSpPr>
        <xdr:cNvPr id="563" name="Text Box 7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 txBox="1">
          <a:spLocks noChangeArrowheads="1"/>
        </xdr:cNvSpPr>
      </xdr:nvSpPr>
      <xdr:spPr bwMode="auto">
        <a:xfrm>
          <a:off x="933450" y="123748800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613</xdr:row>
      <xdr:rowOff>0</xdr:rowOff>
    </xdr:from>
    <xdr:to>
      <xdr:col>9</xdr:col>
      <xdr:colOff>400050</xdr:colOff>
      <xdr:row>613</xdr:row>
      <xdr:rowOff>142875</xdr:rowOff>
    </xdr:to>
    <xdr:sp macro="" textlink="">
      <xdr:nvSpPr>
        <xdr:cNvPr id="564" name="Text Box 11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 txBox="1">
          <a:spLocks noChangeArrowheads="1"/>
        </xdr:cNvSpPr>
      </xdr:nvSpPr>
      <xdr:spPr bwMode="auto">
        <a:xfrm>
          <a:off x="2476500" y="123748800"/>
          <a:ext cx="405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613</xdr:row>
      <xdr:rowOff>0</xdr:rowOff>
    </xdr:from>
    <xdr:to>
      <xdr:col>7</xdr:col>
      <xdr:colOff>400050</xdr:colOff>
      <xdr:row>613</xdr:row>
      <xdr:rowOff>152400</xdr:rowOff>
    </xdr:to>
    <xdr:sp macro="" textlink="">
      <xdr:nvSpPr>
        <xdr:cNvPr id="565" name="Text Box 1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 txBox="1">
          <a:spLocks noChangeArrowheads="1"/>
        </xdr:cNvSpPr>
      </xdr:nvSpPr>
      <xdr:spPr bwMode="auto">
        <a:xfrm>
          <a:off x="914400" y="12374880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613</xdr:row>
      <xdr:rowOff>0</xdr:rowOff>
    </xdr:from>
    <xdr:to>
      <xdr:col>7</xdr:col>
      <xdr:colOff>400050</xdr:colOff>
      <xdr:row>613</xdr:row>
      <xdr:rowOff>152400</xdr:rowOff>
    </xdr:to>
    <xdr:sp macro="" textlink="">
      <xdr:nvSpPr>
        <xdr:cNvPr id="566" name="Text Box 15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 txBox="1">
          <a:spLocks noChangeArrowheads="1"/>
        </xdr:cNvSpPr>
      </xdr:nvSpPr>
      <xdr:spPr bwMode="auto">
        <a:xfrm>
          <a:off x="914400" y="123748800"/>
          <a:ext cx="40576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613</xdr:row>
      <xdr:rowOff>0</xdr:rowOff>
    </xdr:from>
    <xdr:to>
      <xdr:col>5</xdr:col>
      <xdr:colOff>304800</xdr:colOff>
      <xdr:row>613</xdr:row>
      <xdr:rowOff>95250</xdr:rowOff>
    </xdr:to>
    <xdr:sp macro="" textlink="">
      <xdr:nvSpPr>
        <xdr:cNvPr id="567" name="Text Box 16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 txBox="1">
          <a:spLocks noChangeArrowheads="1"/>
        </xdr:cNvSpPr>
      </xdr:nvSpPr>
      <xdr:spPr bwMode="auto">
        <a:xfrm>
          <a:off x="942975" y="123748800"/>
          <a:ext cx="2714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613</xdr:row>
      <xdr:rowOff>104775</xdr:rowOff>
    </xdr:from>
    <xdr:to>
      <xdr:col>20</xdr:col>
      <xdr:colOff>361950</xdr:colOff>
      <xdr:row>613</xdr:row>
      <xdr:rowOff>133350</xdr:rowOff>
    </xdr:to>
    <xdr:sp macro="" textlink="">
      <xdr:nvSpPr>
        <xdr:cNvPr id="568" name="Text Box 1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123829763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613</xdr:row>
      <xdr:rowOff>0</xdr:rowOff>
    </xdr:from>
    <xdr:to>
      <xdr:col>5</xdr:col>
      <xdr:colOff>352425</xdr:colOff>
      <xdr:row>613</xdr:row>
      <xdr:rowOff>28575</xdr:rowOff>
    </xdr:to>
    <xdr:sp macro="" textlink="">
      <xdr:nvSpPr>
        <xdr:cNvPr id="569" name="Text Box 14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 txBox="1">
          <a:spLocks noChangeArrowheads="1"/>
        </xdr:cNvSpPr>
      </xdr:nvSpPr>
      <xdr:spPr bwMode="auto">
        <a:xfrm>
          <a:off x="4133850" y="12374880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613</xdr:row>
      <xdr:rowOff>0</xdr:rowOff>
    </xdr:from>
    <xdr:to>
      <xdr:col>5</xdr:col>
      <xdr:colOff>323850</xdr:colOff>
      <xdr:row>613</xdr:row>
      <xdr:rowOff>28575</xdr:rowOff>
    </xdr:to>
    <xdr:sp macro="" textlink="">
      <xdr:nvSpPr>
        <xdr:cNvPr id="570" name="Text Box 15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 txBox="1">
          <a:spLocks noChangeArrowheads="1"/>
        </xdr:cNvSpPr>
      </xdr:nvSpPr>
      <xdr:spPr bwMode="auto">
        <a:xfrm>
          <a:off x="4105275" y="12374880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613</xdr:row>
      <xdr:rowOff>0</xdr:rowOff>
    </xdr:from>
    <xdr:to>
      <xdr:col>5</xdr:col>
      <xdr:colOff>457200</xdr:colOff>
      <xdr:row>613</xdr:row>
      <xdr:rowOff>28575</xdr:rowOff>
    </xdr:to>
    <xdr:sp macro="" textlink="">
      <xdr:nvSpPr>
        <xdr:cNvPr id="571" name="Text Box 16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 txBox="1">
          <a:spLocks noChangeArrowheads="1"/>
        </xdr:cNvSpPr>
      </xdr:nvSpPr>
      <xdr:spPr bwMode="auto">
        <a:xfrm>
          <a:off x="4210050" y="123748800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613</xdr:row>
      <xdr:rowOff>0</xdr:rowOff>
    </xdr:from>
    <xdr:to>
      <xdr:col>8</xdr:col>
      <xdr:colOff>400050</xdr:colOff>
      <xdr:row>613</xdr:row>
      <xdr:rowOff>161925</xdr:rowOff>
    </xdr:to>
    <xdr:sp macro="" textlink="">
      <xdr:nvSpPr>
        <xdr:cNvPr id="572" name="Text Box 20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 txBox="1">
          <a:spLocks noChangeArrowheads="1"/>
        </xdr:cNvSpPr>
      </xdr:nvSpPr>
      <xdr:spPr bwMode="auto">
        <a:xfrm>
          <a:off x="1638300" y="123748800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613</xdr:row>
      <xdr:rowOff>0</xdr:rowOff>
    </xdr:from>
    <xdr:to>
      <xdr:col>6</xdr:col>
      <xdr:colOff>295275</xdr:colOff>
      <xdr:row>613</xdr:row>
      <xdr:rowOff>161925</xdr:rowOff>
    </xdr:to>
    <xdr:sp macro="" textlink="">
      <xdr:nvSpPr>
        <xdr:cNvPr id="573" name="Text Box 21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 txBox="1">
          <a:spLocks noChangeArrowheads="1"/>
        </xdr:cNvSpPr>
      </xdr:nvSpPr>
      <xdr:spPr bwMode="auto">
        <a:xfrm>
          <a:off x="1657350" y="123748800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613</xdr:row>
      <xdr:rowOff>0</xdr:rowOff>
    </xdr:from>
    <xdr:to>
      <xdr:col>8</xdr:col>
      <xdr:colOff>400050</xdr:colOff>
      <xdr:row>613</xdr:row>
      <xdr:rowOff>161925</xdr:rowOff>
    </xdr:to>
    <xdr:sp macro="" textlink="">
      <xdr:nvSpPr>
        <xdr:cNvPr id="574" name="Text Box 18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 txBox="1">
          <a:spLocks noChangeArrowheads="1"/>
        </xdr:cNvSpPr>
      </xdr:nvSpPr>
      <xdr:spPr bwMode="auto">
        <a:xfrm>
          <a:off x="1638300" y="123748800"/>
          <a:ext cx="40576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613</xdr:row>
      <xdr:rowOff>0</xdr:rowOff>
    </xdr:from>
    <xdr:to>
      <xdr:col>6</xdr:col>
      <xdr:colOff>295275</xdr:colOff>
      <xdr:row>613</xdr:row>
      <xdr:rowOff>161925</xdr:rowOff>
    </xdr:to>
    <xdr:sp macro="" textlink="">
      <xdr:nvSpPr>
        <xdr:cNvPr id="575" name="Text Box 19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 txBox="1">
          <a:spLocks noChangeArrowheads="1"/>
        </xdr:cNvSpPr>
      </xdr:nvSpPr>
      <xdr:spPr bwMode="auto">
        <a:xfrm>
          <a:off x="1657350" y="123748800"/>
          <a:ext cx="2714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613</xdr:row>
      <xdr:rowOff>0</xdr:rowOff>
    </xdr:from>
    <xdr:to>
      <xdr:col>2</xdr:col>
      <xdr:colOff>285750</xdr:colOff>
      <xdr:row>613</xdr:row>
      <xdr:rowOff>28575</xdr:rowOff>
    </xdr:to>
    <xdr:sp macro="" textlink="">
      <xdr:nvSpPr>
        <xdr:cNvPr id="576" name="Text Box 1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 txBox="1">
          <a:spLocks noChangeArrowheads="1"/>
        </xdr:cNvSpPr>
      </xdr:nvSpPr>
      <xdr:spPr bwMode="auto">
        <a:xfrm>
          <a:off x="1866900" y="12374880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612</xdr:row>
      <xdr:rowOff>47625</xdr:rowOff>
    </xdr:from>
    <xdr:to>
      <xdr:col>0</xdr:col>
      <xdr:colOff>0</xdr:colOff>
      <xdr:row>613</xdr:row>
      <xdr:rowOff>0</xdr:rowOff>
    </xdr:to>
    <xdr:sp macro="" textlink="">
      <xdr:nvSpPr>
        <xdr:cNvPr id="577" name="Text Box 47553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 txBox="1">
          <a:spLocks noChangeArrowheads="1"/>
        </xdr:cNvSpPr>
      </xdr:nvSpPr>
      <xdr:spPr bwMode="auto">
        <a:xfrm flipH="1">
          <a:off x="0" y="192385950"/>
          <a:ext cx="0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endParaRPr lang="en-US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1</xdr:col>
      <xdr:colOff>152400</xdr:colOff>
      <xdr:row>648</xdr:row>
      <xdr:rowOff>0</xdr:rowOff>
    </xdr:from>
    <xdr:ext cx="4648200" cy="152400"/>
    <xdr:sp macro="" textlink="">
      <xdr:nvSpPr>
        <xdr:cNvPr id="614" name="Text Box 35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SpPr txBox="1">
          <a:spLocks noChangeArrowheads="1"/>
        </xdr:cNvSpPr>
      </xdr:nvSpPr>
      <xdr:spPr bwMode="auto">
        <a:xfrm>
          <a:off x="1066800" y="192881250"/>
          <a:ext cx="4648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257175</xdr:colOff>
      <xdr:row>648</xdr:row>
      <xdr:rowOff>0</xdr:rowOff>
    </xdr:from>
    <xdr:ext cx="3190875" cy="123825"/>
    <xdr:sp macro="" textlink="">
      <xdr:nvSpPr>
        <xdr:cNvPr id="615" name="Text Box 36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 txBox="1">
          <a:spLocks noChangeArrowheads="1"/>
        </xdr:cNvSpPr>
      </xdr:nvSpPr>
      <xdr:spPr bwMode="auto">
        <a:xfrm>
          <a:off x="1895475" y="192881250"/>
          <a:ext cx="3190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648</xdr:row>
      <xdr:rowOff>0</xdr:rowOff>
    </xdr:from>
    <xdr:ext cx="3190875" cy="123825"/>
    <xdr:sp macro="" textlink="">
      <xdr:nvSpPr>
        <xdr:cNvPr id="616" name="Text Box 36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SpPr txBox="1">
          <a:spLocks noChangeArrowheads="1"/>
        </xdr:cNvSpPr>
      </xdr:nvSpPr>
      <xdr:spPr bwMode="auto">
        <a:xfrm>
          <a:off x="1724025" y="192881250"/>
          <a:ext cx="3190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648</xdr:row>
      <xdr:rowOff>0</xdr:rowOff>
    </xdr:from>
    <xdr:ext cx="3190875" cy="133350"/>
    <xdr:sp macro="" textlink="">
      <xdr:nvSpPr>
        <xdr:cNvPr id="617" name="Text Box 36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SpPr txBox="1">
          <a:spLocks noChangeArrowheads="1"/>
        </xdr:cNvSpPr>
      </xdr:nvSpPr>
      <xdr:spPr bwMode="auto">
        <a:xfrm>
          <a:off x="1724025" y="192881250"/>
          <a:ext cx="3190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276225</xdr:colOff>
      <xdr:row>648</xdr:row>
      <xdr:rowOff>0</xdr:rowOff>
    </xdr:from>
    <xdr:ext cx="4533900" cy="152400"/>
    <xdr:sp macro="" textlink="">
      <xdr:nvSpPr>
        <xdr:cNvPr id="618" name="Text Box 32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SpPr txBox="1">
          <a:spLocks noChangeArrowheads="1"/>
        </xdr:cNvSpPr>
      </xdr:nvSpPr>
      <xdr:spPr bwMode="auto">
        <a:xfrm>
          <a:off x="1914525" y="192881250"/>
          <a:ext cx="45339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648</xdr:row>
      <xdr:rowOff>0</xdr:rowOff>
    </xdr:from>
    <xdr:ext cx="3190875" cy="133350"/>
    <xdr:sp macro="" textlink="">
      <xdr:nvSpPr>
        <xdr:cNvPr id="619" name="Text Box 33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SpPr txBox="1">
          <a:spLocks noChangeArrowheads="1"/>
        </xdr:cNvSpPr>
      </xdr:nvSpPr>
      <xdr:spPr bwMode="auto">
        <a:xfrm>
          <a:off x="1724025" y="192881250"/>
          <a:ext cx="3190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276225</xdr:colOff>
      <xdr:row>648</xdr:row>
      <xdr:rowOff>0</xdr:rowOff>
    </xdr:from>
    <xdr:ext cx="4533900" cy="152400"/>
    <xdr:sp macro="" textlink="">
      <xdr:nvSpPr>
        <xdr:cNvPr id="620" name="Text Box 30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 txBox="1">
          <a:spLocks noChangeArrowheads="1"/>
        </xdr:cNvSpPr>
      </xdr:nvSpPr>
      <xdr:spPr bwMode="auto">
        <a:xfrm>
          <a:off x="1914525" y="192881250"/>
          <a:ext cx="45339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648</xdr:row>
      <xdr:rowOff>0</xdr:rowOff>
    </xdr:from>
    <xdr:ext cx="3190875" cy="133350"/>
    <xdr:sp macro="" textlink="">
      <xdr:nvSpPr>
        <xdr:cNvPr id="621" name="Text Box 31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 txBox="1">
          <a:spLocks noChangeArrowheads="1"/>
        </xdr:cNvSpPr>
      </xdr:nvSpPr>
      <xdr:spPr bwMode="auto">
        <a:xfrm>
          <a:off x="1724025" y="192881250"/>
          <a:ext cx="3190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648</xdr:row>
      <xdr:rowOff>0</xdr:rowOff>
    </xdr:from>
    <xdr:ext cx="3190875" cy="133350"/>
    <xdr:sp macro="" textlink="">
      <xdr:nvSpPr>
        <xdr:cNvPr id="622" name="Text Box 29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 txBox="1">
          <a:spLocks noChangeArrowheads="1"/>
        </xdr:cNvSpPr>
      </xdr:nvSpPr>
      <xdr:spPr bwMode="auto">
        <a:xfrm>
          <a:off x="1724025" y="192881250"/>
          <a:ext cx="3190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648</xdr:row>
      <xdr:rowOff>0</xdr:rowOff>
    </xdr:from>
    <xdr:ext cx="3190875" cy="76200"/>
    <xdr:sp macro="" textlink="">
      <xdr:nvSpPr>
        <xdr:cNvPr id="623" name="Text Box 27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 txBox="1">
          <a:spLocks noChangeArrowheads="1"/>
        </xdr:cNvSpPr>
      </xdr:nvSpPr>
      <xdr:spPr bwMode="auto">
        <a:xfrm>
          <a:off x="1724025" y="192881250"/>
          <a:ext cx="3190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648</xdr:row>
      <xdr:rowOff>0</xdr:rowOff>
    </xdr:from>
    <xdr:ext cx="3190875" cy="76200"/>
    <xdr:sp macro="" textlink="">
      <xdr:nvSpPr>
        <xdr:cNvPr id="624" name="Text Box 25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 txBox="1">
          <a:spLocks noChangeArrowheads="1"/>
        </xdr:cNvSpPr>
      </xdr:nvSpPr>
      <xdr:spPr bwMode="auto">
        <a:xfrm>
          <a:off x="1724025" y="192881250"/>
          <a:ext cx="3190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648</xdr:row>
      <xdr:rowOff>0</xdr:rowOff>
    </xdr:from>
    <xdr:ext cx="4695825" cy="161925"/>
    <xdr:sp macro="" textlink="">
      <xdr:nvSpPr>
        <xdr:cNvPr id="625" name="Text Box 22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SpPr txBox="1">
          <a:spLocks noChangeArrowheads="1"/>
        </xdr:cNvSpPr>
      </xdr:nvSpPr>
      <xdr:spPr bwMode="auto">
        <a:xfrm>
          <a:off x="914400" y="192881250"/>
          <a:ext cx="4695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648</xdr:row>
      <xdr:rowOff>0</xdr:rowOff>
    </xdr:from>
    <xdr:ext cx="3190875" cy="76200"/>
    <xdr:sp macro="" textlink="">
      <xdr:nvSpPr>
        <xdr:cNvPr id="626" name="Text Box 23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SpPr txBox="1">
          <a:spLocks noChangeArrowheads="1"/>
        </xdr:cNvSpPr>
      </xdr:nvSpPr>
      <xdr:spPr bwMode="auto">
        <a:xfrm>
          <a:off x="1724025" y="192881250"/>
          <a:ext cx="3190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648</xdr:row>
      <xdr:rowOff>0</xdr:rowOff>
    </xdr:from>
    <xdr:ext cx="4695825" cy="161925"/>
    <xdr:sp macro="" textlink="">
      <xdr:nvSpPr>
        <xdr:cNvPr id="627" name="Text Box 20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 txBox="1">
          <a:spLocks noChangeArrowheads="1"/>
        </xdr:cNvSpPr>
      </xdr:nvSpPr>
      <xdr:spPr bwMode="auto">
        <a:xfrm>
          <a:off x="914400" y="192881250"/>
          <a:ext cx="4695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228600</xdr:colOff>
      <xdr:row>648</xdr:row>
      <xdr:rowOff>0</xdr:rowOff>
    </xdr:from>
    <xdr:ext cx="57150" cy="28575"/>
    <xdr:sp macro="" textlink="">
      <xdr:nvSpPr>
        <xdr:cNvPr id="628" name="Text Box 1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SpPr txBox="1">
          <a:spLocks noChangeArrowheads="1"/>
        </xdr:cNvSpPr>
      </xdr:nvSpPr>
      <xdr:spPr bwMode="auto">
        <a:xfrm>
          <a:off x="1143000" y="19288125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648</xdr:row>
      <xdr:rowOff>0</xdr:rowOff>
    </xdr:from>
    <xdr:ext cx="4695825" cy="152400"/>
    <xdr:sp macro="" textlink="">
      <xdr:nvSpPr>
        <xdr:cNvPr id="629" name="Text Box 1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SpPr txBox="1">
          <a:spLocks noChangeArrowheads="1"/>
        </xdr:cNvSpPr>
      </xdr:nvSpPr>
      <xdr:spPr bwMode="auto">
        <a:xfrm>
          <a:off x="914400" y="192881250"/>
          <a:ext cx="4695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19050</xdr:colOff>
      <xdr:row>648</xdr:row>
      <xdr:rowOff>0</xdr:rowOff>
    </xdr:from>
    <xdr:ext cx="3190875" cy="142875"/>
    <xdr:sp macro="" textlink="">
      <xdr:nvSpPr>
        <xdr:cNvPr id="630" name="Text Box 2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SpPr txBox="1">
          <a:spLocks noChangeArrowheads="1"/>
        </xdr:cNvSpPr>
      </xdr:nvSpPr>
      <xdr:spPr bwMode="auto">
        <a:xfrm>
          <a:off x="933450" y="192881250"/>
          <a:ext cx="31908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648</xdr:row>
      <xdr:rowOff>0</xdr:rowOff>
    </xdr:from>
    <xdr:ext cx="4695825" cy="142875"/>
    <xdr:sp macro="" textlink="">
      <xdr:nvSpPr>
        <xdr:cNvPr id="631" name="Text Box 3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 txBox="1">
          <a:spLocks noChangeArrowheads="1"/>
        </xdr:cNvSpPr>
      </xdr:nvSpPr>
      <xdr:spPr bwMode="auto">
        <a:xfrm>
          <a:off x="914400" y="192881250"/>
          <a:ext cx="46958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19050</xdr:colOff>
      <xdr:row>648</xdr:row>
      <xdr:rowOff>0</xdr:rowOff>
    </xdr:from>
    <xdr:ext cx="3190875" cy="95250"/>
    <xdr:sp macro="" textlink="">
      <xdr:nvSpPr>
        <xdr:cNvPr id="632" name="Text Box 4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 txBox="1">
          <a:spLocks noChangeArrowheads="1"/>
        </xdr:cNvSpPr>
      </xdr:nvSpPr>
      <xdr:spPr bwMode="auto">
        <a:xfrm>
          <a:off x="933450" y="192881250"/>
          <a:ext cx="319087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648</xdr:row>
      <xdr:rowOff>0</xdr:rowOff>
    </xdr:from>
    <xdr:ext cx="4695825" cy="152400"/>
    <xdr:sp macro="" textlink="">
      <xdr:nvSpPr>
        <xdr:cNvPr id="633" name="Text Box 5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 txBox="1">
          <a:spLocks noChangeArrowheads="1"/>
        </xdr:cNvSpPr>
      </xdr:nvSpPr>
      <xdr:spPr bwMode="auto">
        <a:xfrm>
          <a:off x="914400" y="192881250"/>
          <a:ext cx="4695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648</xdr:row>
      <xdr:rowOff>0</xdr:rowOff>
    </xdr:from>
    <xdr:ext cx="4695825" cy="152400"/>
    <xdr:sp macro="" textlink="">
      <xdr:nvSpPr>
        <xdr:cNvPr id="634" name="Text Box 6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 txBox="1">
          <a:spLocks noChangeArrowheads="1"/>
        </xdr:cNvSpPr>
      </xdr:nvSpPr>
      <xdr:spPr bwMode="auto">
        <a:xfrm>
          <a:off x="914400" y="192881250"/>
          <a:ext cx="4695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19050</xdr:colOff>
      <xdr:row>648</xdr:row>
      <xdr:rowOff>0</xdr:rowOff>
    </xdr:from>
    <xdr:ext cx="3190875" cy="95250"/>
    <xdr:sp macro="" textlink="">
      <xdr:nvSpPr>
        <xdr:cNvPr id="635" name="Text Box 7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 txBox="1">
          <a:spLocks noChangeArrowheads="1"/>
        </xdr:cNvSpPr>
      </xdr:nvSpPr>
      <xdr:spPr bwMode="auto">
        <a:xfrm>
          <a:off x="933450" y="192881250"/>
          <a:ext cx="319087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285750</xdr:colOff>
      <xdr:row>642</xdr:row>
      <xdr:rowOff>238125</xdr:rowOff>
    </xdr:from>
    <xdr:ext cx="4352925" cy="142875"/>
    <xdr:sp macro="" textlink="">
      <xdr:nvSpPr>
        <xdr:cNvPr id="636" name="Text Box 11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 txBox="1">
          <a:spLocks noChangeArrowheads="1"/>
        </xdr:cNvSpPr>
      </xdr:nvSpPr>
      <xdr:spPr bwMode="auto">
        <a:xfrm>
          <a:off x="4127500" y="203263500"/>
          <a:ext cx="43529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648</xdr:row>
      <xdr:rowOff>0</xdr:rowOff>
    </xdr:from>
    <xdr:ext cx="4695825" cy="152400"/>
    <xdr:sp macro="" textlink="">
      <xdr:nvSpPr>
        <xdr:cNvPr id="637" name="Text Box 14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 txBox="1">
          <a:spLocks noChangeArrowheads="1"/>
        </xdr:cNvSpPr>
      </xdr:nvSpPr>
      <xdr:spPr bwMode="auto">
        <a:xfrm>
          <a:off x="914400" y="192881250"/>
          <a:ext cx="4695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648</xdr:row>
      <xdr:rowOff>0</xdr:rowOff>
    </xdr:from>
    <xdr:ext cx="4695825" cy="152400"/>
    <xdr:sp macro="" textlink="">
      <xdr:nvSpPr>
        <xdr:cNvPr id="638" name="Text Box 15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 txBox="1">
          <a:spLocks noChangeArrowheads="1"/>
        </xdr:cNvSpPr>
      </xdr:nvSpPr>
      <xdr:spPr bwMode="auto">
        <a:xfrm>
          <a:off x="914400" y="192881250"/>
          <a:ext cx="4695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28575</xdr:colOff>
      <xdr:row>648</xdr:row>
      <xdr:rowOff>0</xdr:rowOff>
    </xdr:from>
    <xdr:ext cx="3190875" cy="95250"/>
    <xdr:sp macro="" textlink="">
      <xdr:nvSpPr>
        <xdr:cNvPr id="639" name="Text Box 16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 txBox="1">
          <a:spLocks noChangeArrowheads="1"/>
        </xdr:cNvSpPr>
      </xdr:nvSpPr>
      <xdr:spPr bwMode="auto">
        <a:xfrm>
          <a:off x="942975" y="192881250"/>
          <a:ext cx="319087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285750</xdr:colOff>
      <xdr:row>648</xdr:row>
      <xdr:rowOff>104775</xdr:rowOff>
    </xdr:from>
    <xdr:ext cx="76200" cy="28575"/>
    <xdr:sp macro="" textlink="">
      <xdr:nvSpPr>
        <xdr:cNvPr id="640" name="Text Box 1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SpPr txBox="1">
          <a:spLocks noChangeArrowheads="1"/>
        </xdr:cNvSpPr>
      </xdr:nvSpPr>
      <xdr:spPr bwMode="auto">
        <a:xfrm rot="6585220">
          <a:off x="13444537" y="192962213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304800</xdr:colOff>
      <xdr:row>648</xdr:row>
      <xdr:rowOff>0</xdr:rowOff>
    </xdr:from>
    <xdr:ext cx="47625" cy="28575"/>
    <xdr:sp macro="" textlink="">
      <xdr:nvSpPr>
        <xdr:cNvPr id="641" name="Text Box 14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SpPr txBox="1">
          <a:spLocks noChangeArrowheads="1"/>
        </xdr:cNvSpPr>
      </xdr:nvSpPr>
      <xdr:spPr bwMode="auto">
        <a:xfrm>
          <a:off x="4133850" y="19288125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276225</xdr:colOff>
      <xdr:row>648</xdr:row>
      <xdr:rowOff>0</xdr:rowOff>
    </xdr:from>
    <xdr:ext cx="47625" cy="28575"/>
    <xdr:sp macro="" textlink="">
      <xdr:nvSpPr>
        <xdr:cNvPr id="642" name="Text Box 15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SpPr txBox="1">
          <a:spLocks noChangeArrowheads="1"/>
        </xdr:cNvSpPr>
      </xdr:nvSpPr>
      <xdr:spPr bwMode="auto">
        <a:xfrm>
          <a:off x="4105275" y="19288125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381000</xdr:colOff>
      <xdr:row>648</xdr:row>
      <xdr:rowOff>0</xdr:rowOff>
    </xdr:from>
    <xdr:ext cx="76200" cy="28575"/>
    <xdr:sp macro="" textlink="">
      <xdr:nvSpPr>
        <xdr:cNvPr id="643" name="Text Box 16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 txBox="1">
          <a:spLocks noChangeArrowheads="1"/>
        </xdr:cNvSpPr>
      </xdr:nvSpPr>
      <xdr:spPr bwMode="auto">
        <a:xfrm>
          <a:off x="4210050" y="192881250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648</xdr:row>
      <xdr:rowOff>0</xdr:rowOff>
    </xdr:from>
    <xdr:ext cx="4581525" cy="161925"/>
    <xdr:sp macro="" textlink="">
      <xdr:nvSpPr>
        <xdr:cNvPr id="644" name="Text Box 20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SpPr txBox="1">
          <a:spLocks noChangeArrowheads="1"/>
        </xdr:cNvSpPr>
      </xdr:nvSpPr>
      <xdr:spPr bwMode="auto">
        <a:xfrm>
          <a:off x="1638300" y="192881250"/>
          <a:ext cx="4581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19050</xdr:colOff>
      <xdr:row>648</xdr:row>
      <xdr:rowOff>0</xdr:rowOff>
    </xdr:from>
    <xdr:ext cx="3152775" cy="161925"/>
    <xdr:sp macro="" textlink="">
      <xdr:nvSpPr>
        <xdr:cNvPr id="645" name="Text Box 21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SpPr txBox="1">
          <a:spLocks noChangeArrowheads="1"/>
        </xdr:cNvSpPr>
      </xdr:nvSpPr>
      <xdr:spPr bwMode="auto">
        <a:xfrm>
          <a:off x="1657350" y="192881250"/>
          <a:ext cx="31527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648</xdr:row>
      <xdr:rowOff>0</xdr:rowOff>
    </xdr:from>
    <xdr:ext cx="4581525" cy="161925"/>
    <xdr:sp macro="" textlink="">
      <xdr:nvSpPr>
        <xdr:cNvPr id="646" name="Text Box 18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SpPr txBox="1">
          <a:spLocks noChangeArrowheads="1"/>
        </xdr:cNvSpPr>
      </xdr:nvSpPr>
      <xdr:spPr bwMode="auto">
        <a:xfrm>
          <a:off x="1638300" y="192881250"/>
          <a:ext cx="4581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19050</xdr:colOff>
      <xdr:row>648</xdr:row>
      <xdr:rowOff>0</xdr:rowOff>
    </xdr:from>
    <xdr:ext cx="3152775" cy="161925"/>
    <xdr:sp macro="" textlink="">
      <xdr:nvSpPr>
        <xdr:cNvPr id="647" name="Text Box 19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SpPr txBox="1">
          <a:spLocks noChangeArrowheads="1"/>
        </xdr:cNvSpPr>
      </xdr:nvSpPr>
      <xdr:spPr bwMode="auto">
        <a:xfrm>
          <a:off x="1657350" y="192881250"/>
          <a:ext cx="31527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228600</xdr:colOff>
      <xdr:row>648</xdr:row>
      <xdr:rowOff>0</xdr:rowOff>
    </xdr:from>
    <xdr:ext cx="57150" cy="28575"/>
    <xdr:sp macro="" textlink="">
      <xdr:nvSpPr>
        <xdr:cNvPr id="648" name="Text Box 1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SpPr txBox="1">
          <a:spLocks noChangeArrowheads="1"/>
        </xdr:cNvSpPr>
      </xdr:nvSpPr>
      <xdr:spPr bwMode="auto">
        <a:xfrm>
          <a:off x="1866900" y="19288125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0</xdr:colOff>
      <xdr:row>612</xdr:row>
      <xdr:rowOff>1</xdr:rowOff>
    </xdr:from>
    <xdr:to>
      <xdr:col>13</xdr:col>
      <xdr:colOff>0</xdr:colOff>
      <xdr:row>613</xdr:row>
      <xdr:rowOff>0</xdr:rowOff>
    </xdr:to>
    <xdr:sp macro="" textlink="">
      <xdr:nvSpPr>
        <xdr:cNvPr id="650" name="Text Box 47553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SpPr txBox="1">
          <a:spLocks noChangeArrowheads="1"/>
        </xdr:cNvSpPr>
      </xdr:nvSpPr>
      <xdr:spPr bwMode="auto">
        <a:xfrm>
          <a:off x="0" y="202968226"/>
          <a:ext cx="8867775" cy="4857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endParaRPr lang="en-US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1</xdr:col>
      <xdr:colOff>152400</xdr:colOff>
      <xdr:row>682</xdr:row>
      <xdr:rowOff>0</xdr:rowOff>
    </xdr:from>
    <xdr:ext cx="4648200" cy="152400"/>
    <xdr:sp macro="" textlink="">
      <xdr:nvSpPr>
        <xdr:cNvPr id="649" name="Text Box 35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SpPr txBox="1">
          <a:spLocks noChangeArrowheads="1"/>
        </xdr:cNvSpPr>
      </xdr:nvSpPr>
      <xdr:spPr bwMode="auto">
        <a:xfrm>
          <a:off x="1066800" y="130778250"/>
          <a:ext cx="4648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257175</xdr:colOff>
      <xdr:row>682</xdr:row>
      <xdr:rowOff>0</xdr:rowOff>
    </xdr:from>
    <xdr:ext cx="3190875" cy="123825"/>
    <xdr:sp macro="" textlink="">
      <xdr:nvSpPr>
        <xdr:cNvPr id="651" name="Text Box 36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 txBox="1">
          <a:spLocks noChangeArrowheads="1"/>
        </xdr:cNvSpPr>
      </xdr:nvSpPr>
      <xdr:spPr bwMode="auto">
        <a:xfrm>
          <a:off x="1895475" y="130778250"/>
          <a:ext cx="3190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682</xdr:row>
      <xdr:rowOff>0</xdr:rowOff>
    </xdr:from>
    <xdr:ext cx="3190875" cy="123825"/>
    <xdr:sp macro="" textlink="">
      <xdr:nvSpPr>
        <xdr:cNvPr id="652" name="Text Box 36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SpPr txBox="1">
          <a:spLocks noChangeArrowheads="1"/>
        </xdr:cNvSpPr>
      </xdr:nvSpPr>
      <xdr:spPr bwMode="auto">
        <a:xfrm>
          <a:off x="1724025" y="130778250"/>
          <a:ext cx="3190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682</xdr:row>
      <xdr:rowOff>0</xdr:rowOff>
    </xdr:from>
    <xdr:ext cx="3190875" cy="133350"/>
    <xdr:sp macro="" textlink="">
      <xdr:nvSpPr>
        <xdr:cNvPr id="653" name="Text Box 36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SpPr txBox="1">
          <a:spLocks noChangeArrowheads="1"/>
        </xdr:cNvSpPr>
      </xdr:nvSpPr>
      <xdr:spPr bwMode="auto">
        <a:xfrm>
          <a:off x="1724025" y="130778250"/>
          <a:ext cx="3190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276225</xdr:colOff>
      <xdr:row>682</xdr:row>
      <xdr:rowOff>0</xdr:rowOff>
    </xdr:from>
    <xdr:ext cx="4533900" cy="152400"/>
    <xdr:sp macro="" textlink="">
      <xdr:nvSpPr>
        <xdr:cNvPr id="654" name="Text Box 32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SpPr txBox="1">
          <a:spLocks noChangeArrowheads="1"/>
        </xdr:cNvSpPr>
      </xdr:nvSpPr>
      <xdr:spPr bwMode="auto">
        <a:xfrm>
          <a:off x="1914525" y="130778250"/>
          <a:ext cx="45339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682</xdr:row>
      <xdr:rowOff>0</xdr:rowOff>
    </xdr:from>
    <xdr:ext cx="3190875" cy="133350"/>
    <xdr:sp macro="" textlink="">
      <xdr:nvSpPr>
        <xdr:cNvPr id="655" name="Text Box 33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 txBox="1">
          <a:spLocks noChangeArrowheads="1"/>
        </xdr:cNvSpPr>
      </xdr:nvSpPr>
      <xdr:spPr bwMode="auto">
        <a:xfrm>
          <a:off x="1724025" y="130778250"/>
          <a:ext cx="3190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276225</xdr:colOff>
      <xdr:row>682</xdr:row>
      <xdr:rowOff>0</xdr:rowOff>
    </xdr:from>
    <xdr:ext cx="4533900" cy="152400"/>
    <xdr:sp macro="" textlink="">
      <xdr:nvSpPr>
        <xdr:cNvPr id="656" name="Text Box 30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SpPr txBox="1">
          <a:spLocks noChangeArrowheads="1"/>
        </xdr:cNvSpPr>
      </xdr:nvSpPr>
      <xdr:spPr bwMode="auto">
        <a:xfrm>
          <a:off x="1914525" y="130778250"/>
          <a:ext cx="45339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682</xdr:row>
      <xdr:rowOff>0</xdr:rowOff>
    </xdr:from>
    <xdr:ext cx="3190875" cy="133350"/>
    <xdr:sp macro="" textlink="">
      <xdr:nvSpPr>
        <xdr:cNvPr id="657" name="Text Box 31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SpPr txBox="1">
          <a:spLocks noChangeArrowheads="1"/>
        </xdr:cNvSpPr>
      </xdr:nvSpPr>
      <xdr:spPr bwMode="auto">
        <a:xfrm>
          <a:off x="1724025" y="130778250"/>
          <a:ext cx="3190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682</xdr:row>
      <xdr:rowOff>0</xdr:rowOff>
    </xdr:from>
    <xdr:ext cx="3190875" cy="133350"/>
    <xdr:sp macro="" textlink="">
      <xdr:nvSpPr>
        <xdr:cNvPr id="658" name="Text Box 29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SpPr txBox="1">
          <a:spLocks noChangeArrowheads="1"/>
        </xdr:cNvSpPr>
      </xdr:nvSpPr>
      <xdr:spPr bwMode="auto">
        <a:xfrm>
          <a:off x="1724025" y="130778250"/>
          <a:ext cx="3190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682</xdr:row>
      <xdr:rowOff>0</xdr:rowOff>
    </xdr:from>
    <xdr:ext cx="3190875" cy="76200"/>
    <xdr:sp macro="" textlink="">
      <xdr:nvSpPr>
        <xdr:cNvPr id="659" name="Text Box 27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 txBox="1">
          <a:spLocks noChangeArrowheads="1"/>
        </xdr:cNvSpPr>
      </xdr:nvSpPr>
      <xdr:spPr bwMode="auto">
        <a:xfrm>
          <a:off x="1724025" y="130778250"/>
          <a:ext cx="3190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682</xdr:row>
      <xdr:rowOff>0</xdr:rowOff>
    </xdr:from>
    <xdr:ext cx="3190875" cy="76200"/>
    <xdr:sp macro="" textlink="">
      <xdr:nvSpPr>
        <xdr:cNvPr id="660" name="Text Box 25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SpPr txBox="1">
          <a:spLocks noChangeArrowheads="1"/>
        </xdr:cNvSpPr>
      </xdr:nvSpPr>
      <xdr:spPr bwMode="auto">
        <a:xfrm>
          <a:off x="1724025" y="130778250"/>
          <a:ext cx="3190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682</xdr:row>
      <xdr:rowOff>0</xdr:rowOff>
    </xdr:from>
    <xdr:ext cx="4695825" cy="161925"/>
    <xdr:sp macro="" textlink="">
      <xdr:nvSpPr>
        <xdr:cNvPr id="661" name="Text Box 22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 txBox="1">
          <a:spLocks noChangeArrowheads="1"/>
        </xdr:cNvSpPr>
      </xdr:nvSpPr>
      <xdr:spPr bwMode="auto">
        <a:xfrm>
          <a:off x="914400" y="130778250"/>
          <a:ext cx="4695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85725</xdr:colOff>
      <xdr:row>682</xdr:row>
      <xdr:rowOff>0</xdr:rowOff>
    </xdr:from>
    <xdr:ext cx="3190875" cy="76200"/>
    <xdr:sp macro="" textlink="">
      <xdr:nvSpPr>
        <xdr:cNvPr id="662" name="Text Box 23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SpPr txBox="1">
          <a:spLocks noChangeArrowheads="1"/>
        </xdr:cNvSpPr>
      </xdr:nvSpPr>
      <xdr:spPr bwMode="auto">
        <a:xfrm>
          <a:off x="1724025" y="130778250"/>
          <a:ext cx="3190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682</xdr:row>
      <xdr:rowOff>0</xdr:rowOff>
    </xdr:from>
    <xdr:ext cx="4695825" cy="161925"/>
    <xdr:sp macro="" textlink="">
      <xdr:nvSpPr>
        <xdr:cNvPr id="663" name="Text Box 20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 txBox="1">
          <a:spLocks noChangeArrowheads="1"/>
        </xdr:cNvSpPr>
      </xdr:nvSpPr>
      <xdr:spPr bwMode="auto">
        <a:xfrm>
          <a:off x="914400" y="130778250"/>
          <a:ext cx="4695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228600</xdr:colOff>
      <xdr:row>682</xdr:row>
      <xdr:rowOff>0</xdr:rowOff>
    </xdr:from>
    <xdr:ext cx="57150" cy="28575"/>
    <xdr:sp macro="" textlink="">
      <xdr:nvSpPr>
        <xdr:cNvPr id="664" name="Text Box 1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SpPr txBox="1">
          <a:spLocks noChangeArrowheads="1"/>
        </xdr:cNvSpPr>
      </xdr:nvSpPr>
      <xdr:spPr bwMode="auto">
        <a:xfrm>
          <a:off x="1143000" y="13077825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682</xdr:row>
      <xdr:rowOff>0</xdr:rowOff>
    </xdr:from>
    <xdr:ext cx="4695825" cy="152400"/>
    <xdr:sp macro="" textlink="">
      <xdr:nvSpPr>
        <xdr:cNvPr id="665" name="Text Box 1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 txBox="1">
          <a:spLocks noChangeArrowheads="1"/>
        </xdr:cNvSpPr>
      </xdr:nvSpPr>
      <xdr:spPr bwMode="auto">
        <a:xfrm>
          <a:off x="914400" y="130778250"/>
          <a:ext cx="4695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19050</xdr:colOff>
      <xdr:row>682</xdr:row>
      <xdr:rowOff>0</xdr:rowOff>
    </xdr:from>
    <xdr:ext cx="3190875" cy="142875"/>
    <xdr:sp macro="" textlink="">
      <xdr:nvSpPr>
        <xdr:cNvPr id="666" name="Text Box 2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 txBox="1">
          <a:spLocks noChangeArrowheads="1"/>
        </xdr:cNvSpPr>
      </xdr:nvSpPr>
      <xdr:spPr bwMode="auto">
        <a:xfrm>
          <a:off x="933450" y="130778250"/>
          <a:ext cx="31908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682</xdr:row>
      <xdr:rowOff>0</xdr:rowOff>
    </xdr:from>
    <xdr:ext cx="4695825" cy="142875"/>
    <xdr:sp macro="" textlink="">
      <xdr:nvSpPr>
        <xdr:cNvPr id="667" name="Text Box 3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 txBox="1">
          <a:spLocks noChangeArrowheads="1"/>
        </xdr:cNvSpPr>
      </xdr:nvSpPr>
      <xdr:spPr bwMode="auto">
        <a:xfrm>
          <a:off x="914400" y="130778250"/>
          <a:ext cx="46958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19050</xdr:colOff>
      <xdr:row>682</xdr:row>
      <xdr:rowOff>0</xdr:rowOff>
    </xdr:from>
    <xdr:ext cx="3190875" cy="95250"/>
    <xdr:sp macro="" textlink="">
      <xdr:nvSpPr>
        <xdr:cNvPr id="668" name="Text Box 4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SpPr txBox="1">
          <a:spLocks noChangeArrowheads="1"/>
        </xdr:cNvSpPr>
      </xdr:nvSpPr>
      <xdr:spPr bwMode="auto">
        <a:xfrm>
          <a:off x="933450" y="130778250"/>
          <a:ext cx="319087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682</xdr:row>
      <xdr:rowOff>0</xdr:rowOff>
    </xdr:from>
    <xdr:ext cx="4695825" cy="152400"/>
    <xdr:sp macro="" textlink="">
      <xdr:nvSpPr>
        <xdr:cNvPr id="669" name="Text Box 5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SpPr txBox="1">
          <a:spLocks noChangeArrowheads="1"/>
        </xdr:cNvSpPr>
      </xdr:nvSpPr>
      <xdr:spPr bwMode="auto">
        <a:xfrm>
          <a:off x="914400" y="130778250"/>
          <a:ext cx="4695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682</xdr:row>
      <xdr:rowOff>0</xdr:rowOff>
    </xdr:from>
    <xdr:ext cx="4695825" cy="152400"/>
    <xdr:sp macro="" textlink="">
      <xdr:nvSpPr>
        <xdr:cNvPr id="670" name="Text Box 6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SpPr txBox="1">
          <a:spLocks noChangeArrowheads="1"/>
        </xdr:cNvSpPr>
      </xdr:nvSpPr>
      <xdr:spPr bwMode="auto">
        <a:xfrm>
          <a:off x="914400" y="130778250"/>
          <a:ext cx="4695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19050</xdr:colOff>
      <xdr:row>682</xdr:row>
      <xdr:rowOff>0</xdr:rowOff>
    </xdr:from>
    <xdr:ext cx="3190875" cy="95250"/>
    <xdr:sp macro="" textlink="">
      <xdr:nvSpPr>
        <xdr:cNvPr id="671" name="Text Box 7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 txBox="1">
          <a:spLocks noChangeArrowheads="1"/>
        </xdr:cNvSpPr>
      </xdr:nvSpPr>
      <xdr:spPr bwMode="auto">
        <a:xfrm>
          <a:off x="933450" y="130778250"/>
          <a:ext cx="319087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682</xdr:row>
      <xdr:rowOff>0</xdr:rowOff>
    </xdr:from>
    <xdr:ext cx="4695825" cy="152400"/>
    <xdr:sp macro="" textlink="">
      <xdr:nvSpPr>
        <xdr:cNvPr id="672" name="Text Box 14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SpPr txBox="1">
          <a:spLocks noChangeArrowheads="1"/>
        </xdr:cNvSpPr>
      </xdr:nvSpPr>
      <xdr:spPr bwMode="auto">
        <a:xfrm>
          <a:off x="914400" y="130778250"/>
          <a:ext cx="4695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682</xdr:row>
      <xdr:rowOff>0</xdr:rowOff>
    </xdr:from>
    <xdr:ext cx="4695825" cy="152400"/>
    <xdr:sp macro="" textlink="">
      <xdr:nvSpPr>
        <xdr:cNvPr id="673" name="Text Box 15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SpPr txBox="1">
          <a:spLocks noChangeArrowheads="1"/>
        </xdr:cNvSpPr>
      </xdr:nvSpPr>
      <xdr:spPr bwMode="auto">
        <a:xfrm>
          <a:off x="914400" y="130778250"/>
          <a:ext cx="4695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28575</xdr:colOff>
      <xdr:row>682</xdr:row>
      <xdr:rowOff>0</xdr:rowOff>
    </xdr:from>
    <xdr:ext cx="3190875" cy="95250"/>
    <xdr:sp macro="" textlink="">
      <xdr:nvSpPr>
        <xdr:cNvPr id="674" name="Text Box 16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 txBox="1">
          <a:spLocks noChangeArrowheads="1"/>
        </xdr:cNvSpPr>
      </xdr:nvSpPr>
      <xdr:spPr bwMode="auto">
        <a:xfrm>
          <a:off x="942975" y="130778250"/>
          <a:ext cx="319087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304800</xdr:colOff>
      <xdr:row>682</xdr:row>
      <xdr:rowOff>0</xdr:rowOff>
    </xdr:from>
    <xdr:ext cx="47625" cy="28575"/>
    <xdr:sp macro="" textlink="">
      <xdr:nvSpPr>
        <xdr:cNvPr id="675" name="Text Box 14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 txBox="1">
          <a:spLocks noChangeArrowheads="1"/>
        </xdr:cNvSpPr>
      </xdr:nvSpPr>
      <xdr:spPr bwMode="auto">
        <a:xfrm>
          <a:off x="4133850" y="13077825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276225</xdr:colOff>
      <xdr:row>682</xdr:row>
      <xdr:rowOff>0</xdr:rowOff>
    </xdr:from>
    <xdr:ext cx="47625" cy="28575"/>
    <xdr:sp macro="" textlink="">
      <xdr:nvSpPr>
        <xdr:cNvPr id="676" name="Text Box 15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 txBox="1">
          <a:spLocks noChangeArrowheads="1"/>
        </xdr:cNvSpPr>
      </xdr:nvSpPr>
      <xdr:spPr bwMode="auto">
        <a:xfrm>
          <a:off x="4105275" y="13077825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381000</xdr:colOff>
      <xdr:row>682</xdr:row>
      <xdr:rowOff>0</xdr:rowOff>
    </xdr:from>
    <xdr:ext cx="76200" cy="28575"/>
    <xdr:sp macro="" textlink="">
      <xdr:nvSpPr>
        <xdr:cNvPr id="677" name="Text Box 16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 txBox="1">
          <a:spLocks noChangeArrowheads="1"/>
        </xdr:cNvSpPr>
      </xdr:nvSpPr>
      <xdr:spPr bwMode="auto">
        <a:xfrm>
          <a:off x="4210050" y="130778250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682</xdr:row>
      <xdr:rowOff>0</xdr:rowOff>
    </xdr:from>
    <xdr:ext cx="4581525" cy="161925"/>
    <xdr:sp macro="" textlink="">
      <xdr:nvSpPr>
        <xdr:cNvPr id="678" name="Text Box 20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 txBox="1">
          <a:spLocks noChangeArrowheads="1"/>
        </xdr:cNvSpPr>
      </xdr:nvSpPr>
      <xdr:spPr bwMode="auto">
        <a:xfrm>
          <a:off x="1638300" y="130778250"/>
          <a:ext cx="4581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19050</xdr:colOff>
      <xdr:row>682</xdr:row>
      <xdr:rowOff>0</xdr:rowOff>
    </xdr:from>
    <xdr:ext cx="3152775" cy="161925"/>
    <xdr:sp macro="" textlink="">
      <xdr:nvSpPr>
        <xdr:cNvPr id="679" name="Text Box 21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 txBox="1">
          <a:spLocks noChangeArrowheads="1"/>
        </xdr:cNvSpPr>
      </xdr:nvSpPr>
      <xdr:spPr bwMode="auto">
        <a:xfrm>
          <a:off x="1657350" y="130778250"/>
          <a:ext cx="31527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682</xdr:row>
      <xdr:rowOff>0</xdr:rowOff>
    </xdr:from>
    <xdr:ext cx="4581525" cy="161925"/>
    <xdr:sp macro="" textlink="">
      <xdr:nvSpPr>
        <xdr:cNvPr id="680" name="Text Box 18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 txBox="1">
          <a:spLocks noChangeArrowheads="1"/>
        </xdr:cNvSpPr>
      </xdr:nvSpPr>
      <xdr:spPr bwMode="auto">
        <a:xfrm>
          <a:off x="1638300" y="130778250"/>
          <a:ext cx="4581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19050</xdr:colOff>
      <xdr:row>682</xdr:row>
      <xdr:rowOff>0</xdr:rowOff>
    </xdr:from>
    <xdr:ext cx="3152775" cy="161925"/>
    <xdr:sp macro="" textlink="">
      <xdr:nvSpPr>
        <xdr:cNvPr id="681" name="Text Box 19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 txBox="1">
          <a:spLocks noChangeArrowheads="1"/>
        </xdr:cNvSpPr>
      </xdr:nvSpPr>
      <xdr:spPr bwMode="auto">
        <a:xfrm>
          <a:off x="1657350" y="130778250"/>
          <a:ext cx="31527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228600</xdr:colOff>
      <xdr:row>682</xdr:row>
      <xdr:rowOff>0</xdr:rowOff>
    </xdr:from>
    <xdr:ext cx="57150" cy="28575"/>
    <xdr:sp macro="" textlink="">
      <xdr:nvSpPr>
        <xdr:cNvPr id="682" name="Text Box 1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 txBox="1">
          <a:spLocks noChangeArrowheads="1"/>
        </xdr:cNvSpPr>
      </xdr:nvSpPr>
      <xdr:spPr bwMode="auto">
        <a:xfrm>
          <a:off x="1866900" y="13077825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6</xdr:col>
      <xdr:colOff>76200</xdr:colOff>
      <xdr:row>138</xdr:row>
      <xdr:rowOff>228600</xdr:rowOff>
    </xdr:from>
    <xdr:to>
      <xdr:col>14</xdr:col>
      <xdr:colOff>28575</xdr:colOff>
      <xdr:row>139</xdr:row>
      <xdr:rowOff>209550</xdr:rowOff>
    </xdr:to>
    <xdr:sp macro="" textlink="">
      <xdr:nvSpPr>
        <xdr:cNvPr id="683" name="Text Box 18">
          <a:extLst>
            <a:ext uri="{FF2B5EF4-FFF2-40B4-BE49-F238E27FC236}">
              <a16:creationId xmlns:a16="http://schemas.microsoft.com/office/drawing/2014/main" id="{F2D0D722-DB33-4412-AFFC-6ADFD563E08E}"/>
            </a:ext>
          </a:extLst>
        </xdr:cNvPr>
        <xdr:cNvSpPr txBox="1">
          <a:spLocks noChangeArrowheads="1"/>
        </xdr:cNvSpPr>
      </xdr:nvSpPr>
      <xdr:spPr bwMode="auto">
        <a:xfrm>
          <a:off x="4591050" y="43967400"/>
          <a:ext cx="4914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295275</xdr:colOff>
      <xdr:row>140</xdr:row>
      <xdr:rowOff>19050</xdr:rowOff>
    </xdr:from>
    <xdr:to>
      <xdr:col>12</xdr:col>
      <xdr:colOff>171450</xdr:colOff>
      <xdr:row>141</xdr:row>
      <xdr:rowOff>0</xdr:rowOff>
    </xdr:to>
    <xdr:sp macro="" textlink="">
      <xdr:nvSpPr>
        <xdr:cNvPr id="684" name="Text Box 18">
          <a:extLst>
            <a:ext uri="{FF2B5EF4-FFF2-40B4-BE49-F238E27FC236}">
              <a16:creationId xmlns:a16="http://schemas.microsoft.com/office/drawing/2014/main" id="{F468F851-38D1-4D95-80A2-C36926521A1A}"/>
            </a:ext>
          </a:extLst>
        </xdr:cNvPr>
        <xdr:cNvSpPr txBox="1">
          <a:spLocks noChangeArrowheads="1"/>
        </xdr:cNvSpPr>
      </xdr:nvSpPr>
      <xdr:spPr bwMode="auto">
        <a:xfrm>
          <a:off x="3514725" y="44386500"/>
          <a:ext cx="4914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140</xdr:row>
      <xdr:rowOff>95250</xdr:rowOff>
    </xdr:from>
    <xdr:to>
      <xdr:col>16</xdr:col>
      <xdr:colOff>38100</xdr:colOff>
      <xdr:row>141</xdr:row>
      <xdr:rowOff>76200</xdr:rowOff>
    </xdr:to>
    <xdr:sp macro="" textlink="">
      <xdr:nvSpPr>
        <xdr:cNvPr id="685" name="Text Box 18">
          <a:extLst>
            <a:ext uri="{FF2B5EF4-FFF2-40B4-BE49-F238E27FC236}">
              <a16:creationId xmlns:a16="http://schemas.microsoft.com/office/drawing/2014/main" id="{9C52572B-511F-4CD7-9455-75EA0068A443}"/>
            </a:ext>
          </a:extLst>
        </xdr:cNvPr>
        <xdr:cNvSpPr txBox="1">
          <a:spLocks noChangeArrowheads="1"/>
        </xdr:cNvSpPr>
      </xdr:nvSpPr>
      <xdr:spPr bwMode="auto">
        <a:xfrm>
          <a:off x="5819775" y="44462700"/>
          <a:ext cx="4914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466725</xdr:colOff>
      <xdr:row>142</xdr:row>
      <xdr:rowOff>133350</xdr:rowOff>
    </xdr:from>
    <xdr:to>
      <xdr:col>21</xdr:col>
      <xdr:colOff>504825</xdr:colOff>
      <xdr:row>143</xdr:row>
      <xdr:rowOff>114300</xdr:rowOff>
    </xdr:to>
    <xdr:sp macro="" textlink="">
      <xdr:nvSpPr>
        <xdr:cNvPr id="686" name="Text Box 18">
          <a:extLst>
            <a:ext uri="{FF2B5EF4-FFF2-40B4-BE49-F238E27FC236}">
              <a16:creationId xmlns:a16="http://schemas.microsoft.com/office/drawing/2014/main" id="{5529E620-5ADD-4CA8-B32D-1B822A2E6EEA}"/>
            </a:ext>
          </a:extLst>
        </xdr:cNvPr>
        <xdr:cNvSpPr txBox="1">
          <a:spLocks noChangeArrowheads="1"/>
        </xdr:cNvSpPr>
      </xdr:nvSpPr>
      <xdr:spPr bwMode="auto">
        <a:xfrm>
          <a:off x="9334500" y="45129450"/>
          <a:ext cx="4914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295275</xdr:colOff>
      <xdr:row>172</xdr:row>
      <xdr:rowOff>142875</xdr:rowOff>
    </xdr:from>
    <xdr:to>
      <xdr:col>6</xdr:col>
      <xdr:colOff>190500</xdr:colOff>
      <xdr:row>173</xdr:row>
      <xdr:rowOff>123825</xdr:rowOff>
    </xdr:to>
    <xdr:sp macro="" textlink="">
      <xdr:nvSpPr>
        <xdr:cNvPr id="687" name="Text Box 21">
          <a:extLst>
            <a:ext uri="{FF2B5EF4-FFF2-40B4-BE49-F238E27FC236}">
              <a16:creationId xmlns:a16="http://schemas.microsoft.com/office/drawing/2014/main" id="{119C8C0D-BE15-44B5-AA58-0D95608A087B}"/>
            </a:ext>
          </a:extLst>
        </xdr:cNvPr>
        <xdr:cNvSpPr txBox="1">
          <a:spLocks noChangeArrowheads="1"/>
        </xdr:cNvSpPr>
      </xdr:nvSpPr>
      <xdr:spPr bwMode="auto">
        <a:xfrm>
          <a:off x="1209675" y="54606825"/>
          <a:ext cx="34956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76200</xdr:colOff>
      <xdr:row>2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6677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</xdr:row>
      <xdr:rowOff>0</xdr:rowOff>
    </xdr:from>
    <xdr:to>
      <xdr:col>7</xdr:col>
      <xdr:colOff>333375</xdr:colOff>
      <xdr:row>2</xdr:row>
      <xdr:rowOff>142875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933450" y="533400"/>
          <a:ext cx="50863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76200</xdr:colOff>
      <xdr:row>2</xdr:row>
      <xdr:rowOff>142875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66770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</xdr:row>
      <xdr:rowOff>0</xdr:rowOff>
    </xdr:from>
    <xdr:to>
      <xdr:col>7</xdr:col>
      <xdr:colOff>333375</xdr:colOff>
      <xdr:row>2</xdr:row>
      <xdr:rowOff>95250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533400"/>
          <a:ext cx="50863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76200</xdr:colOff>
      <xdr:row>2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6677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76200</xdr:colOff>
      <xdr:row>2</xdr:row>
      <xdr:rowOff>152400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6677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</xdr:row>
      <xdr:rowOff>0</xdr:rowOff>
    </xdr:from>
    <xdr:to>
      <xdr:col>7</xdr:col>
      <xdr:colOff>333375</xdr:colOff>
      <xdr:row>2</xdr:row>
      <xdr:rowOff>95250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>
          <a:spLocks noChangeArrowheads="1"/>
        </xdr:cNvSpPr>
      </xdr:nvSpPr>
      <xdr:spPr bwMode="auto">
        <a:xfrm>
          <a:off x="933450" y="533400"/>
          <a:ext cx="50863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11</xdr:col>
      <xdr:colOff>76200</xdr:colOff>
      <xdr:row>2</xdr:row>
      <xdr:rowOff>142875</xdr:rowOff>
    </xdr:to>
    <xdr:sp macro="" textlink="">
      <xdr:nvSpPr>
        <xdr:cNvPr id="9" name="Text Box 1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>
          <a:spLocks noChangeArrowheads="1"/>
        </xdr:cNvSpPr>
      </xdr:nvSpPr>
      <xdr:spPr bwMode="auto">
        <a:xfrm>
          <a:off x="2743200" y="533400"/>
          <a:ext cx="54578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76200</xdr:colOff>
      <xdr:row>2</xdr:row>
      <xdr:rowOff>152400</xdr:rowOff>
    </xdr:to>
    <xdr:sp macro="" textlink="">
      <xdr:nvSpPr>
        <xdr:cNvPr id="10" name="Text Box 14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6677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76200</xdr:colOff>
      <xdr:row>2</xdr:row>
      <xdr:rowOff>152400</xdr:rowOff>
    </xdr:to>
    <xdr:sp macro="" textlink="">
      <xdr:nvSpPr>
        <xdr:cNvPr id="11" name="Text Box 15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6677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7</xdr:col>
      <xdr:colOff>342900</xdr:colOff>
      <xdr:row>2</xdr:row>
      <xdr:rowOff>95250</xdr:rowOff>
    </xdr:to>
    <xdr:sp macro="" textlink="">
      <xdr:nvSpPr>
        <xdr:cNvPr id="12" name="Text Box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>
          <a:spLocks noChangeArrowheads="1"/>
        </xdr:cNvSpPr>
      </xdr:nvSpPr>
      <xdr:spPr bwMode="auto">
        <a:xfrm>
          <a:off x="942975" y="533400"/>
          <a:ext cx="50863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104775</xdr:colOff>
      <xdr:row>25</xdr:row>
      <xdr:rowOff>0</xdr:rowOff>
    </xdr:from>
    <xdr:to>
      <xdr:col>19</xdr:col>
      <xdr:colOff>257175</xdr:colOff>
      <xdr:row>26</xdr:row>
      <xdr:rowOff>28575</xdr:rowOff>
    </xdr:to>
    <xdr:sp macro="" textlink="">
      <xdr:nvSpPr>
        <xdr:cNvPr id="13" name="Text Box 20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>
          <a:spLocks noChangeArrowheads="1"/>
        </xdr:cNvSpPr>
      </xdr:nvSpPr>
      <xdr:spPr bwMode="auto">
        <a:xfrm>
          <a:off x="7620000" y="5362575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24</xdr:row>
      <xdr:rowOff>171450</xdr:rowOff>
    </xdr:from>
    <xdr:to>
      <xdr:col>12</xdr:col>
      <xdr:colOff>219075</xdr:colOff>
      <xdr:row>26</xdr:row>
      <xdr:rowOff>0</xdr:rowOff>
    </xdr:to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>
          <a:spLocks noChangeArrowheads="1"/>
        </xdr:cNvSpPr>
      </xdr:nvSpPr>
      <xdr:spPr bwMode="auto">
        <a:xfrm>
          <a:off x="2276475" y="4705350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352425</xdr:colOff>
      <xdr:row>25</xdr:row>
      <xdr:rowOff>0</xdr:rowOff>
    </xdr:from>
    <xdr:to>
      <xdr:col>12</xdr:col>
      <xdr:colOff>95250</xdr:colOff>
      <xdr:row>25</xdr:row>
      <xdr:rowOff>114300</xdr:rowOff>
    </xdr:to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>
          <a:spLocks noChangeArrowheads="1"/>
        </xdr:cNvSpPr>
      </xdr:nvSpPr>
      <xdr:spPr bwMode="auto">
        <a:xfrm>
          <a:off x="3962400" y="5524500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771525</xdr:colOff>
      <xdr:row>31</xdr:row>
      <xdr:rowOff>76200</xdr:rowOff>
    </xdr:from>
    <xdr:to>
      <xdr:col>10</xdr:col>
      <xdr:colOff>381000</xdr:colOff>
      <xdr:row>32</xdr:row>
      <xdr:rowOff>47625</xdr:rowOff>
    </xdr:to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>
          <a:spLocks noChangeArrowheads="1"/>
        </xdr:cNvSpPr>
      </xdr:nvSpPr>
      <xdr:spPr bwMode="auto">
        <a:xfrm>
          <a:off x="1685925" y="9020175"/>
          <a:ext cx="6210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685800</xdr:colOff>
      <xdr:row>30</xdr:row>
      <xdr:rowOff>161925</xdr:rowOff>
    </xdr:from>
    <xdr:to>
      <xdr:col>9</xdr:col>
      <xdr:colOff>381000</xdr:colOff>
      <xdr:row>31</xdr:row>
      <xdr:rowOff>85725</xdr:rowOff>
    </xdr:to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>
          <a:spLocks noChangeArrowheads="1"/>
        </xdr:cNvSpPr>
      </xdr:nvSpPr>
      <xdr:spPr bwMode="auto">
        <a:xfrm>
          <a:off x="2419350" y="5838825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342900</xdr:colOff>
      <xdr:row>11</xdr:row>
      <xdr:rowOff>0</xdr:rowOff>
    </xdr:from>
    <xdr:to>
      <xdr:col>11</xdr:col>
      <xdr:colOff>161925</xdr:colOff>
      <xdr:row>11</xdr:row>
      <xdr:rowOff>104775</xdr:rowOff>
    </xdr:to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>
          <a:spLocks noChangeArrowheads="1"/>
        </xdr:cNvSpPr>
      </xdr:nvSpPr>
      <xdr:spPr bwMode="auto">
        <a:xfrm>
          <a:off x="2076450" y="2352675"/>
          <a:ext cx="62103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11</xdr:row>
      <xdr:rowOff>0</xdr:rowOff>
    </xdr:from>
    <xdr:to>
      <xdr:col>8</xdr:col>
      <xdr:colOff>390525</xdr:colOff>
      <xdr:row>11</xdr:row>
      <xdr:rowOff>114300</xdr:rowOff>
    </xdr:to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2352675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104775</xdr:colOff>
      <xdr:row>13</xdr:row>
      <xdr:rowOff>0</xdr:rowOff>
    </xdr:from>
    <xdr:to>
      <xdr:col>12</xdr:col>
      <xdr:colOff>542925</xdr:colOff>
      <xdr:row>14</xdr:row>
      <xdr:rowOff>9525</xdr:rowOff>
    </xdr:to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>
          <a:spLocks noChangeArrowheads="1"/>
        </xdr:cNvSpPr>
      </xdr:nvSpPr>
      <xdr:spPr bwMode="auto">
        <a:xfrm>
          <a:off x="5095875" y="2752725"/>
          <a:ext cx="41814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742950</xdr:colOff>
      <xdr:row>25</xdr:row>
      <xdr:rowOff>0</xdr:rowOff>
    </xdr:from>
    <xdr:to>
      <xdr:col>9</xdr:col>
      <xdr:colOff>438150</xdr:colOff>
      <xdr:row>25</xdr:row>
      <xdr:rowOff>171450</xdr:rowOff>
    </xdr:to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>
          <a:spLocks noChangeArrowheads="1"/>
        </xdr:cNvSpPr>
      </xdr:nvSpPr>
      <xdr:spPr bwMode="auto">
        <a:xfrm>
          <a:off x="2476500" y="5562600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400050</xdr:colOff>
      <xdr:row>25</xdr:row>
      <xdr:rowOff>0</xdr:rowOff>
    </xdr:from>
    <xdr:to>
      <xdr:col>11</xdr:col>
      <xdr:colOff>219075</xdr:colOff>
      <xdr:row>25</xdr:row>
      <xdr:rowOff>152400</xdr:rowOff>
    </xdr:to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>
          <a:spLocks noChangeArrowheads="1"/>
        </xdr:cNvSpPr>
      </xdr:nvSpPr>
      <xdr:spPr bwMode="auto">
        <a:xfrm>
          <a:off x="2133600" y="5295900"/>
          <a:ext cx="62103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14</xdr:row>
      <xdr:rowOff>0</xdr:rowOff>
    </xdr:from>
    <xdr:to>
      <xdr:col>8</xdr:col>
      <xdr:colOff>390525</xdr:colOff>
      <xdr:row>14</xdr:row>
      <xdr:rowOff>171450</xdr:rowOff>
    </xdr:to>
    <xdr:sp macro="" textlink="">
      <xdr:nvSpPr>
        <xdr:cNvPr id="23" name="Text Box 31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2952750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180975</xdr:colOff>
      <xdr:row>25</xdr:row>
      <xdr:rowOff>0</xdr:rowOff>
    </xdr:from>
    <xdr:to>
      <xdr:col>11</xdr:col>
      <xdr:colOff>0</xdr:colOff>
      <xdr:row>25</xdr:row>
      <xdr:rowOff>152400</xdr:rowOff>
    </xdr:to>
    <xdr:sp macro="" textlink="">
      <xdr:nvSpPr>
        <xdr:cNvPr id="24" name="Text Box 32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>
          <a:spLocks noChangeArrowheads="1"/>
        </xdr:cNvSpPr>
      </xdr:nvSpPr>
      <xdr:spPr bwMode="auto">
        <a:xfrm>
          <a:off x="1914525" y="6238875"/>
          <a:ext cx="62103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15</xdr:row>
      <xdr:rowOff>0</xdr:rowOff>
    </xdr:from>
    <xdr:to>
      <xdr:col>8</xdr:col>
      <xdr:colOff>390525</xdr:colOff>
      <xdr:row>15</xdr:row>
      <xdr:rowOff>171450</xdr:rowOff>
    </xdr:to>
    <xdr:sp macro="" textlink="">
      <xdr:nvSpPr>
        <xdr:cNvPr id="25" name="Text Box 33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3152775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180975</xdr:colOff>
      <xdr:row>25</xdr:row>
      <xdr:rowOff>0</xdr:rowOff>
    </xdr:from>
    <xdr:to>
      <xdr:col>9</xdr:col>
      <xdr:colOff>523875</xdr:colOff>
      <xdr:row>26</xdr:row>
      <xdr:rowOff>28575</xdr:rowOff>
    </xdr:to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>
          <a:spLocks noChangeArrowheads="1"/>
        </xdr:cNvSpPr>
      </xdr:nvSpPr>
      <xdr:spPr bwMode="auto">
        <a:xfrm>
          <a:off x="2924175" y="6724650"/>
          <a:ext cx="45053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30</xdr:row>
      <xdr:rowOff>9525</xdr:rowOff>
    </xdr:from>
    <xdr:to>
      <xdr:col>9</xdr:col>
      <xdr:colOff>304800</xdr:colOff>
      <xdr:row>30</xdr:row>
      <xdr:rowOff>180975</xdr:rowOff>
    </xdr:to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>
          <a:spLocks noChangeArrowheads="1"/>
        </xdr:cNvSpPr>
      </xdr:nvSpPr>
      <xdr:spPr bwMode="auto">
        <a:xfrm>
          <a:off x="2343150" y="5686425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523875</xdr:colOff>
      <xdr:row>25</xdr:row>
      <xdr:rowOff>0</xdr:rowOff>
    </xdr:from>
    <xdr:to>
      <xdr:col>9</xdr:col>
      <xdr:colOff>219075</xdr:colOff>
      <xdr:row>25</xdr:row>
      <xdr:rowOff>161925</xdr:rowOff>
    </xdr:to>
    <xdr:sp macro="" textlink="">
      <xdr:nvSpPr>
        <xdr:cNvPr id="28" name="Text Box 36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>
          <a:spLocks noChangeArrowheads="1"/>
        </xdr:cNvSpPr>
      </xdr:nvSpPr>
      <xdr:spPr bwMode="auto">
        <a:xfrm>
          <a:off x="2257425" y="7343775"/>
          <a:ext cx="48672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25</xdr:row>
      <xdr:rowOff>0</xdr:rowOff>
    </xdr:from>
    <xdr:to>
      <xdr:col>10</xdr:col>
      <xdr:colOff>180975</xdr:colOff>
      <xdr:row>25</xdr:row>
      <xdr:rowOff>152400</xdr:rowOff>
    </xdr:to>
    <xdr:sp macro="" textlink="">
      <xdr:nvSpPr>
        <xdr:cNvPr id="29" name="Text Box 35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>
          <a:spLocks noChangeArrowheads="1"/>
        </xdr:cNvSpPr>
      </xdr:nvSpPr>
      <xdr:spPr bwMode="auto">
        <a:xfrm>
          <a:off x="1066800" y="9639300"/>
          <a:ext cx="6629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257175</xdr:colOff>
      <xdr:row>25</xdr:row>
      <xdr:rowOff>0</xdr:rowOff>
    </xdr:from>
    <xdr:to>
      <xdr:col>8</xdr:col>
      <xdr:colOff>561975</xdr:colOff>
      <xdr:row>25</xdr:row>
      <xdr:rowOff>123825</xdr:rowOff>
    </xdr:to>
    <xdr:sp macro="" textlink="">
      <xdr:nvSpPr>
        <xdr:cNvPr id="30" name="Text Box 36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>
          <a:spLocks noChangeArrowheads="1"/>
        </xdr:cNvSpPr>
      </xdr:nvSpPr>
      <xdr:spPr bwMode="auto">
        <a:xfrm>
          <a:off x="1990725" y="9867900"/>
          <a:ext cx="48672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285750</xdr:colOff>
      <xdr:row>3</xdr:row>
      <xdr:rowOff>0</xdr:rowOff>
    </xdr:from>
    <xdr:to>
      <xdr:col>11</xdr:col>
      <xdr:colOff>361950</xdr:colOff>
      <xdr:row>3</xdr:row>
      <xdr:rowOff>28575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>
          <a:spLocks noChangeArrowheads="1"/>
        </xdr:cNvSpPr>
      </xdr:nvSpPr>
      <xdr:spPr bwMode="auto">
        <a:xfrm rot="6585220">
          <a:off x="8434387" y="719138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314325</xdr:colOff>
      <xdr:row>3</xdr:row>
      <xdr:rowOff>0</xdr:rowOff>
    </xdr:from>
    <xdr:to>
      <xdr:col>5</xdr:col>
      <xdr:colOff>381000</xdr:colOff>
      <xdr:row>3</xdr:row>
      <xdr:rowOff>38100</xdr:rowOff>
    </xdr:to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>
          <a:spLocks noChangeArrowheads="1"/>
        </xdr:cNvSpPr>
      </xdr:nvSpPr>
      <xdr:spPr bwMode="auto">
        <a:xfrm flipV="1">
          <a:off x="4533900" y="742950"/>
          <a:ext cx="666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0</xdr:row>
      <xdr:rowOff>95250</xdr:rowOff>
    </xdr:from>
    <xdr:to>
      <xdr:col>5</xdr:col>
      <xdr:colOff>352425</xdr:colOff>
      <xdr:row>0</xdr:row>
      <xdr:rowOff>123825</xdr:rowOff>
    </xdr:to>
    <xdr:sp macro="" textlink="">
      <xdr:nvSpPr>
        <xdr:cNvPr id="33" name="Text Box 14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>
          <a:spLocks noChangeArrowheads="1"/>
        </xdr:cNvSpPr>
      </xdr:nvSpPr>
      <xdr:spPr bwMode="auto">
        <a:xfrm>
          <a:off x="4524375" y="9525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0</xdr:row>
      <xdr:rowOff>76200</xdr:rowOff>
    </xdr:from>
    <xdr:to>
      <xdr:col>5</xdr:col>
      <xdr:colOff>323850</xdr:colOff>
      <xdr:row>0</xdr:row>
      <xdr:rowOff>104775</xdr:rowOff>
    </xdr:to>
    <xdr:sp macro="" textlink="">
      <xdr:nvSpPr>
        <xdr:cNvPr id="34" name="Text Box 15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>
          <a:spLocks noChangeArrowheads="1"/>
        </xdr:cNvSpPr>
      </xdr:nvSpPr>
      <xdr:spPr bwMode="auto">
        <a:xfrm>
          <a:off x="4495800" y="7620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0</xdr:row>
      <xdr:rowOff>104775</xdr:rowOff>
    </xdr:from>
    <xdr:to>
      <xdr:col>5</xdr:col>
      <xdr:colOff>457200</xdr:colOff>
      <xdr:row>0</xdr:row>
      <xdr:rowOff>133350</xdr:rowOff>
    </xdr:to>
    <xdr:sp macro="" textlink="">
      <xdr:nvSpPr>
        <xdr:cNvPr id="35" name="Text Box 16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>
          <a:spLocks noChangeArrowheads="1"/>
        </xdr:cNvSpPr>
      </xdr:nvSpPr>
      <xdr:spPr bwMode="auto">
        <a:xfrm>
          <a:off x="4600575" y="10477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457200</xdr:colOff>
      <xdr:row>5</xdr:row>
      <xdr:rowOff>0</xdr:rowOff>
    </xdr:from>
    <xdr:to>
      <xdr:col>2</xdr:col>
      <xdr:colOff>523875</xdr:colOff>
      <xdr:row>5</xdr:row>
      <xdr:rowOff>28575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>
          <a:spLocks noChangeArrowheads="1"/>
        </xdr:cNvSpPr>
      </xdr:nvSpPr>
      <xdr:spPr bwMode="auto">
        <a:xfrm>
          <a:off x="2190750" y="1152525"/>
          <a:ext cx="666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714375</xdr:colOff>
      <xdr:row>5</xdr:row>
      <xdr:rowOff>0</xdr:rowOff>
    </xdr:from>
    <xdr:to>
      <xdr:col>3</xdr:col>
      <xdr:colOff>342900</xdr:colOff>
      <xdr:row>5</xdr:row>
      <xdr:rowOff>28575</xdr:rowOff>
    </xdr:to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>
          <a:spLocks noChangeArrowheads="1"/>
        </xdr:cNvSpPr>
      </xdr:nvSpPr>
      <xdr:spPr bwMode="auto">
        <a:xfrm>
          <a:off x="2447925" y="1152525"/>
          <a:ext cx="6381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276225</xdr:colOff>
      <xdr:row>3</xdr:row>
      <xdr:rowOff>152400</xdr:rowOff>
    </xdr:from>
    <xdr:to>
      <xdr:col>11</xdr:col>
      <xdr:colOff>323850</xdr:colOff>
      <xdr:row>11</xdr:row>
      <xdr:rowOff>28575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>
          <a:spLocks noChangeArrowheads="1"/>
        </xdr:cNvSpPr>
      </xdr:nvSpPr>
      <xdr:spPr bwMode="auto">
        <a:xfrm flipH="1" flipV="1">
          <a:off x="8401050" y="1009650"/>
          <a:ext cx="47625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6</xdr:row>
      <xdr:rowOff>0</xdr:rowOff>
    </xdr:from>
    <xdr:to>
      <xdr:col>1</xdr:col>
      <xdr:colOff>285750</xdr:colOff>
      <xdr:row>6</xdr:row>
      <xdr:rowOff>28575</xdr:rowOff>
    </xdr:to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>
          <a:spLocks noChangeArrowheads="1"/>
        </xdr:cNvSpPr>
      </xdr:nvSpPr>
      <xdr:spPr bwMode="auto">
        <a:xfrm>
          <a:off x="1143000" y="135255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457200</xdr:colOff>
      <xdr:row>6</xdr:row>
      <xdr:rowOff>0</xdr:rowOff>
    </xdr:from>
    <xdr:to>
      <xdr:col>2</xdr:col>
      <xdr:colOff>523875</xdr:colOff>
      <xdr:row>6</xdr:row>
      <xdr:rowOff>28575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>
          <a:spLocks noChangeArrowheads="1"/>
        </xdr:cNvSpPr>
      </xdr:nvSpPr>
      <xdr:spPr bwMode="auto">
        <a:xfrm>
          <a:off x="2190750" y="1352550"/>
          <a:ext cx="666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714375</xdr:colOff>
      <xdr:row>6</xdr:row>
      <xdr:rowOff>0</xdr:rowOff>
    </xdr:from>
    <xdr:to>
      <xdr:col>3</xdr:col>
      <xdr:colOff>342900</xdr:colOff>
      <xdr:row>6</xdr:row>
      <xdr:rowOff>28575</xdr:rowOff>
    </xdr:to>
    <xdr:sp macro="" textlink="">
      <xdr:nvSpPr>
        <xdr:cNvPr id="41" name="Text Box 4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 txBox="1">
          <a:spLocks noChangeArrowheads="1"/>
        </xdr:cNvSpPr>
      </xdr:nvSpPr>
      <xdr:spPr bwMode="auto">
        <a:xfrm>
          <a:off x="2447925" y="1352550"/>
          <a:ext cx="6381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7</xdr:row>
      <xdr:rowOff>0</xdr:rowOff>
    </xdr:from>
    <xdr:to>
      <xdr:col>1</xdr:col>
      <xdr:colOff>285750</xdr:colOff>
      <xdr:row>7</xdr:row>
      <xdr:rowOff>28575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 txBox="1">
          <a:spLocks noChangeArrowheads="1"/>
        </xdr:cNvSpPr>
      </xdr:nvSpPr>
      <xdr:spPr bwMode="auto">
        <a:xfrm>
          <a:off x="1143000" y="15525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8</xdr:row>
      <xdr:rowOff>0</xdr:rowOff>
    </xdr:from>
    <xdr:to>
      <xdr:col>1</xdr:col>
      <xdr:colOff>285750</xdr:colOff>
      <xdr:row>8</xdr:row>
      <xdr:rowOff>28575</xdr:rowOff>
    </xdr:to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 txBox="1">
          <a:spLocks noChangeArrowheads="1"/>
        </xdr:cNvSpPr>
      </xdr:nvSpPr>
      <xdr:spPr bwMode="auto">
        <a:xfrm>
          <a:off x="1143000" y="175260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</xdr:colOff>
      <xdr:row>25</xdr:row>
      <xdr:rowOff>0</xdr:rowOff>
    </xdr:from>
    <xdr:to>
      <xdr:col>10</xdr:col>
      <xdr:colOff>142875</xdr:colOff>
      <xdr:row>26</xdr:row>
      <xdr:rowOff>28575</xdr:rowOff>
    </xdr:to>
    <xdr:sp macro="" textlink="">
      <xdr:nvSpPr>
        <xdr:cNvPr id="44" name="Text Box 20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 txBox="1">
          <a:spLocks noChangeArrowheads="1"/>
        </xdr:cNvSpPr>
      </xdr:nvSpPr>
      <xdr:spPr bwMode="auto">
        <a:xfrm>
          <a:off x="981075" y="5686425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495300</xdr:colOff>
      <xdr:row>24</xdr:row>
      <xdr:rowOff>152400</xdr:rowOff>
    </xdr:from>
    <xdr:to>
      <xdr:col>15</xdr:col>
      <xdr:colOff>276225</xdr:colOff>
      <xdr:row>29</xdr:row>
      <xdr:rowOff>104775</xdr:rowOff>
    </xdr:to>
    <xdr:sp macro="" textlink="">
      <xdr:nvSpPr>
        <xdr:cNvPr id="45" name="Text Box 21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 txBox="1">
          <a:spLocks noChangeArrowheads="1"/>
        </xdr:cNvSpPr>
      </xdr:nvSpPr>
      <xdr:spPr bwMode="auto">
        <a:xfrm>
          <a:off x="6791325" y="7762875"/>
          <a:ext cx="50863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9</xdr:row>
      <xdr:rowOff>0</xdr:rowOff>
    </xdr:from>
    <xdr:to>
      <xdr:col>1</xdr:col>
      <xdr:colOff>285750</xdr:colOff>
      <xdr:row>9</xdr:row>
      <xdr:rowOff>28575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 txBox="1">
          <a:spLocks noChangeArrowheads="1"/>
        </xdr:cNvSpPr>
      </xdr:nvSpPr>
      <xdr:spPr bwMode="auto">
        <a:xfrm>
          <a:off x="1143000" y="19526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28</xdr:row>
      <xdr:rowOff>85725</xdr:rowOff>
    </xdr:from>
    <xdr:to>
      <xdr:col>13</xdr:col>
      <xdr:colOff>95250</xdr:colOff>
      <xdr:row>29</xdr:row>
      <xdr:rowOff>114300</xdr:rowOff>
    </xdr:to>
    <xdr:sp macro="" textlink="">
      <xdr:nvSpPr>
        <xdr:cNvPr id="48" name="Text Box 22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>
          <a:spLocks noChangeArrowheads="1"/>
        </xdr:cNvSpPr>
      </xdr:nvSpPr>
      <xdr:spPr bwMode="auto">
        <a:xfrm>
          <a:off x="2762250" y="5381625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485775</xdr:colOff>
      <xdr:row>28</xdr:row>
      <xdr:rowOff>114300</xdr:rowOff>
    </xdr:from>
    <xdr:to>
      <xdr:col>9</xdr:col>
      <xdr:colOff>180975</xdr:colOff>
      <xdr:row>29</xdr:row>
      <xdr:rowOff>38100</xdr:rowOff>
    </xdr:to>
    <xdr:sp macro="" textlink="">
      <xdr:nvSpPr>
        <xdr:cNvPr id="49" name="Text Box 23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 txBox="1">
          <a:spLocks noChangeArrowheads="1"/>
        </xdr:cNvSpPr>
      </xdr:nvSpPr>
      <xdr:spPr bwMode="auto">
        <a:xfrm>
          <a:off x="2219325" y="5410200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26</xdr:row>
      <xdr:rowOff>66675</xdr:rowOff>
    </xdr:from>
    <xdr:to>
      <xdr:col>10</xdr:col>
      <xdr:colOff>447675</xdr:colOff>
      <xdr:row>27</xdr:row>
      <xdr:rowOff>95250</xdr:rowOff>
    </xdr:to>
    <xdr:sp macro="" textlink="">
      <xdr:nvSpPr>
        <xdr:cNvPr id="50" name="Text Box 20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 txBox="1">
          <a:spLocks noChangeArrowheads="1"/>
        </xdr:cNvSpPr>
      </xdr:nvSpPr>
      <xdr:spPr bwMode="auto">
        <a:xfrm>
          <a:off x="1285875" y="8067675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723900</xdr:colOff>
      <xdr:row>25</xdr:row>
      <xdr:rowOff>0</xdr:rowOff>
    </xdr:from>
    <xdr:to>
      <xdr:col>8</xdr:col>
      <xdr:colOff>428625</xdr:colOff>
      <xdr:row>26</xdr:row>
      <xdr:rowOff>28575</xdr:rowOff>
    </xdr:to>
    <xdr:sp macro="" textlink="">
      <xdr:nvSpPr>
        <xdr:cNvPr id="51" name="Text Box 21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 txBox="1">
          <a:spLocks noChangeArrowheads="1"/>
        </xdr:cNvSpPr>
      </xdr:nvSpPr>
      <xdr:spPr bwMode="auto">
        <a:xfrm>
          <a:off x="1638300" y="5591175"/>
          <a:ext cx="50863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647700</xdr:colOff>
      <xdr:row>25</xdr:row>
      <xdr:rowOff>0</xdr:rowOff>
    </xdr:from>
    <xdr:to>
      <xdr:col>9</xdr:col>
      <xdr:colOff>419100</xdr:colOff>
      <xdr:row>26</xdr:row>
      <xdr:rowOff>28575</xdr:rowOff>
    </xdr:to>
    <xdr:sp macro="" textlink="">
      <xdr:nvSpPr>
        <xdr:cNvPr id="52" name="Text Box 18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 txBox="1">
          <a:spLocks noChangeArrowheads="1"/>
        </xdr:cNvSpPr>
      </xdr:nvSpPr>
      <xdr:spPr bwMode="auto">
        <a:xfrm>
          <a:off x="647700" y="5438775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457200</xdr:colOff>
      <xdr:row>25</xdr:row>
      <xdr:rowOff>0</xdr:rowOff>
    </xdr:from>
    <xdr:to>
      <xdr:col>9</xdr:col>
      <xdr:colOff>371475</xdr:colOff>
      <xdr:row>26</xdr:row>
      <xdr:rowOff>28575</xdr:rowOff>
    </xdr:to>
    <xdr:sp macro="" textlink="">
      <xdr:nvSpPr>
        <xdr:cNvPr id="53" name="Text Box 19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 txBox="1">
          <a:spLocks noChangeArrowheads="1"/>
        </xdr:cNvSpPr>
      </xdr:nvSpPr>
      <xdr:spPr bwMode="auto">
        <a:xfrm>
          <a:off x="2190750" y="6867525"/>
          <a:ext cx="50863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10</xdr:row>
      <xdr:rowOff>0</xdr:rowOff>
    </xdr:from>
    <xdr:to>
      <xdr:col>1</xdr:col>
      <xdr:colOff>285750</xdr:colOff>
      <xdr:row>10</xdr:row>
      <xdr:rowOff>28575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 txBox="1">
          <a:spLocks noChangeArrowheads="1"/>
        </xdr:cNvSpPr>
      </xdr:nvSpPr>
      <xdr:spPr bwMode="auto">
        <a:xfrm>
          <a:off x="1143000" y="215265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11</xdr:row>
      <xdr:rowOff>47625</xdr:rowOff>
    </xdr:from>
    <xdr:to>
      <xdr:col>11</xdr:col>
      <xdr:colOff>95250</xdr:colOff>
      <xdr:row>12</xdr:row>
      <xdr:rowOff>9525</xdr:rowOff>
    </xdr:to>
    <xdr:sp macro="" textlink="">
      <xdr:nvSpPr>
        <xdr:cNvPr id="55" name="Text Box 2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 txBox="1">
          <a:spLocks noChangeArrowheads="1"/>
        </xdr:cNvSpPr>
      </xdr:nvSpPr>
      <xdr:spPr bwMode="auto">
        <a:xfrm>
          <a:off x="2009775" y="2400300"/>
          <a:ext cx="6210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11</xdr:row>
      <xdr:rowOff>0</xdr:rowOff>
    </xdr:from>
    <xdr:to>
      <xdr:col>8</xdr:col>
      <xdr:colOff>390525</xdr:colOff>
      <xdr:row>11</xdr:row>
      <xdr:rowOff>114300</xdr:rowOff>
    </xdr:to>
    <xdr:sp macro="" textlink="">
      <xdr:nvSpPr>
        <xdr:cNvPr id="56" name="Text Box 2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2352675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142875</xdr:colOff>
      <xdr:row>28</xdr:row>
      <xdr:rowOff>104775</xdr:rowOff>
    </xdr:from>
    <xdr:to>
      <xdr:col>11</xdr:col>
      <xdr:colOff>428625</xdr:colOff>
      <xdr:row>29</xdr:row>
      <xdr:rowOff>133350</xdr:rowOff>
    </xdr:to>
    <xdr:sp macro="" textlink="">
      <xdr:nvSpPr>
        <xdr:cNvPr id="57" name="Text Box 22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>
          <a:spLocks noChangeArrowheads="1"/>
        </xdr:cNvSpPr>
      </xdr:nvSpPr>
      <xdr:spPr bwMode="auto">
        <a:xfrm>
          <a:off x="1876425" y="5400675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11</xdr:row>
      <xdr:rowOff>0</xdr:rowOff>
    </xdr:from>
    <xdr:to>
      <xdr:col>8</xdr:col>
      <xdr:colOff>390525</xdr:colOff>
      <xdr:row>11</xdr:row>
      <xdr:rowOff>114300</xdr:rowOff>
    </xdr:to>
    <xdr:sp macro="" textlink="">
      <xdr:nvSpPr>
        <xdr:cNvPr id="58" name="Text Box 23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2352675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76200</xdr:colOff>
      <xdr:row>25</xdr:row>
      <xdr:rowOff>0</xdr:rowOff>
    </xdr:from>
    <xdr:to>
      <xdr:col>10</xdr:col>
      <xdr:colOff>152400</xdr:colOff>
      <xdr:row>26</xdr:row>
      <xdr:rowOff>28575</xdr:rowOff>
    </xdr:to>
    <xdr:sp macro="" textlink="">
      <xdr:nvSpPr>
        <xdr:cNvPr id="59" name="Text Box 20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 txBox="1">
          <a:spLocks noChangeArrowheads="1"/>
        </xdr:cNvSpPr>
      </xdr:nvSpPr>
      <xdr:spPr bwMode="auto">
        <a:xfrm>
          <a:off x="990600" y="5219700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</xdr:row>
      <xdr:rowOff>0</xdr:rowOff>
    </xdr:from>
    <xdr:to>
      <xdr:col>9</xdr:col>
      <xdr:colOff>9525</xdr:colOff>
      <xdr:row>26</xdr:row>
      <xdr:rowOff>28575</xdr:rowOff>
    </xdr:to>
    <xdr:sp macro="" textlink="">
      <xdr:nvSpPr>
        <xdr:cNvPr id="60" name="Text Box 21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 txBox="1">
          <a:spLocks noChangeArrowheads="1"/>
        </xdr:cNvSpPr>
      </xdr:nvSpPr>
      <xdr:spPr bwMode="auto">
        <a:xfrm>
          <a:off x="1828800" y="6010275"/>
          <a:ext cx="50863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285750</xdr:colOff>
      <xdr:row>25</xdr:row>
      <xdr:rowOff>0</xdr:rowOff>
    </xdr:from>
    <xdr:to>
      <xdr:col>10</xdr:col>
      <xdr:colOff>361950</xdr:colOff>
      <xdr:row>26</xdr:row>
      <xdr:rowOff>28575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 txBox="1">
          <a:spLocks noChangeArrowheads="1"/>
        </xdr:cNvSpPr>
      </xdr:nvSpPr>
      <xdr:spPr bwMode="auto">
        <a:xfrm>
          <a:off x="1200150" y="5905500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11</xdr:row>
      <xdr:rowOff>0</xdr:rowOff>
    </xdr:from>
    <xdr:to>
      <xdr:col>1</xdr:col>
      <xdr:colOff>285750</xdr:colOff>
      <xdr:row>11</xdr:row>
      <xdr:rowOff>28575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 txBox="1">
          <a:spLocks noChangeArrowheads="1"/>
        </xdr:cNvSpPr>
      </xdr:nvSpPr>
      <xdr:spPr bwMode="auto">
        <a:xfrm>
          <a:off x="1143000" y="23526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13</xdr:row>
      <xdr:rowOff>0</xdr:rowOff>
    </xdr:from>
    <xdr:to>
      <xdr:col>8</xdr:col>
      <xdr:colOff>390525</xdr:colOff>
      <xdr:row>13</xdr:row>
      <xdr:rowOff>114300</xdr:rowOff>
    </xdr:to>
    <xdr:sp macro="" textlink="">
      <xdr:nvSpPr>
        <xdr:cNvPr id="63" name="Text Box 27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2752725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428625</xdr:colOff>
      <xdr:row>25</xdr:row>
      <xdr:rowOff>0</xdr:rowOff>
    </xdr:from>
    <xdr:to>
      <xdr:col>11</xdr:col>
      <xdr:colOff>247650</xdr:colOff>
      <xdr:row>25</xdr:row>
      <xdr:rowOff>161925</xdr:rowOff>
    </xdr:to>
    <xdr:sp macro="" textlink="">
      <xdr:nvSpPr>
        <xdr:cNvPr id="64" name="Text Box 24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 txBox="1">
          <a:spLocks noChangeArrowheads="1"/>
        </xdr:cNvSpPr>
      </xdr:nvSpPr>
      <xdr:spPr bwMode="auto">
        <a:xfrm>
          <a:off x="2162175" y="5610225"/>
          <a:ext cx="6210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123825</xdr:colOff>
      <xdr:row>25</xdr:row>
      <xdr:rowOff>0</xdr:rowOff>
    </xdr:from>
    <xdr:to>
      <xdr:col>8</xdr:col>
      <xdr:colOff>504825</xdr:colOff>
      <xdr:row>26</xdr:row>
      <xdr:rowOff>28575</xdr:rowOff>
    </xdr:to>
    <xdr:sp macro="" textlink="">
      <xdr:nvSpPr>
        <xdr:cNvPr id="66" name="Text Box 22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 txBox="1">
          <a:spLocks noChangeArrowheads="1"/>
        </xdr:cNvSpPr>
      </xdr:nvSpPr>
      <xdr:spPr bwMode="auto">
        <a:xfrm>
          <a:off x="123825" y="5800725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419100</xdr:colOff>
      <xdr:row>28</xdr:row>
      <xdr:rowOff>104775</xdr:rowOff>
    </xdr:from>
    <xdr:to>
      <xdr:col>9</xdr:col>
      <xdr:colOff>114300</xdr:colOff>
      <xdr:row>29</xdr:row>
      <xdr:rowOff>28575</xdr:rowOff>
    </xdr:to>
    <xdr:sp macro="" textlink="">
      <xdr:nvSpPr>
        <xdr:cNvPr id="67" name="Text Box 23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 txBox="1">
          <a:spLocks noChangeArrowheads="1"/>
        </xdr:cNvSpPr>
      </xdr:nvSpPr>
      <xdr:spPr bwMode="auto">
        <a:xfrm>
          <a:off x="2152650" y="5400675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552450</xdr:colOff>
      <xdr:row>25</xdr:row>
      <xdr:rowOff>0</xdr:rowOff>
    </xdr:from>
    <xdr:to>
      <xdr:col>9</xdr:col>
      <xdr:colOff>323850</xdr:colOff>
      <xdr:row>26</xdr:row>
      <xdr:rowOff>28575</xdr:rowOff>
    </xdr:to>
    <xdr:sp macro="" textlink="">
      <xdr:nvSpPr>
        <xdr:cNvPr id="68" name="Text Box 20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 txBox="1">
          <a:spLocks noChangeArrowheads="1"/>
        </xdr:cNvSpPr>
      </xdr:nvSpPr>
      <xdr:spPr bwMode="auto">
        <a:xfrm>
          <a:off x="552450" y="5857875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133350</xdr:colOff>
      <xdr:row>25</xdr:row>
      <xdr:rowOff>0</xdr:rowOff>
    </xdr:from>
    <xdr:to>
      <xdr:col>9</xdr:col>
      <xdr:colOff>47625</xdr:colOff>
      <xdr:row>26</xdr:row>
      <xdr:rowOff>28575</xdr:rowOff>
    </xdr:to>
    <xdr:sp macro="" textlink="">
      <xdr:nvSpPr>
        <xdr:cNvPr id="69" name="Text Box 21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 txBox="1">
          <a:spLocks noChangeArrowheads="1"/>
        </xdr:cNvSpPr>
      </xdr:nvSpPr>
      <xdr:spPr bwMode="auto">
        <a:xfrm>
          <a:off x="1866900" y="5886450"/>
          <a:ext cx="50863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8</xdr:col>
      <xdr:colOff>381000</xdr:colOff>
      <xdr:row>26</xdr:row>
      <xdr:rowOff>28575</xdr:rowOff>
    </xdr:to>
    <xdr:sp macro="" textlink="">
      <xdr:nvSpPr>
        <xdr:cNvPr id="70" name="Text Box 18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 txBox="1">
          <a:spLocks noChangeArrowheads="1"/>
        </xdr:cNvSpPr>
      </xdr:nvSpPr>
      <xdr:spPr bwMode="auto">
        <a:xfrm>
          <a:off x="0" y="5962650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133350</xdr:colOff>
      <xdr:row>25</xdr:row>
      <xdr:rowOff>0</xdr:rowOff>
    </xdr:from>
    <xdr:to>
      <xdr:col>7</xdr:col>
      <xdr:colOff>447675</xdr:colOff>
      <xdr:row>26</xdr:row>
      <xdr:rowOff>28575</xdr:rowOff>
    </xdr:to>
    <xdr:sp macro="" textlink="">
      <xdr:nvSpPr>
        <xdr:cNvPr id="71" name="Text Box 19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 txBox="1">
          <a:spLocks noChangeArrowheads="1"/>
        </xdr:cNvSpPr>
      </xdr:nvSpPr>
      <xdr:spPr bwMode="auto">
        <a:xfrm>
          <a:off x="1047750" y="5600700"/>
          <a:ext cx="50863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13</xdr:row>
      <xdr:rowOff>0</xdr:rowOff>
    </xdr:from>
    <xdr:to>
      <xdr:col>1</xdr:col>
      <xdr:colOff>285750</xdr:colOff>
      <xdr:row>13</xdr:row>
      <xdr:rowOff>28575</xdr:rowOff>
    </xdr:to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>
          <a:spLocks noChangeArrowheads="1"/>
        </xdr:cNvSpPr>
      </xdr:nvSpPr>
      <xdr:spPr bwMode="auto">
        <a:xfrm>
          <a:off x="1143000" y="27527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14</xdr:row>
      <xdr:rowOff>0</xdr:rowOff>
    </xdr:from>
    <xdr:to>
      <xdr:col>8</xdr:col>
      <xdr:colOff>390525</xdr:colOff>
      <xdr:row>14</xdr:row>
      <xdr:rowOff>171450</xdr:rowOff>
    </xdr:to>
    <xdr:sp macro="" textlink="">
      <xdr:nvSpPr>
        <xdr:cNvPr id="73" name="Text Box 29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2952750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14</xdr:row>
      <xdr:rowOff>0</xdr:rowOff>
    </xdr:from>
    <xdr:to>
      <xdr:col>8</xdr:col>
      <xdr:colOff>390525</xdr:colOff>
      <xdr:row>14</xdr:row>
      <xdr:rowOff>114300</xdr:rowOff>
    </xdr:to>
    <xdr:sp macro="" textlink="">
      <xdr:nvSpPr>
        <xdr:cNvPr id="74" name="Text Box 27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2952750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390525</xdr:colOff>
      <xdr:row>25</xdr:row>
      <xdr:rowOff>0</xdr:rowOff>
    </xdr:from>
    <xdr:to>
      <xdr:col>11</xdr:col>
      <xdr:colOff>209550</xdr:colOff>
      <xdr:row>25</xdr:row>
      <xdr:rowOff>161925</xdr:rowOff>
    </xdr:to>
    <xdr:sp macro="" textlink="">
      <xdr:nvSpPr>
        <xdr:cNvPr id="75" name="Text Box 2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 txBox="1">
          <a:spLocks noChangeArrowheads="1"/>
        </xdr:cNvSpPr>
      </xdr:nvSpPr>
      <xdr:spPr bwMode="auto">
        <a:xfrm>
          <a:off x="2124075" y="6048375"/>
          <a:ext cx="6210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14</xdr:row>
      <xdr:rowOff>0</xdr:rowOff>
    </xdr:from>
    <xdr:to>
      <xdr:col>8</xdr:col>
      <xdr:colOff>390525</xdr:colOff>
      <xdr:row>14</xdr:row>
      <xdr:rowOff>114300</xdr:rowOff>
    </xdr:to>
    <xdr:sp macro="" textlink="">
      <xdr:nvSpPr>
        <xdr:cNvPr id="76" name="Text Box 2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2952750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76200</xdr:colOff>
      <xdr:row>25</xdr:row>
      <xdr:rowOff>0</xdr:rowOff>
    </xdr:from>
    <xdr:to>
      <xdr:col>10</xdr:col>
      <xdr:colOff>152400</xdr:colOff>
      <xdr:row>26</xdr:row>
      <xdr:rowOff>28575</xdr:rowOff>
    </xdr:to>
    <xdr:sp macro="" textlink="">
      <xdr:nvSpPr>
        <xdr:cNvPr id="77" name="Text Box 22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 txBox="1">
          <a:spLocks noChangeArrowheads="1"/>
        </xdr:cNvSpPr>
      </xdr:nvSpPr>
      <xdr:spPr bwMode="auto">
        <a:xfrm>
          <a:off x="990600" y="5724525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14</xdr:row>
      <xdr:rowOff>0</xdr:rowOff>
    </xdr:from>
    <xdr:to>
      <xdr:col>8</xdr:col>
      <xdr:colOff>390525</xdr:colOff>
      <xdr:row>14</xdr:row>
      <xdr:rowOff>114300</xdr:rowOff>
    </xdr:to>
    <xdr:sp macro="" textlink="">
      <xdr:nvSpPr>
        <xdr:cNvPr id="78" name="Text Box 23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2952750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8</xdr:col>
      <xdr:colOff>381000</xdr:colOff>
      <xdr:row>26</xdr:row>
      <xdr:rowOff>28575</xdr:rowOff>
    </xdr:to>
    <xdr:sp macro="" textlink="">
      <xdr:nvSpPr>
        <xdr:cNvPr id="79" name="Text Box 20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 txBox="1">
          <a:spLocks noChangeArrowheads="1"/>
        </xdr:cNvSpPr>
      </xdr:nvSpPr>
      <xdr:spPr bwMode="auto">
        <a:xfrm>
          <a:off x="0" y="5991225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800100</xdr:colOff>
      <xdr:row>25</xdr:row>
      <xdr:rowOff>0</xdr:rowOff>
    </xdr:from>
    <xdr:to>
      <xdr:col>7</xdr:col>
      <xdr:colOff>200025</xdr:colOff>
      <xdr:row>26</xdr:row>
      <xdr:rowOff>28575</xdr:rowOff>
    </xdr:to>
    <xdr:sp macro="" textlink="">
      <xdr:nvSpPr>
        <xdr:cNvPr id="80" name="Text Box 21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 txBox="1">
          <a:spLocks noChangeArrowheads="1"/>
        </xdr:cNvSpPr>
      </xdr:nvSpPr>
      <xdr:spPr bwMode="auto">
        <a:xfrm>
          <a:off x="800100" y="6667500"/>
          <a:ext cx="50863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809625</xdr:colOff>
      <xdr:row>25</xdr:row>
      <xdr:rowOff>0</xdr:rowOff>
    </xdr:from>
    <xdr:to>
      <xdr:col>9</xdr:col>
      <xdr:colOff>581025</xdr:colOff>
      <xdr:row>26</xdr:row>
      <xdr:rowOff>28575</xdr:rowOff>
    </xdr:to>
    <xdr:sp macro="" textlink="">
      <xdr:nvSpPr>
        <xdr:cNvPr id="81" name="Text Box 18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>
          <a:spLocks noChangeArrowheads="1"/>
        </xdr:cNvSpPr>
      </xdr:nvSpPr>
      <xdr:spPr bwMode="auto">
        <a:xfrm>
          <a:off x="809625" y="6572250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514350</xdr:colOff>
      <xdr:row>25</xdr:row>
      <xdr:rowOff>0</xdr:rowOff>
    </xdr:from>
    <xdr:to>
      <xdr:col>8</xdr:col>
      <xdr:colOff>219075</xdr:colOff>
      <xdr:row>26</xdr:row>
      <xdr:rowOff>28575</xdr:rowOff>
    </xdr:to>
    <xdr:sp macro="" textlink="">
      <xdr:nvSpPr>
        <xdr:cNvPr id="82" name="Text Box 19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 txBox="1">
          <a:spLocks noChangeArrowheads="1"/>
        </xdr:cNvSpPr>
      </xdr:nvSpPr>
      <xdr:spPr bwMode="auto">
        <a:xfrm>
          <a:off x="1428750" y="5943600"/>
          <a:ext cx="50863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14</xdr:row>
      <xdr:rowOff>0</xdr:rowOff>
    </xdr:from>
    <xdr:to>
      <xdr:col>1</xdr:col>
      <xdr:colOff>285750</xdr:colOff>
      <xdr:row>14</xdr:row>
      <xdr:rowOff>28575</xdr:rowOff>
    </xdr:to>
    <xdr:sp macro="" textlink="">
      <xdr:nvSpPr>
        <xdr:cNvPr id="83" name="Text Box 1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 txBox="1">
          <a:spLocks noChangeArrowheads="1"/>
        </xdr:cNvSpPr>
      </xdr:nvSpPr>
      <xdr:spPr bwMode="auto">
        <a:xfrm>
          <a:off x="1143000" y="295275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190500</xdr:colOff>
      <xdr:row>25</xdr:row>
      <xdr:rowOff>0</xdr:rowOff>
    </xdr:from>
    <xdr:to>
      <xdr:col>11</xdr:col>
      <xdr:colOff>9525</xdr:colOff>
      <xdr:row>25</xdr:row>
      <xdr:rowOff>152400</xdr:rowOff>
    </xdr:to>
    <xdr:sp macro="" textlink="">
      <xdr:nvSpPr>
        <xdr:cNvPr id="84" name="Text Box 30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 txBox="1">
          <a:spLocks noChangeArrowheads="1"/>
        </xdr:cNvSpPr>
      </xdr:nvSpPr>
      <xdr:spPr bwMode="auto">
        <a:xfrm>
          <a:off x="1924050" y="6429375"/>
          <a:ext cx="62103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609600</xdr:colOff>
      <xdr:row>28</xdr:row>
      <xdr:rowOff>142875</xdr:rowOff>
    </xdr:from>
    <xdr:to>
      <xdr:col>8</xdr:col>
      <xdr:colOff>95250</xdr:colOff>
      <xdr:row>29</xdr:row>
      <xdr:rowOff>123825</xdr:rowOff>
    </xdr:to>
    <xdr:sp macro="" textlink="">
      <xdr:nvSpPr>
        <xdr:cNvPr id="85" name="Text Box 31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 txBox="1">
          <a:spLocks noChangeArrowheads="1"/>
        </xdr:cNvSpPr>
      </xdr:nvSpPr>
      <xdr:spPr bwMode="auto">
        <a:xfrm>
          <a:off x="1524000" y="5438775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30</xdr:row>
      <xdr:rowOff>57150</xdr:rowOff>
    </xdr:from>
    <xdr:to>
      <xdr:col>8</xdr:col>
      <xdr:colOff>571500</xdr:colOff>
      <xdr:row>31</xdr:row>
      <xdr:rowOff>38100</xdr:rowOff>
    </xdr:to>
    <xdr:sp macro="" textlink="">
      <xdr:nvSpPr>
        <xdr:cNvPr id="86" name="Text Box 29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 txBox="1">
          <a:spLocks noChangeArrowheads="1"/>
        </xdr:cNvSpPr>
      </xdr:nvSpPr>
      <xdr:spPr bwMode="auto">
        <a:xfrm>
          <a:off x="2000250" y="5734050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904875</xdr:colOff>
      <xdr:row>28</xdr:row>
      <xdr:rowOff>114300</xdr:rowOff>
    </xdr:from>
    <xdr:to>
      <xdr:col>9</xdr:col>
      <xdr:colOff>600075</xdr:colOff>
      <xdr:row>29</xdr:row>
      <xdr:rowOff>38100</xdr:rowOff>
    </xdr:to>
    <xdr:sp macro="" textlink="">
      <xdr:nvSpPr>
        <xdr:cNvPr id="87" name="Text Box 27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 txBox="1">
          <a:spLocks noChangeArrowheads="1"/>
        </xdr:cNvSpPr>
      </xdr:nvSpPr>
      <xdr:spPr bwMode="auto">
        <a:xfrm>
          <a:off x="2638425" y="5410200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180975</xdr:colOff>
      <xdr:row>25</xdr:row>
      <xdr:rowOff>0</xdr:rowOff>
    </xdr:from>
    <xdr:to>
      <xdr:col>9</xdr:col>
      <xdr:colOff>400050</xdr:colOff>
      <xdr:row>25</xdr:row>
      <xdr:rowOff>161925</xdr:rowOff>
    </xdr:to>
    <xdr:sp macro="" textlink="">
      <xdr:nvSpPr>
        <xdr:cNvPr id="88" name="Text Box 24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 txBox="1">
          <a:spLocks noChangeArrowheads="1"/>
        </xdr:cNvSpPr>
      </xdr:nvSpPr>
      <xdr:spPr bwMode="auto">
        <a:xfrm>
          <a:off x="1095375" y="6657975"/>
          <a:ext cx="6210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285750</xdr:colOff>
      <xdr:row>25</xdr:row>
      <xdr:rowOff>0</xdr:rowOff>
    </xdr:from>
    <xdr:to>
      <xdr:col>9</xdr:col>
      <xdr:colOff>57150</xdr:colOff>
      <xdr:row>26</xdr:row>
      <xdr:rowOff>28575</xdr:rowOff>
    </xdr:to>
    <xdr:sp macro="" textlink="">
      <xdr:nvSpPr>
        <xdr:cNvPr id="90" name="Text Box 22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 txBox="1">
          <a:spLocks noChangeArrowheads="1"/>
        </xdr:cNvSpPr>
      </xdr:nvSpPr>
      <xdr:spPr bwMode="auto">
        <a:xfrm>
          <a:off x="285750" y="6019800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533400</xdr:colOff>
      <xdr:row>25</xdr:row>
      <xdr:rowOff>0</xdr:rowOff>
    </xdr:from>
    <xdr:to>
      <xdr:col>9</xdr:col>
      <xdr:colOff>228600</xdr:colOff>
      <xdr:row>25</xdr:row>
      <xdr:rowOff>114300</xdr:rowOff>
    </xdr:to>
    <xdr:sp macro="" textlink="">
      <xdr:nvSpPr>
        <xdr:cNvPr id="91" name="Text Box 23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 txBox="1">
          <a:spLocks noChangeArrowheads="1"/>
        </xdr:cNvSpPr>
      </xdr:nvSpPr>
      <xdr:spPr bwMode="auto">
        <a:xfrm>
          <a:off x="2266950" y="6686550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447675</xdr:colOff>
      <xdr:row>25</xdr:row>
      <xdr:rowOff>0</xdr:rowOff>
    </xdr:from>
    <xdr:to>
      <xdr:col>10</xdr:col>
      <xdr:colOff>523875</xdr:colOff>
      <xdr:row>26</xdr:row>
      <xdr:rowOff>28575</xdr:rowOff>
    </xdr:to>
    <xdr:sp macro="" textlink="">
      <xdr:nvSpPr>
        <xdr:cNvPr id="92" name="Text Box 20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 txBox="1">
          <a:spLocks noChangeArrowheads="1"/>
        </xdr:cNvSpPr>
      </xdr:nvSpPr>
      <xdr:spPr bwMode="auto">
        <a:xfrm>
          <a:off x="1362075" y="6372225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57150</xdr:colOff>
      <xdr:row>25</xdr:row>
      <xdr:rowOff>0</xdr:rowOff>
    </xdr:from>
    <xdr:to>
      <xdr:col>8</xdr:col>
      <xdr:colOff>581025</xdr:colOff>
      <xdr:row>26</xdr:row>
      <xdr:rowOff>28575</xdr:rowOff>
    </xdr:to>
    <xdr:sp macro="" textlink="">
      <xdr:nvSpPr>
        <xdr:cNvPr id="93" name="Text Box 21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 txBox="1">
          <a:spLocks noChangeArrowheads="1"/>
        </xdr:cNvSpPr>
      </xdr:nvSpPr>
      <xdr:spPr bwMode="auto">
        <a:xfrm>
          <a:off x="1790700" y="6867525"/>
          <a:ext cx="50863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419100</xdr:colOff>
      <xdr:row>25</xdr:row>
      <xdr:rowOff>0</xdr:rowOff>
    </xdr:from>
    <xdr:to>
      <xdr:col>10</xdr:col>
      <xdr:colOff>495300</xdr:colOff>
      <xdr:row>26</xdr:row>
      <xdr:rowOff>28575</xdr:rowOff>
    </xdr:to>
    <xdr:sp macro="" textlink="">
      <xdr:nvSpPr>
        <xdr:cNvPr id="94" name="Text Box 18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 txBox="1">
          <a:spLocks noChangeArrowheads="1"/>
        </xdr:cNvSpPr>
      </xdr:nvSpPr>
      <xdr:spPr bwMode="auto">
        <a:xfrm>
          <a:off x="1333500" y="5867400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15</xdr:row>
      <xdr:rowOff>0</xdr:rowOff>
    </xdr:from>
    <xdr:to>
      <xdr:col>1</xdr:col>
      <xdr:colOff>285750</xdr:colOff>
      <xdr:row>15</xdr:row>
      <xdr:rowOff>28575</xdr:rowOff>
    </xdr:to>
    <xdr:sp macro="" textlink="">
      <xdr:nvSpPr>
        <xdr:cNvPr id="95" name="Text Box 1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 txBox="1">
          <a:spLocks noChangeArrowheads="1"/>
        </xdr:cNvSpPr>
      </xdr:nvSpPr>
      <xdr:spPr bwMode="auto">
        <a:xfrm>
          <a:off x="1143000" y="31527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742950</xdr:colOff>
      <xdr:row>28</xdr:row>
      <xdr:rowOff>85725</xdr:rowOff>
    </xdr:from>
    <xdr:to>
      <xdr:col>11</xdr:col>
      <xdr:colOff>561975</xdr:colOff>
      <xdr:row>29</xdr:row>
      <xdr:rowOff>47625</xdr:rowOff>
    </xdr:to>
    <xdr:sp macro="" textlink="">
      <xdr:nvSpPr>
        <xdr:cNvPr id="96" name="Text Box 32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 txBox="1">
          <a:spLocks noChangeArrowheads="1"/>
        </xdr:cNvSpPr>
      </xdr:nvSpPr>
      <xdr:spPr bwMode="auto">
        <a:xfrm>
          <a:off x="2476500" y="5381625"/>
          <a:ext cx="62103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571500</xdr:colOff>
      <xdr:row>25</xdr:row>
      <xdr:rowOff>0</xdr:rowOff>
    </xdr:from>
    <xdr:to>
      <xdr:col>8</xdr:col>
      <xdr:colOff>57150</xdr:colOff>
      <xdr:row>25</xdr:row>
      <xdr:rowOff>171450</xdr:rowOff>
    </xdr:to>
    <xdr:sp macro="" textlink="">
      <xdr:nvSpPr>
        <xdr:cNvPr id="97" name="Text Box 33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 txBox="1">
          <a:spLocks noChangeArrowheads="1"/>
        </xdr:cNvSpPr>
      </xdr:nvSpPr>
      <xdr:spPr bwMode="auto">
        <a:xfrm>
          <a:off x="1485900" y="6686550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238125</xdr:colOff>
      <xdr:row>25</xdr:row>
      <xdr:rowOff>0</xdr:rowOff>
    </xdr:from>
    <xdr:to>
      <xdr:col>11</xdr:col>
      <xdr:colOff>57150</xdr:colOff>
      <xdr:row>25</xdr:row>
      <xdr:rowOff>152400</xdr:rowOff>
    </xdr:to>
    <xdr:sp macro="" textlink="">
      <xdr:nvSpPr>
        <xdr:cNvPr id="98" name="Text Box 30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 txBox="1">
          <a:spLocks noChangeArrowheads="1"/>
        </xdr:cNvSpPr>
      </xdr:nvSpPr>
      <xdr:spPr bwMode="auto">
        <a:xfrm>
          <a:off x="1971675" y="6257925"/>
          <a:ext cx="62103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25</xdr:row>
      <xdr:rowOff>0</xdr:rowOff>
    </xdr:from>
    <xdr:to>
      <xdr:col>8</xdr:col>
      <xdr:colOff>323850</xdr:colOff>
      <xdr:row>25</xdr:row>
      <xdr:rowOff>171450</xdr:rowOff>
    </xdr:to>
    <xdr:sp macro="" textlink="">
      <xdr:nvSpPr>
        <xdr:cNvPr id="99" name="Text Box 31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 txBox="1">
          <a:spLocks noChangeArrowheads="1"/>
        </xdr:cNvSpPr>
      </xdr:nvSpPr>
      <xdr:spPr bwMode="auto">
        <a:xfrm>
          <a:off x="1752600" y="6638925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25</xdr:row>
      <xdr:rowOff>0</xdr:rowOff>
    </xdr:from>
    <xdr:to>
      <xdr:col>8</xdr:col>
      <xdr:colOff>533400</xdr:colOff>
      <xdr:row>25</xdr:row>
      <xdr:rowOff>171450</xdr:rowOff>
    </xdr:to>
    <xdr:sp macro="" textlink="">
      <xdr:nvSpPr>
        <xdr:cNvPr id="100" name="Text Box 2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 txBox="1">
          <a:spLocks noChangeArrowheads="1"/>
        </xdr:cNvSpPr>
      </xdr:nvSpPr>
      <xdr:spPr bwMode="auto">
        <a:xfrm>
          <a:off x="1962150" y="6743700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419100</xdr:colOff>
      <xdr:row>25</xdr:row>
      <xdr:rowOff>0</xdr:rowOff>
    </xdr:from>
    <xdr:to>
      <xdr:col>9</xdr:col>
      <xdr:colOff>114300</xdr:colOff>
      <xdr:row>25</xdr:row>
      <xdr:rowOff>114300</xdr:rowOff>
    </xdr:to>
    <xdr:sp macro="" textlink="">
      <xdr:nvSpPr>
        <xdr:cNvPr id="101" name="Text Box 27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 txBox="1">
          <a:spLocks noChangeArrowheads="1"/>
        </xdr:cNvSpPr>
      </xdr:nvSpPr>
      <xdr:spPr bwMode="auto">
        <a:xfrm>
          <a:off x="2152650" y="6419850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438150</xdr:colOff>
      <xdr:row>25</xdr:row>
      <xdr:rowOff>0</xdr:rowOff>
    </xdr:from>
    <xdr:to>
      <xdr:col>11</xdr:col>
      <xdr:colOff>257175</xdr:colOff>
      <xdr:row>26</xdr:row>
      <xdr:rowOff>47625</xdr:rowOff>
    </xdr:to>
    <xdr:sp macro="" textlink="">
      <xdr:nvSpPr>
        <xdr:cNvPr id="102" name="Text Box 24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 txBox="1">
          <a:spLocks noChangeArrowheads="1"/>
        </xdr:cNvSpPr>
      </xdr:nvSpPr>
      <xdr:spPr bwMode="auto">
        <a:xfrm>
          <a:off x="2171700" y="6572250"/>
          <a:ext cx="62103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638175</xdr:colOff>
      <xdr:row>25</xdr:row>
      <xdr:rowOff>0</xdr:rowOff>
    </xdr:from>
    <xdr:to>
      <xdr:col>6</xdr:col>
      <xdr:colOff>514350</xdr:colOff>
      <xdr:row>25</xdr:row>
      <xdr:rowOff>114300</xdr:rowOff>
    </xdr:to>
    <xdr:sp macro="" textlink="">
      <xdr:nvSpPr>
        <xdr:cNvPr id="103" name="Text Box 25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 txBox="1">
          <a:spLocks noChangeArrowheads="1"/>
        </xdr:cNvSpPr>
      </xdr:nvSpPr>
      <xdr:spPr bwMode="auto">
        <a:xfrm>
          <a:off x="638175" y="6629400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504825</xdr:colOff>
      <xdr:row>25</xdr:row>
      <xdr:rowOff>0</xdr:rowOff>
    </xdr:from>
    <xdr:to>
      <xdr:col>10</xdr:col>
      <xdr:colOff>581025</xdr:colOff>
      <xdr:row>26</xdr:row>
      <xdr:rowOff>28575</xdr:rowOff>
    </xdr:to>
    <xdr:sp macro="" textlink="">
      <xdr:nvSpPr>
        <xdr:cNvPr id="104" name="Text Box 22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 txBox="1">
          <a:spLocks noChangeArrowheads="1"/>
        </xdr:cNvSpPr>
      </xdr:nvSpPr>
      <xdr:spPr bwMode="auto">
        <a:xfrm>
          <a:off x="1419225" y="6391275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361950</xdr:colOff>
      <xdr:row>25</xdr:row>
      <xdr:rowOff>0</xdr:rowOff>
    </xdr:from>
    <xdr:to>
      <xdr:col>9</xdr:col>
      <xdr:colOff>57150</xdr:colOff>
      <xdr:row>25</xdr:row>
      <xdr:rowOff>114300</xdr:rowOff>
    </xdr:to>
    <xdr:sp macro="" textlink="">
      <xdr:nvSpPr>
        <xdr:cNvPr id="105" name="Text Box 23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 txBox="1">
          <a:spLocks noChangeArrowheads="1"/>
        </xdr:cNvSpPr>
      </xdr:nvSpPr>
      <xdr:spPr bwMode="auto">
        <a:xfrm>
          <a:off x="2095500" y="6696075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47625</xdr:colOff>
      <xdr:row>25</xdr:row>
      <xdr:rowOff>0</xdr:rowOff>
    </xdr:from>
    <xdr:to>
      <xdr:col>11</xdr:col>
      <xdr:colOff>333375</xdr:colOff>
      <xdr:row>26</xdr:row>
      <xdr:rowOff>28575</xdr:rowOff>
    </xdr:to>
    <xdr:sp macro="" textlink="">
      <xdr:nvSpPr>
        <xdr:cNvPr id="106" name="Text Box 20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 txBox="1">
          <a:spLocks noChangeArrowheads="1"/>
        </xdr:cNvSpPr>
      </xdr:nvSpPr>
      <xdr:spPr bwMode="auto">
        <a:xfrm>
          <a:off x="1781175" y="6896100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171450</xdr:colOff>
      <xdr:row>25</xdr:row>
      <xdr:rowOff>0</xdr:rowOff>
    </xdr:from>
    <xdr:to>
      <xdr:col>9</xdr:col>
      <xdr:colOff>85725</xdr:colOff>
      <xdr:row>26</xdr:row>
      <xdr:rowOff>28575</xdr:rowOff>
    </xdr:to>
    <xdr:sp macro="" textlink="">
      <xdr:nvSpPr>
        <xdr:cNvPr id="107" name="Text Box 21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 txBox="1">
          <a:spLocks noChangeArrowheads="1"/>
        </xdr:cNvSpPr>
      </xdr:nvSpPr>
      <xdr:spPr bwMode="auto">
        <a:xfrm>
          <a:off x="1905000" y="6391275"/>
          <a:ext cx="50863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809625</xdr:colOff>
      <xdr:row>25</xdr:row>
      <xdr:rowOff>0</xdr:rowOff>
    </xdr:from>
    <xdr:to>
      <xdr:col>11</xdr:col>
      <xdr:colOff>276225</xdr:colOff>
      <xdr:row>26</xdr:row>
      <xdr:rowOff>28575</xdr:rowOff>
    </xdr:to>
    <xdr:sp macro="" textlink="">
      <xdr:nvSpPr>
        <xdr:cNvPr id="108" name="Text Box 18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 txBox="1">
          <a:spLocks noChangeArrowheads="1"/>
        </xdr:cNvSpPr>
      </xdr:nvSpPr>
      <xdr:spPr bwMode="auto">
        <a:xfrm>
          <a:off x="1724025" y="6457950"/>
          <a:ext cx="6677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581025</xdr:colOff>
      <xdr:row>25</xdr:row>
      <xdr:rowOff>0</xdr:rowOff>
    </xdr:from>
    <xdr:to>
      <xdr:col>8</xdr:col>
      <xdr:colOff>285750</xdr:colOff>
      <xdr:row>26</xdr:row>
      <xdr:rowOff>28575</xdr:rowOff>
    </xdr:to>
    <xdr:sp macro="" textlink="">
      <xdr:nvSpPr>
        <xdr:cNvPr id="109" name="Text Box 19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 txBox="1">
          <a:spLocks noChangeArrowheads="1"/>
        </xdr:cNvSpPr>
      </xdr:nvSpPr>
      <xdr:spPr bwMode="auto">
        <a:xfrm>
          <a:off x="1495425" y="6543675"/>
          <a:ext cx="50863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16</xdr:row>
      <xdr:rowOff>0</xdr:rowOff>
    </xdr:from>
    <xdr:to>
      <xdr:col>1</xdr:col>
      <xdr:colOff>285750</xdr:colOff>
      <xdr:row>16</xdr:row>
      <xdr:rowOff>28575</xdr:rowOff>
    </xdr:to>
    <xdr:sp macro="" textlink="">
      <xdr:nvSpPr>
        <xdr:cNvPr id="110" name="Text Box 1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 txBox="1">
          <a:spLocks noChangeArrowheads="1"/>
        </xdr:cNvSpPr>
      </xdr:nvSpPr>
      <xdr:spPr bwMode="auto">
        <a:xfrm>
          <a:off x="1143000" y="335280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161925</xdr:colOff>
      <xdr:row>25</xdr:row>
      <xdr:rowOff>0</xdr:rowOff>
    </xdr:from>
    <xdr:to>
      <xdr:col>7</xdr:col>
      <xdr:colOff>257175</xdr:colOff>
      <xdr:row>25</xdr:row>
      <xdr:rowOff>171450</xdr:rowOff>
    </xdr:to>
    <xdr:sp macro="" textlink="">
      <xdr:nvSpPr>
        <xdr:cNvPr id="111" name="Text Box 36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 txBox="1">
          <a:spLocks noChangeArrowheads="1"/>
        </xdr:cNvSpPr>
      </xdr:nvSpPr>
      <xdr:spPr bwMode="auto">
        <a:xfrm>
          <a:off x="1076325" y="6762750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25</xdr:row>
      <xdr:rowOff>0</xdr:rowOff>
    </xdr:from>
    <xdr:to>
      <xdr:col>10</xdr:col>
      <xdr:colOff>514350</xdr:colOff>
      <xdr:row>25</xdr:row>
      <xdr:rowOff>152400</xdr:rowOff>
    </xdr:to>
    <xdr:sp macro="" textlink="">
      <xdr:nvSpPr>
        <xdr:cNvPr id="112" name="Text Box 32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6867525"/>
          <a:ext cx="62103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25</xdr:row>
      <xdr:rowOff>0</xdr:rowOff>
    </xdr:from>
    <xdr:to>
      <xdr:col>7</xdr:col>
      <xdr:colOff>123825</xdr:colOff>
      <xdr:row>25</xdr:row>
      <xdr:rowOff>171450</xdr:rowOff>
    </xdr:to>
    <xdr:sp macro="" textlink="">
      <xdr:nvSpPr>
        <xdr:cNvPr id="113" name="Text Box 33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 txBox="1">
          <a:spLocks noChangeArrowheads="1"/>
        </xdr:cNvSpPr>
      </xdr:nvSpPr>
      <xdr:spPr bwMode="auto">
        <a:xfrm>
          <a:off x="942975" y="6048375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247650</xdr:colOff>
      <xdr:row>25</xdr:row>
      <xdr:rowOff>0</xdr:rowOff>
    </xdr:from>
    <xdr:to>
      <xdr:col>9</xdr:col>
      <xdr:colOff>466725</xdr:colOff>
      <xdr:row>25</xdr:row>
      <xdr:rowOff>152400</xdr:rowOff>
    </xdr:to>
    <xdr:sp macro="" textlink="">
      <xdr:nvSpPr>
        <xdr:cNvPr id="114" name="Text Box 30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 txBox="1">
          <a:spLocks noChangeArrowheads="1"/>
        </xdr:cNvSpPr>
      </xdr:nvSpPr>
      <xdr:spPr bwMode="auto">
        <a:xfrm>
          <a:off x="1162050" y="6781800"/>
          <a:ext cx="62103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447675</xdr:colOff>
      <xdr:row>25</xdr:row>
      <xdr:rowOff>0</xdr:rowOff>
    </xdr:from>
    <xdr:to>
      <xdr:col>7</xdr:col>
      <xdr:colOff>542925</xdr:colOff>
      <xdr:row>25</xdr:row>
      <xdr:rowOff>171450</xdr:rowOff>
    </xdr:to>
    <xdr:sp macro="" textlink="">
      <xdr:nvSpPr>
        <xdr:cNvPr id="115" name="Text Box 31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 txBox="1">
          <a:spLocks noChangeArrowheads="1"/>
        </xdr:cNvSpPr>
      </xdr:nvSpPr>
      <xdr:spPr bwMode="auto">
        <a:xfrm>
          <a:off x="1362075" y="6200775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8</xdr:col>
      <xdr:colOff>304800</xdr:colOff>
      <xdr:row>25</xdr:row>
      <xdr:rowOff>171450</xdr:rowOff>
    </xdr:to>
    <xdr:sp macro="" textlink="">
      <xdr:nvSpPr>
        <xdr:cNvPr id="116" name="Text Box 29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 txBox="1">
          <a:spLocks noChangeArrowheads="1"/>
        </xdr:cNvSpPr>
      </xdr:nvSpPr>
      <xdr:spPr bwMode="auto">
        <a:xfrm>
          <a:off x="1733550" y="6800850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25</xdr:row>
      <xdr:rowOff>0</xdr:rowOff>
    </xdr:from>
    <xdr:to>
      <xdr:col>7</xdr:col>
      <xdr:colOff>447675</xdr:colOff>
      <xdr:row>25</xdr:row>
      <xdr:rowOff>114300</xdr:rowOff>
    </xdr:to>
    <xdr:sp macro="" textlink="">
      <xdr:nvSpPr>
        <xdr:cNvPr id="117" name="Text Box 27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 txBox="1">
          <a:spLocks noChangeArrowheads="1"/>
        </xdr:cNvSpPr>
      </xdr:nvSpPr>
      <xdr:spPr bwMode="auto">
        <a:xfrm>
          <a:off x="1266825" y="6010275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200025</xdr:colOff>
      <xdr:row>25</xdr:row>
      <xdr:rowOff>0</xdr:rowOff>
    </xdr:from>
    <xdr:to>
      <xdr:col>7</xdr:col>
      <xdr:colOff>295275</xdr:colOff>
      <xdr:row>25</xdr:row>
      <xdr:rowOff>114300</xdr:rowOff>
    </xdr:to>
    <xdr:sp macro="" textlink="">
      <xdr:nvSpPr>
        <xdr:cNvPr id="118" name="Text Box 25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 txBox="1">
          <a:spLocks noChangeArrowheads="1"/>
        </xdr:cNvSpPr>
      </xdr:nvSpPr>
      <xdr:spPr bwMode="auto">
        <a:xfrm>
          <a:off x="1114425" y="6343650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866775</xdr:colOff>
      <xdr:row>25</xdr:row>
      <xdr:rowOff>0</xdr:rowOff>
    </xdr:from>
    <xdr:to>
      <xdr:col>10</xdr:col>
      <xdr:colOff>28575</xdr:colOff>
      <xdr:row>26</xdr:row>
      <xdr:rowOff>57150</xdr:rowOff>
    </xdr:to>
    <xdr:sp macro="" textlink="">
      <xdr:nvSpPr>
        <xdr:cNvPr id="119" name="Text Box 22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 txBox="1">
          <a:spLocks noChangeArrowheads="1"/>
        </xdr:cNvSpPr>
      </xdr:nvSpPr>
      <xdr:spPr bwMode="auto">
        <a:xfrm>
          <a:off x="866775" y="6477000"/>
          <a:ext cx="66770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571500</xdr:colOff>
      <xdr:row>25</xdr:row>
      <xdr:rowOff>0</xdr:rowOff>
    </xdr:from>
    <xdr:to>
      <xdr:col>8</xdr:col>
      <xdr:colOff>57150</xdr:colOff>
      <xdr:row>25</xdr:row>
      <xdr:rowOff>114300</xdr:rowOff>
    </xdr:to>
    <xdr:sp macro="" textlink="">
      <xdr:nvSpPr>
        <xdr:cNvPr id="120" name="Text Box 23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 txBox="1">
          <a:spLocks noChangeArrowheads="1"/>
        </xdr:cNvSpPr>
      </xdr:nvSpPr>
      <xdr:spPr bwMode="auto">
        <a:xfrm>
          <a:off x="1485900" y="6905625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514350</xdr:colOff>
      <xdr:row>25</xdr:row>
      <xdr:rowOff>0</xdr:rowOff>
    </xdr:from>
    <xdr:to>
      <xdr:col>12</xdr:col>
      <xdr:colOff>190500</xdr:colOff>
      <xdr:row>26</xdr:row>
      <xdr:rowOff>57150</xdr:rowOff>
    </xdr:to>
    <xdr:sp macro="" textlink="">
      <xdr:nvSpPr>
        <xdr:cNvPr id="121" name="Text Box 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 txBox="1">
          <a:spLocks noChangeArrowheads="1"/>
        </xdr:cNvSpPr>
      </xdr:nvSpPr>
      <xdr:spPr bwMode="auto">
        <a:xfrm>
          <a:off x="2247900" y="5448300"/>
          <a:ext cx="66770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609600</xdr:colOff>
      <xdr:row>25</xdr:row>
      <xdr:rowOff>0</xdr:rowOff>
    </xdr:from>
    <xdr:to>
      <xdr:col>8</xdr:col>
      <xdr:colOff>314325</xdr:colOff>
      <xdr:row>26</xdr:row>
      <xdr:rowOff>57150</xdr:rowOff>
    </xdr:to>
    <xdr:sp macro="" textlink="">
      <xdr:nvSpPr>
        <xdr:cNvPr id="122" name="Text Box 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 txBox="1">
          <a:spLocks noChangeArrowheads="1"/>
        </xdr:cNvSpPr>
      </xdr:nvSpPr>
      <xdr:spPr bwMode="auto">
        <a:xfrm>
          <a:off x="1524000" y="6000750"/>
          <a:ext cx="50863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828675</xdr:colOff>
      <xdr:row>25</xdr:row>
      <xdr:rowOff>0</xdr:rowOff>
    </xdr:from>
    <xdr:to>
      <xdr:col>12</xdr:col>
      <xdr:colOff>85725</xdr:colOff>
      <xdr:row>26</xdr:row>
      <xdr:rowOff>57150</xdr:rowOff>
    </xdr:to>
    <xdr:sp macro="" textlink="">
      <xdr:nvSpPr>
        <xdr:cNvPr id="123" name="Text Box 18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 txBox="1">
          <a:spLocks noChangeArrowheads="1"/>
        </xdr:cNvSpPr>
      </xdr:nvSpPr>
      <xdr:spPr bwMode="auto">
        <a:xfrm>
          <a:off x="2562225" y="5476875"/>
          <a:ext cx="62579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17</xdr:row>
      <xdr:rowOff>0</xdr:rowOff>
    </xdr:from>
    <xdr:to>
      <xdr:col>1</xdr:col>
      <xdr:colOff>285750</xdr:colOff>
      <xdr:row>17</xdr:row>
      <xdr:rowOff>28575</xdr:rowOff>
    </xdr:to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 txBox="1">
          <a:spLocks noChangeArrowheads="1"/>
        </xdr:cNvSpPr>
      </xdr:nvSpPr>
      <xdr:spPr bwMode="auto">
        <a:xfrm>
          <a:off x="1143000" y="35528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25</xdr:row>
      <xdr:rowOff>0</xdr:rowOff>
    </xdr:from>
    <xdr:to>
      <xdr:col>8</xdr:col>
      <xdr:colOff>342900</xdr:colOff>
      <xdr:row>25</xdr:row>
      <xdr:rowOff>171450</xdr:rowOff>
    </xdr:to>
    <xdr:sp macro="" textlink="">
      <xdr:nvSpPr>
        <xdr:cNvPr id="125" name="Text Box 36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 txBox="1">
          <a:spLocks noChangeArrowheads="1"/>
        </xdr:cNvSpPr>
      </xdr:nvSpPr>
      <xdr:spPr bwMode="auto">
        <a:xfrm>
          <a:off x="1771650" y="6591300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695325</xdr:colOff>
      <xdr:row>25</xdr:row>
      <xdr:rowOff>0</xdr:rowOff>
    </xdr:from>
    <xdr:to>
      <xdr:col>10</xdr:col>
      <xdr:colOff>304800</xdr:colOff>
      <xdr:row>25</xdr:row>
      <xdr:rowOff>152400</xdr:rowOff>
    </xdr:to>
    <xdr:sp macro="" textlink="">
      <xdr:nvSpPr>
        <xdr:cNvPr id="126" name="Text Box 32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 txBox="1">
          <a:spLocks noChangeArrowheads="1"/>
        </xdr:cNvSpPr>
      </xdr:nvSpPr>
      <xdr:spPr bwMode="auto">
        <a:xfrm>
          <a:off x="1609725" y="6772275"/>
          <a:ext cx="62103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752475</xdr:colOff>
      <xdr:row>25</xdr:row>
      <xdr:rowOff>0</xdr:rowOff>
    </xdr:from>
    <xdr:to>
      <xdr:col>8</xdr:col>
      <xdr:colOff>238125</xdr:colOff>
      <xdr:row>25</xdr:row>
      <xdr:rowOff>171450</xdr:rowOff>
    </xdr:to>
    <xdr:sp macro="" textlink="">
      <xdr:nvSpPr>
        <xdr:cNvPr id="127" name="Text Box 33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 txBox="1">
          <a:spLocks noChangeArrowheads="1"/>
        </xdr:cNvSpPr>
      </xdr:nvSpPr>
      <xdr:spPr bwMode="auto">
        <a:xfrm>
          <a:off x="1666875" y="7172325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428625</xdr:colOff>
      <xdr:row>25</xdr:row>
      <xdr:rowOff>0</xdr:rowOff>
    </xdr:from>
    <xdr:to>
      <xdr:col>10</xdr:col>
      <xdr:colOff>38100</xdr:colOff>
      <xdr:row>25</xdr:row>
      <xdr:rowOff>152400</xdr:rowOff>
    </xdr:to>
    <xdr:sp macro="" textlink="">
      <xdr:nvSpPr>
        <xdr:cNvPr id="128" name="Text Box 30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 txBox="1">
          <a:spLocks noChangeArrowheads="1"/>
        </xdr:cNvSpPr>
      </xdr:nvSpPr>
      <xdr:spPr bwMode="auto">
        <a:xfrm>
          <a:off x="1343025" y="6705600"/>
          <a:ext cx="62103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457200</xdr:colOff>
      <xdr:row>25</xdr:row>
      <xdr:rowOff>0</xdr:rowOff>
    </xdr:from>
    <xdr:to>
      <xdr:col>9</xdr:col>
      <xdr:colOff>152400</xdr:colOff>
      <xdr:row>25</xdr:row>
      <xdr:rowOff>171450</xdr:rowOff>
    </xdr:to>
    <xdr:sp macro="" textlink="">
      <xdr:nvSpPr>
        <xdr:cNvPr id="129" name="Text Box 31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 txBox="1">
          <a:spLocks noChangeArrowheads="1"/>
        </xdr:cNvSpPr>
      </xdr:nvSpPr>
      <xdr:spPr bwMode="auto">
        <a:xfrm>
          <a:off x="2190750" y="6296025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485775</xdr:colOff>
      <xdr:row>25</xdr:row>
      <xdr:rowOff>0</xdr:rowOff>
    </xdr:from>
    <xdr:to>
      <xdr:col>7</xdr:col>
      <xdr:colOff>581025</xdr:colOff>
      <xdr:row>25</xdr:row>
      <xdr:rowOff>114300</xdr:rowOff>
    </xdr:to>
    <xdr:sp macro="" textlink="">
      <xdr:nvSpPr>
        <xdr:cNvPr id="130" name="Text Box 27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 txBox="1">
          <a:spLocks noChangeArrowheads="1"/>
        </xdr:cNvSpPr>
      </xdr:nvSpPr>
      <xdr:spPr bwMode="auto">
        <a:xfrm>
          <a:off x="1400175" y="6115050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47625</xdr:colOff>
      <xdr:row>25</xdr:row>
      <xdr:rowOff>0</xdr:rowOff>
    </xdr:from>
    <xdr:to>
      <xdr:col>8</xdr:col>
      <xdr:colOff>352425</xdr:colOff>
      <xdr:row>25</xdr:row>
      <xdr:rowOff>114300</xdr:rowOff>
    </xdr:to>
    <xdr:sp macro="" textlink="">
      <xdr:nvSpPr>
        <xdr:cNvPr id="131" name="Text Box 25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 txBox="1">
          <a:spLocks noChangeArrowheads="1"/>
        </xdr:cNvSpPr>
      </xdr:nvSpPr>
      <xdr:spPr bwMode="auto">
        <a:xfrm>
          <a:off x="1781175" y="5705475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25</xdr:row>
      <xdr:rowOff>0</xdr:rowOff>
    </xdr:from>
    <xdr:to>
      <xdr:col>7</xdr:col>
      <xdr:colOff>552450</xdr:colOff>
      <xdr:row>25</xdr:row>
      <xdr:rowOff>114300</xdr:rowOff>
    </xdr:to>
    <xdr:sp macro="" textlink="">
      <xdr:nvSpPr>
        <xdr:cNvPr id="132" name="Text Box 23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 txBox="1">
          <a:spLocks noChangeArrowheads="1"/>
        </xdr:cNvSpPr>
      </xdr:nvSpPr>
      <xdr:spPr bwMode="auto">
        <a:xfrm>
          <a:off x="1371600" y="6657975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18</xdr:row>
      <xdr:rowOff>0</xdr:rowOff>
    </xdr:from>
    <xdr:to>
      <xdr:col>1</xdr:col>
      <xdr:colOff>285750</xdr:colOff>
      <xdr:row>18</xdr:row>
      <xdr:rowOff>28575</xdr:rowOff>
    </xdr:to>
    <xdr:sp macro="" textlink="">
      <xdr:nvSpPr>
        <xdr:cNvPr id="133" name="Text Box 1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 txBox="1">
          <a:spLocks noChangeArrowheads="1"/>
        </xdr:cNvSpPr>
      </xdr:nvSpPr>
      <xdr:spPr bwMode="auto">
        <a:xfrm>
          <a:off x="1143000" y="375285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25</xdr:row>
      <xdr:rowOff>0</xdr:rowOff>
    </xdr:from>
    <xdr:to>
      <xdr:col>8</xdr:col>
      <xdr:colOff>390525</xdr:colOff>
      <xdr:row>25</xdr:row>
      <xdr:rowOff>161925</xdr:rowOff>
    </xdr:to>
    <xdr:sp macro="" textlink="">
      <xdr:nvSpPr>
        <xdr:cNvPr id="134" name="Text Box 36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9934575"/>
          <a:ext cx="48672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25</xdr:row>
      <xdr:rowOff>0</xdr:rowOff>
    </xdr:from>
    <xdr:to>
      <xdr:col>8</xdr:col>
      <xdr:colOff>390525</xdr:colOff>
      <xdr:row>25</xdr:row>
      <xdr:rowOff>171450</xdr:rowOff>
    </xdr:to>
    <xdr:sp macro="" textlink="">
      <xdr:nvSpPr>
        <xdr:cNvPr id="135" name="Text Box 36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9934575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25</xdr:row>
      <xdr:rowOff>0</xdr:rowOff>
    </xdr:from>
    <xdr:to>
      <xdr:col>11</xdr:col>
      <xdr:colOff>95250</xdr:colOff>
      <xdr:row>25</xdr:row>
      <xdr:rowOff>152400</xdr:rowOff>
    </xdr:to>
    <xdr:sp macro="" textlink="">
      <xdr:nvSpPr>
        <xdr:cNvPr id="136" name="Text Box 32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 txBox="1">
          <a:spLocks noChangeArrowheads="1"/>
        </xdr:cNvSpPr>
      </xdr:nvSpPr>
      <xdr:spPr bwMode="auto">
        <a:xfrm>
          <a:off x="2009775" y="9705975"/>
          <a:ext cx="62103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25</xdr:row>
      <xdr:rowOff>0</xdr:rowOff>
    </xdr:from>
    <xdr:to>
      <xdr:col>8</xdr:col>
      <xdr:colOff>390525</xdr:colOff>
      <xdr:row>25</xdr:row>
      <xdr:rowOff>171450</xdr:rowOff>
    </xdr:to>
    <xdr:sp macro="" textlink="">
      <xdr:nvSpPr>
        <xdr:cNvPr id="137" name="Text Box 33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9934575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25</xdr:row>
      <xdr:rowOff>0</xdr:rowOff>
    </xdr:from>
    <xdr:to>
      <xdr:col>11</xdr:col>
      <xdr:colOff>95250</xdr:colOff>
      <xdr:row>25</xdr:row>
      <xdr:rowOff>152400</xdr:rowOff>
    </xdr:to>
    <xdr:sp macro="" textlink="">
      <xdr:nvSpPr>
        <xdr:cNvPr id="138" name="Text Box 30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 txBox="1">
          <a:spLocks noChangeArrowheads="1"/>
        </xdr:cNvSpPr>
      </xdr:nvSpPr>
      <xdr:spPr bwMode="auto">
        <a:xfrm>
          <a:off x="2009775" y="9705975"/>
          <a:ext cx="62103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25</xdr:row>
      <xdr:rowOff>0</xdr:rowOff>
    </xdr:from>
    <xdr:to>
      <xdr:col>8</xdr:col>
      <xdr:colOff>390525</xdr:colOff>
      <xdr:row>25</xdr:row>
      <xdr:rowOff>171450</xdr:rowOff>
    </xdr:to>
    <xdr:sp macro="" textlink="">
      <xdr:nvSpPr>
        <xdr:cNvPr id="139" name="Text Box 31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9934575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25</xdr:row>
      <xdr:rowOff>0</xdr:rowOff>
    </xdr:from>
    <xdr:to>
      <xdr:col>8</xdr:col>
      <xdr:colOff>390525</xdr:colOff>
      <xdr:row>25</xdr:row>
      <xdr:rowOff>171450</xdr:rowOff>
    </xdr:to>
    <xdr:sp macro="" textlink="">
      <xdr:nvSpPr>
        <xdr:cNvPr id="140" name="Text Box 2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9934575"/>
          <a:ext cx="48672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25</xdr:row>
      <xdr:rowOff>0</xdr:rowOff>
    </xdr:from>
    <xdr:to>
      <xdr:col>8</xdr:col>
      <xdr:colOff>390525</xdr:colOff>
      <xdr:row>25</xdr:row>
      <xdr:rowOff>114300</xdr:rowOff>
    </xdr:to>
    <xdr:sp macro="" textlink="">
      <xdr:nvSpPr>
        <xdr:cNvPr id="141" name="Text Box 27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9972675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25</xdr:row>
      <xdr:rowOff>0</xdr:rowOff>
    </xdr:from>
    <xdr:to>
      <xdr:col>8</xdr:col>
      <xdr:colOff>390525</xdr:colOff>
      <xdr:row>25</xdr:row>
      <xdr:rowOff>114300</xdr:rowOff>
    </xdr:to>
    <xdr:sp macro="" textlink="">
      <xdr:nvSpPr>
        <xdr:cNvPr id="142" name="Text Box 25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9972675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10</xdr:col>
      <xdr:colOff>76200</xdr:colOff>
      <xdr:row>26</xdr:row>
      <xdr:rowOff>9525</xdr:rowOff>
    </xdr:to>
    <xdr:sp macro="" textlink="">
      <xdr:nvSpPr>
        <xdr:cNvPr id="143" name="Text Box 2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 txBox="1">
          <a:spLocks noChangeArrowheads="1"/>
        </xdr:cNvSpPr>
      </xdr:nvSpPr>
      <xdr:spPr bwMode="auto">
        <a:xfrm>
          <a:off x="914400" y="9867900"/>
          <a:ext cx="66770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25</xdr:row>
      <xdr:rowOff>0</xdr:rowOff>
    </xdr:from>
    <xdr:to>
      <xdr:col>8</xdr:col>
      <xdr:colOff>390525</xdr:colOff>
      <xdr:row>25</xdr:row>
      <xdr:rowOff>114300</xdr:rowOff>
    </xdr:to>
    <xdr:sp macro="" textlink="">
      <xdr:nvSpPr>
        <xdr:cNvPr id="144" name="Text Box 23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9972675"/>
          <a:ext cx="48672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10</xdr:col>
      <xdr:colOff>76200</xdr:colOff>
      <xdr:row>26</xdr:row>
      <xdr:rowOff>9525</xdr:rowOff>
    </xdr:to>
    <xdr:sp macro="" textlink="">
      <xdr:nvSpPr>
        <xdr:cNvPr id="145" name="Text Box 20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 txBox="1">
          <a:spLocks noChangeArrowheads="1"/>
        </xdr:cNvSpPr>
      </xdr:nvSpPr>
      <xdr:spPr bwMode="auto">
        <a:xfrm>
          <a:off x="914400" y="9867900"/>
          <a:ext cx="66770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25</xdr:row>
      <xdr:rowOff>0</xdr:rowOff>
    </xdr:from>
    <xdr:to>
      <xdr:col>7</xdr:col>
      <xdr:colOff>333375</xdr:colOff>
      <xdr:row>26</xdr:row>
      <xdr:rowOff>9525</xdr:rowOff>
    </xdr:to>
    <xdr:sp macro="" textlink="">
      <xdr:nvSpPr>
        <xdr:cNvPr id="146" name="Text Box 21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 txBox="1">
          <a:spLocks noChangeArrowheads="1"/>
        </xdr:cNvSpPr>
      </xdr:nvSpPr>
      <xdr:spPr bwMode="auto">
        <a:xfrm>
          <a:off x="933450" y="9867900"/>
          <a:ext cx="5086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6</xdr:col>
      <xdr:colOff>314325</xdr:colOff>
      <xdr:row>25</xdr:row>
      <xdr:rowOff>180975</xdr:rowOff>
    </xdr:to>
    <xdr:sp macro="" textlink="">
      <xdr:nvSpPr>
        <xdr:cNvPr id="147" name="Text Box 19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 txBox="1">
          <a:spLocks noChangeArrowheads="1"/>
        </xdr:cNvSpPr>
      </xdr:nvSpPr>
      <xdr:spPr bwMode="auto">
        <a:xfrm>
          <a:off x="0" y="10058400"/>
          <a:ext cx="53054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25</xdr:row>
      <xdr:rowOff>0</xdr:rowOff>
    </xdr:from>
    <xdr:to>
      <xdr:col>1</xdr:col>
      <xdr:colOff>285750</xdr:colOff>
      <xdr:row>25</xdr:row>
      <xdr:rowOff>28575</xdr:rowOff>
    </xdr:to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 txBox="1">
          <a:spLocks noChangeArrowheads="1"/>
        </xdr:cNvSpPr>
      </xdr:nvSpPr>
      <xdr:spPr bwMode="auto">
        <a:xfrm>
          <a:off x="1143000" y="986790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7</xdr:col>
      <xdr:colOff>400050</xdr:colOff>
      <xdr:row>2</xdr:row>
      <xdr:rowOff>152400</xdr:rowOff>
    </xdr:to>
    <xdr:sp macro="" textlink="">
      <xdr:nvSpPr>
        <xdr:cNvPr id="149" name="Text Box 1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51720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</xdr:row>
      <xdr:rowOff>0</xdr:rowOff>
    </xdr:from>
    <xdr:to>
      <xdr:col>5</xdr:col>
      <xdr:colOff>295275</xdr:colOff>
      <xdr:row>2</xdr:row>
      <xdr:rowOff>142875</xdr:rowOff>
    </xdr:to>
    <xdr:sp macro="" textlink="">
      <xdr:nvSpPr>
        <xdr:cNvPr id="150" name="Text Box 2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 txBox="1">
          <a:spLocks noChangeArrowheads="1"/>
        </xdr:cNvSpPr>
      </xdr:nvSpPr>
      <xdr:spPr bwMode="auto">
        <a:xfrm>
          <a:off x="933450" y="533400"/>
          <a:ext cx="35814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7</xdr:col>
      <xdr:colOff>400050</xdr:colOff>
      <xdr:row>2</xdr:row>
      <xdr:rowOff>142875</xdr:rowOff>
    </xdr:to>
    <xdr:sp macro="" textlink="">
      <xdr:nvSpPr>
        <xdr:cNvPr id="151" name="Text Box 3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51720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</xdr:row>
      <xdr:rowOff>0</xdr:rowOff>
    </xdr:from>
    <xdr:to>
      <xdr:col>5</xdr:col>
      <xdr:colOff>295275</xdr:colOff>
      <xdr:row>2</xdr:row>
      <xdr:rowOff>95250</xdr:rowOff>
    </xdr:to>
    <xdr:sp macro="" textlink="">
      <xdr:nvSpPr>
        <xdr:cNvPr id="152" name="Text Box 4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SpPr txBox="1">
          <a:spLocks noChangeArrowheads="1"/>
        </xdr:cNvSpPr>
      </xdr:nvSpPr>
      <xdr:spPr bwMode="auto">
        <a:xfrm>
          <a:off x="933450" y="533400"/>
          <a:ext cx="35814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7</xdr:col>
      <xdr:colOff>400050</xdr:colOff>
      <xdr:row>2</xdr:row>
      <xdr:rowOff>152400</xdr:rowOff>
    </xdr:to>
    <xdr:sp macro="" textlink="">
      <xdr:nvSpPr>
        <xdr:cNvPr id="153" name="Text Box 5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51720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7</xdr:col>
      <xdr:colOff>400050</xdr:colOff>
      <xdr:row>2</xdr:row>
      <xdr:rowOff>152400</xdr:rowOff>
    </xdr:to>
    <xdr:sp macro="" textlink="">
      <xdr:nvSpPr>
        <xdr:cNvPr id="154" name="Text Box 6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51720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2</xdr:row>
      <xdr:rowOff>0</xdr:rowOff>
    </xdr:from>
    <xdr:to>
      <xdr:col>5</xdr:col>
      <xdr:colOff>295275</xdr:colOff>
      <xdr:row>2</xdr:row>
      <xdr:rowOff>95250</xdr:rowOff>
    </xdr:to>
    <xdr:sp macro="" textlink="">
      <xdr:nvSpPr>
        <xdr:cNvPr id="155" name="Text Box 7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 txBox="1">
          <a:spLocks noChangeArrowheads="1"/>
        </xdr:cNvSpPr>
      </xdr:nvSpPr>
      <xdr:spPr bwMode="auto">
        <a:xfrm>
          <a:off x="933450" y="533400"/>
          <a:ext cx="35814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9</xdr:col>
      <xdr:colOff>400050</xdr:colOff>
      <xdr:row>2</xdr:row>
      <xdr:rowOff>142875</xdr:rowOff>
    </xdr:to>
    <xdr:sp macro="" textlink="">
      <xdr:nvSpPr>
        <xdr:cNvPr id="156" name="Text Box 11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SpPr txBox="1">
          <a:spLocks noChangeArrowheads="1"/>
        </xdr:cNvSpPr>
      </xdr:nvSpPr>
      <xdr:spPr bwMode="auto">
        <a:xfrm>
          <a:off x="2743200" y="533400"/>
          <a:ext cx="45624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7</xdr:col>
      <xdr:colOff>400050</xdr:colOff>
      <xdr:row>2</xdr:row>
      <xdr:rowOff>152400</xdr:rowOff>
    </xdr:to>
    <xdr:sp macro="" textlink="">
      <xdr:nvSpPr>
        <xdr:cNvPr id="157" name="Text Box 14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51720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7</xdr:col>
      <xdr:colOff>400050</xdr:colOff>
      <xdr:row>2</xdr:row>
      <xdr:rowOff>152400</xdr:rowOff>
    </xdr:to>
    <xdr:sp macro="" textlink="">
      <xdr:nvSpPr>
        <xdr:cNvPr id="158" name="Text Box 15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SpPr txBox="1">
          <a:spLocks noChangeArrowheads="1"/>
        </xdr:cNvSpPr>
      </xdr:nvSpPr>
      <xdr:spPr bwMode="auto">
        <a:xfrm>
          <a:off x="914400" y="533400"/>
          <a:ext cx="51720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5</xdr:col>
      <xdr:colOff>304800</xdr:colOff>
      <xdr:row>2</xdr:row>
      <xdr:rowOff>95250</xdr:rowOff>
    </xdr:to>
    <xdr:sp macro="" textlink="">
      <xdr:nvSpPr>
        <xdr:cNvPr id="159" name="Text Box 16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SpPr txBox="1">
          <a:spLocks noChangeArrowheads="1"/>
        </xdr:cNvSpPr>
      </xdr:nvSpPr>
      <xdr:spPr bwMode="auto">
        <a:xfrm>
          <a:off x="942975" y="533400"/>
          <a:ext cx="35814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314325</xdr:colOff>
      <xdr:row>25</xdr:row>
      <xdr:rowOff>0</xdr:rowOff>
    </xdr:from>
    <xdr:to>
      <xdr:col>8</xdr:col>
      <xdr:colOff>104775</xdr:colOff>
      <xdr:row>26</xdr:row>
      <xdr:rowOff>9525</xdr:rowOff>
    </xdr:to>
    <xdr:sp macro="" textlink="">
      <xdr:nvSpPr>
        <xdr:cNvPr id="160" name="Text Box 22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SpPr txBox="1">
          <a:spLocks noChangeArrowheads="1"/>
        </xdr:cNvSpPr>
      </xdr:nvSpPr>
      <xdr:spPr bwMode="auto">
        <a:xfrm>
          <a:off x="1228725" y="5362574"/>
          <a:ext cx="51720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25</xdr:row>
      <xdr:rowOff>0</xdr:rowOff>
    </xdr:from>
    <xdr:to>
      <xdr:col>6</xdr:col>
      <xdr:colOff>400050</xdr:colOff>
      <xdr:row>25</xdr:row>
      <xdr:rowOff>95250</xdr:rowOff>
    </xdr:to>
    <xdr:sp macro="" textlink="">
      <xdr:nvSpPr>
        <xdr:cNvPr id="161" name="Text Box 23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5419725"/>
          <a:ext cx="357187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180975</xdr:colOff>
      <xdr:row>28</xdr:row>
      <xdr:rowOff>133350</xdr:rowOff>
    </xdr:from>
    <xdr:to>
      <xdr:col>8</xdr:col>
      <xdr:colOff>200025</xdr:colOff>
      <xdr:row>29</xdr:row>
      <xdr:rowOff>19050</xdr:rowOff>
    </xdr:to>
    <xdr:sp macro="" textlink="">
      <xdr:nvSpPr>
        <xdr:cNvPr id="162" name="Text Box 25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SpPr txBox="1">
          <a:spLocks noChangeArrowheads="1"/>
        </xdr:cNvSpPr>
      </xdr:nvSpPr>
      <xdr:spPr bwMode="auto">
        <a:xfrm>
          <a:off x="2924175" y="5429250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342900</xdr:colOff>
      <xdr:row>11</xdr:row>
      <xdr:rowOff>0</xdr:rowOff>
    </xdr:from>
    <xdr:to>
      <xdr:col>9</xdr:col>
      <xdr:colOff>85725</xdr:colOff>
      <xdr:row>11</xdr:row>
      <xdr:rowOff>104775</xdr:rowOff>
    </xdr:to>
    <xdr:sp macro="" textlink="">
      <xdr:nvSpPr>
        <xdr:cNvPr id="163" name="Text Box 26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SpPr txBox="1">
          <a:spLocks noChangeArrowheads="1"/>
        </xdr:cNvSpPr>
      </xdr:nvSpPr>
      <xdr:spPr bwMode="auto">
        <a:xfrm>
          <a:off x="2076450" y="2352675"/>
          <a:ext cx="49149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11</xdr:row>
      <xdr:rowOff>0</xdr:rowOff>
    </xdr:from>
    <xdr:to>
      <xdr:col>6</xdr:col>
      <xdr:colOff>400050</xdr:colOff>
      <xdr:row>11</xdr:row>
      <xdr:rowOff>76200</xdr:rowOff>
    </xdr:to>
    <xdr:sp macro="" textlink="">
      <xdr:nvSpPr>
        <xdr:cNvPr id="164" name="Text Box 27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2352675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25</xdr:row>
      <xdr:rowOff>0</xdr:rowOff>
    </xdr:from>
    <xdr:to>
      <xdr:col>11</xdr:col>
      <xdr:colOff>571500</xdr:colOff>
      <xdr:row>25</xdr:row>
      <xdr:rowOff>152400</xdr:rowOff>
    </xdr:to>
    <xdr:sp macro="" textlink="">
      <xdr:nvSpPr>
        <xdr:cNvPr id="165" name="Text Box 28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SpPr txBox="1">
          <a:spLocks noChangeArrowheads="1"/>
        </xdr:cNvSpPr>
      </xdr:nvSpPr>
      <xdr:spPr bwMode="auto">
        <a:xfrm>
          <a:off x="4600575" y="5676900"/>
          <a:ext cx="40957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962025</xdr:colOff>
      <xdr:row>29</xdr:row>
      <xdr:rowOff>95250</xdr:rowOff>
    </xdr:from>
    <xdr:to>
      <xdr:col>7</xdr:col>
      <xdr:colOff>581025</xdr:colOff>
      <xdr:row>30</xdr:row>
      <xdr:rowOff>38100</xdr:rowOff>
    </xdr:to>
    <xdr:sp macro="" textlink="">
      <xdr:nvSpPr>
        <xdr:cNvPr id="166" name="Text Box 29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SpPr txBox="1">
          <a:spLocks noChangeArrowheads="1"/>
        </xdr:cNvSpPr>
      </xdr:nvSpPr>
      <xdr:spPr bwMode="auto">
        <a:xfrm>
          <a:off x="2695575" y="5581650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571500</xdr:colOff>
      <xdr:row>25</xdr:row>
      <xdr:rowOff>0</xdr:rowOff>
    </xdr:from>
    <xdr:to>
      <xdr:col>9</xdr:col>
      <xdr:colOff>314325</xdr:colOff>
      <xdr:row>25</xdr:row>
      <xdr:rowOff>152400</xdr:rowOff>
    </xdr:to>
    <xdr:sp macro="" textlink="">
      <xdr:nvSpPr>
        <xdr:cNvPr id="167" name="Text Box 30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SpPr txBox="1">
          <a:spLocks noChangeArrowheads="1"/>
        </xdr:cNvSpPr>
      </xdr:nvSpPr>
      <xdr:spPr bwMode="auto">
        <a:xfrm>
          <a:off x="2305050" y="5915025"/>
          <a:ext cx="49149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25</xdr:row>
      <xdr:rowOff>0</xdr:rowOff>
    </xdr:from>
    <xdr:to>
      <xdr:col>7</xdr:col>
      <xdr:colOff>495300</xdr:colOff>
      <xdr:row>25</xdr:row>
      <xdr:rowOff>133350</xdr:rowOff>
    </xdr:to>
    <xdr:sp macro="" textlink="">
      <xdr:nvSpPr>
        <xdr:cNvPr id="168" name="Text Box 31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 txBox="1">
          <a:spLocks noChangeArrowheads="1"/>
        </xdr:cNvSpPr>
      </xdr:nvSpPr>
      <xdr:spPr bwMode="auto">
        <a:xfrm>
          <a:off x="2609850" y="5400675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14</xdr:row>
      <xdr:rowOff>0</xdr:rowOff>
    </xdr:from>
    <xdr:to>
      <xdr:col>6</xdr:col>
      <xdr:colOff>400050</xdr:colOff>
      <xdr:row>14</xdr:row>
      <xdr:rowOff>133350</xdr:rowOff>
    </xdr:to>
    <xdr:sp macro="" textlink="">
      <xdr:nvSpPr>
        <xdr:cNvPr id="170" name="Text Box 33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 txBox="1">
          <a:spLocks noChangeArrowheads="1"/>
        </xdr:cNvSpPr>
      </xdr:nvSpPr>
      <xdr:spPr bwMode="auto">
        <a:xfrm>
          <a:off x="1819275" y="2952750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533400</xdr:colOff>
      <xdr:row>25</xdr:row>
      <xdr:rowOff>0</xdr:rowOff>
    </xdr:from>
    <xdr:to>
      <xdr:col>10</xdr:col>
      <xdr:colOff>19050</xdr:colOff>
      <xdr:row>25</xdr:row>
      <xdr:rowOff>161925</xdr:rowOff>
    </xdr:to>
    <xdr:sp macro="" textlink="">
      <xdr:nvSpPr>
        <xdr:cNvPr id="171" name="Text Box 35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 txBox="1">
          <a:spLocks noChangeArrowheads="1"/>
        </xdr:cNvSpPr>
      </xdr:nvSpPr>
      <xdr:spPr bwMode="auto">
        <a:xfrm>
          <a:off x="3276600" y="5953125"/>
          <a:ext cx="42576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238125</xdr:colOff>
      <xdr:row>25</xdr:row>
      <xdr:rowOff>0</xdr:rowOff>
    </xdr:from>
    <xdr:to>
      <xdr:col>6</xdr:col>
      <xdr:colOff>552450</xdr:colOff>
      <xdr:row>25</xdr:row>
      <xdr:rowOff>133350</xdr:rowOff>
    </xdr:to>
    <xdr:sp macro="" textlink="">
      <xdr:nvSpPr>
        <xdr:cNvPr id="172" name="Text Box 36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 txBox="1">
          <a:spLocks noChangeArrowheads="1"/>
        </xdr:cNvSpPr>
      </xdr:nvSpPr>
      <xdr:spPr bwMode="auto">
        <a:xfrm>
          <a:off x="1971675" y="6619875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171450</xdr:colOff>
      <xdr:row>25</xdr:row>
      <xdr:rowOff>0</xdr:rowOff>
    </xdr:from>
    <xdr:to>
      <xdr:col>8</xdr:col>
      <xdr:colOff>142875</xdr:colOff>
      <xdr:row>25</xdr:row>
      <xdr:rowOff>133350</xdr:rowOff>
    </xdr:to>
    <xdr:sp macro="" textlink="">
      <xdr:nvSpPr>
        <xdr:cNvPr id="173" name="Text Box 36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 txBox="1">
          <a:spLocks noChangeArrowheads="1"/>
        </xdr:cNvSpPr>
      </xdr:nvSpPr>
      <xdr:spPr bwMode="auto">
        <a:xfrm>
          <a:off x="2914650" y="6286500"/>
          <a:ext cx="35242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361950</xdr:colOff>
      <xdr:row>25</xdr:row>
      <xdr:rowOff>0</xdr:rowOff>
    </xdr:from>
    <xdr:to>
      <xdr:col>6</xdr:col>
      <xdr:colOff>676275</xdr:colOff>
      <xdr:row>25</xdr:row>
      <xdr:rowOff>123825</xdr:rowOff>
    </xdr:to>
    <xdr:sp macro="" textlink="">
      <xdr:nvSpPr>
        <xdr:cNvPr id="174" name="Text Box 36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 txBox="1">
          <a:spLocks noChangeArrowheads="1"/>
        </xdr:cNvSpPr>
      </xdr:nvSpPr>
      <xdr:spPr bwMode="auto">
        <a:xfrm>
          <a:off x="2095500" y="6896100"/>
          <a:ext cx="3571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266700</xdr:colOff>
      <xdr:row>25</xdr:row>
      <xdr:rowOff>0</xdr:rowOff>
    </xdr:from>
    <xdr:to>
      <xdr:col>10</xdr:col>
      <xdr:colOff>9525</xdr:colOff>
      <xdr:row>25</xdr:row>
      <xdr:rowOff>152400</xdr:rowOff>
    </xdr:to>
    <xdr:sp macro="" textlink="">
      <xdr:nvSpPr>
        <xdr:cNvPr id="175" name="Text Box 35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 txBox="1">
          <a:spLocks noChangeArrowheads="1"/>
        </xdr:cNvSpPr>
      </xdr:nvSpPr>
      <xdr:spPr bwMode="auto">
        <a:xfrm>
          <a:off x="3009900" y="5991225"/>
          <a:ext cx="45148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25</xdr:row>
      <xdr:rowOff>0</xdr:rowOff>
    </xdr:from>
    <xdr:to>
      <xdr:col>5</xdr:col>
      <xdr:colOff>638175</xdr:colOff>
      <xdr:row>25</xdr:row>
      <xdr:rowOff>123825</xdr:rowOff>
    </xdr:to>
    <xdr:sp macro="" textlink="">
      <xdr:nvSpPr>
        <xdr:cNvPr id="176" name="Text Box 36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 txBox="1">
          <a:spLocks noChangeArrowheads="1"/>
        </xdr:cNvSpPr>
      </xdr:nvSpPr>
      <xdr:spPr bwMode="auto">
        <a:xfrm>
          <a:off x="1285875" y="5105400"/>
          <a:ext cx="3571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285750</xdr:colOff>
      <xdr:row>2</xdr:row>
      <xdr:rowOff>104775</xdr:rowOff>
    </xdr:from>
    <xdr:to>
      <xdr:col>20</xdr:col>
      <xdr:colOff>361950</xdr:colOff>
      <xdr:row>2</xdr:row>
      <xdr:rowOff>133350</xdr:rowOff>
    </xdr:to>
    <xdr:sp macro="" textlink="">
      <xdr:nvSpPr>
        <xdr:cNvPr id="177" name="Text Box 1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 txBox="1">
          <a:spLocks noChangeArrowheads="1"/>
        </xdr:cNvSpPr>
      </xdr:nvSpPr>
      <xdr:spPr bwMode="auto">
        <a:xfrm rot="6585220">
          <a:off x="14959012" y="614363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342900</xdr:colOff>
      <xdr:row>3</xdr:row>
      <xdr:rowOff>0</xdr:rowOff>
    </xdr:from>
    <xdr:to>
      <xdr:col>14</xdr:col>
      <xdr:colOff>409575</xdr:colOff>
      <xdr:row>3</xdr:row>
      <xdr:rowOff>38100</xdr:rowOff>
    </xdr:to>
    <xdr:sp macro="" textlink="">
      <xdr:nvSpPr>
        <xdr:cNvPr id="178" name="Text Box 2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 txBox="1">
          <a:spLocks noChangeArrowheads="1"/>
        </xdr:cNvSpPr>
      </xdr:nvSpPr>
      <xdr:spPr bwMode="auto">
        <a:xfrm flipV="1">
          <a:off x="11334750" y="742950"/>
          <a:ext cx="666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2</xdr:row>
      <xdr:rowOff>0</xdr:rowOff>
    </xdr:from>
    <xdr:to>
      <xdr:col>5</xdr:col>
      <xdr:colOff>352425</xdr:colOff>
      <xdr:row>2</xdr:row>
      <xdr:rowOff>28575</xdr:rowOff>
    </xdr:to>
    <xdr:sp macro="" textlink="">
      <xdr:nvSpPr>
        <xdr:cNvPr id="179" name="Text Box 14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 txBox="1">
          <a:spLocks noChangeArrowheads="1"/>
        </xdr:cNvSpPr>
      </xdr:nvSpPr>
      <xdr:spPr bwMode="auto">
        <a:xfrm>
          <a:off x="4524375" y="53340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2</xdr:row>
      <xdr:rowOff>0</xdr:rowOff>
    </xdr:from>
    <xdr:to>
      <xdr:col>5</xdr:col>
      <xdr:colOff>323850</xdr:colOff>
      <xdr:row>2</xdr:row>
      <xdr:rowOff>28575</xdr:rowOff>
    </xdr:to>
    <xdr:sp macro="" textlink="">
      <xdr:nvSpPr>
        <xdr:cNvPr id="180" name="Text Box 15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 txBox="1">
          <a:spLocks noChangeArrowheads="1"/>
        </xdr:cNvSpPr>
      </xdr:nvSpPr>
      <xdr:spPr bwMode="auto">
        <a:xfrm>
          <a:off x="4495800" y="53340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2</xdr:row>
      <xdr:rowOff>0</xdr:rowOff>
    </xdr:from>
    <xdr:to>
      <xdr:col>5</xdr:col>
      <xdr:colOff>457200</xdr:colOff>
      <xdr:row>2</xdr:row>
      <xdr:rowOff>28575</xdr:rowOff>
    </xdr:to>
    <xdr:sp macro="" textlink="">
      <xdr:nvSpPr>
        <xdr:cNvPr id="181" name="Text Box 16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 txBox="1">
          <a:spLocks noChangeArrowheads="1"/>
        </xdr:cNvSpPr>
      </xdr:nvSpPr>
      <xdr:spPr bwMode="auto">
        <a:xfrm>
          <a:off x="4600575" y="533400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457200</xdr:colOff>
      <xdr:row>5</xdr:row>
      <xdr:rowOff>0</xdr:rowOff>
    </xdr:from>
    <xdr:to>
      <xdr:col>2</xdr:col>
      <xdr:colOff>523875</xdr:colOff>
      <xdr:row>5</xdr:row>
      <xdr:rowOff>28575</xdr:rowOff>
    </xdr:to>
    <xdr:sp macro="" textlink="">
      <xdr:nvSpPr>
        <xdr:cNvPr id="182" name="Text Box 6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 txBox="1">
          <a:spLocks noChangeArrowheads="1"/>
        </xdr:cNvSpPr>
      </xdr:nvSpPr>
      <xdr:spPr bwMode="auto">
        <a:xfrm>
          <a:off x="2190750" y="1152525"/>
          <a:ext cx="666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714375</xdr:colOff>
      <xdr:row>5</xdr:row>
      <xdr:rowOff>0</xdr:rowOff>
    </xdr:from>
    <xdr:to>
      <xdr:col>3</xdr:col>
      <xdr:colOff>47625</xdr:colOff>
      <xdr:row>5</xdr:row>
      <xdr:rowOff>28575</xdr:rowOff>
    </xdr:to>
    <xdr:sp macro="" textlink="">
      <xdr:nvSpPr>
        <xdr:cNvPr id="183" name="Text Box 4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 txBox="1">
          <a:spLocks noChangeArrowheads="1"/>
        </xdr:cNvSpPr>
      </xdr:nvSpPr>
      <xdr:spPr bwMode="auto">
        <a:xfrm>
          <a:off x="2447925" y="1152525"/>
          <a:ext cx="3429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257175</xdr:colOff>
      <xdr:row>3</xdr:row>
      <xdr:rowOff>38100</xdr:rowOff>
    </xdr:from>
    <xdr:to>
      <xdr:col>20</xdr:col>
      <xdr:colOff>304800</xdr:colOff>
      <xdr:row>9</xdr:row>
      <xdr:rowOff>38100</xdr:rowOff>
    </xdr:to>
    <xdr:sp macro="" textlink="">
      <xdr:nvSpPr>
        <xdr:cNvPr id="184" name="Text Box 3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 txBox="1">
          <a:spLocks noChangeArrowheads="1"/>
        </xdr:cNvSpPr>
      </xdr:nvSpPr>
      <xdr:spPr bwMode="auto">
        <a:xfrm flipH="1" flipV="1">
          <a:off x="14906625" y="1066800"/>
          <a:ext cx="47625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6</xdr:row>
      <xdr:rowOff>0</xdr:rowOff>
    </xdr:from>
    <xdr:to>
      <xdr:col>1</xdr:col>
      <xdr:colOff>285750</xdr:colOff>
      <xdr:row>6</xdr:row>
      <xdr:rowOff>28575</xdr:rowOff>
    </xdr:to>
    <xdr:sp macro="" textlink="">
      <xdr:nvSpPr>
        <xdr:cNvPr id="185" name="Text Box 1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SpPr txBox="1">
          <a:spLocks noChangeArrowheads="1"/>
        </xdr:cNvSpPr>
      </xdr:nvSpPr>
      <xdr:spPr bwMode="auto">
        <a:xfrm>
          <a:off x="1143000" y="135255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457200</xdr:colOff>
      <xdr:row>6</xdr:row>
      <xdr:rowOff>0</xdr:rowOff>
    </xdr:from>
    <xdr:to>
      <xdr:col>2</xdr:col>
      <xdr:colOff>523875</xdr:colOff>
      <xdr:row>6</xdr:row>
      <xdr:rowOff>28575</xdr:rowOff>
    </xdr:to>
    <xdr:sp macro="" textlink="">
      <xdr:nvSpPr>
        <xdr:cNvPr id="186" name="Text Box 6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SpPr txBox="1">
          <a:spLocks noChangeArrowheads="1"/>
        </xdr:cNvSpPr>
      </xdr:nvSpPr>
      <xdr:spPr bwMode="auto">
        <a:xfrm>
          <a:off x="2190750" y="1352550"/>
          <a:ext cx="666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714375</xdr:colOff>
      <xdr:row>6</xdr:row>
      <xdr:rowOff>0</xdr:rowOff>
    </xdr:from>
    <xdr:to>
      <xdr:col>3</xdr:col>
      <xdr:colOff>47625</xdr:colOff>
      <xdr:row>6</xdr:row>
      <xdr:rowOff>28575</xdr:rowOff>
    </xdr:to>
    <xdr:sp macro="" textlink="">
      <xdr:nvSpPr>
        <xdr:cNvPr id="187" name="Text Box 4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SpPr txBox="1">
          <a:spLocks noChangeArrowheads="1"/>
        </xdr:cNvSpPr>
      </xdr:nvSpPr>
      <xdr:spPr bwMode="auto">
        <a:xfrm>
          <a:off x="2447925" y="1352550"/>
          <a:ext cx="3429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180975</xdr:colOff>
      <xdr:row>7</xdr:row>
      <xdr:rowOff>0</xdr:rowOff>
    </xdr:from>
    <xdr:to>
      <xdr:col>1</xdr:col>
      <xdr:colOff>238125</xdr:colOff>
      <xdr:row>7</xdr:row>
      <xdr:rowOff>28575</xdr:rowOff>
    </xdr:to>
    <xdr:sp macro="" textlink="">
      <xdr:nvSpPr>
        <xdr:cNvPr id="188" name="Text Box 1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SpPr txBox="1">
          <a:spLocks noChangeArrowheads="1"/>
        </xdr:cNvSpPr>
      </xdr:nvSpPr>
      <xdr:spPr bwMode="auto">
        <a:xfrm>
          <a:off x="1095375" y="15525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257175</xdr:colOff>
      <xdr:row>21</xdr:row>
      <xdr:rowOff>152400</xdr:rowOff>
    </xdr:from>
    <xdr:to>
      <xdr:col>2</xdr:col>
      <xdr:colOff>314325</xdr:colOff>
      <xdr:row>21</xdr:row>
      <xdr:rowOff>180975</xdr:rowOff>
    </xdr:to>
    <xdr:sp macro="" textlink="">
      <xdr:nvSpPr>
        <xdr:cNvPr id="189" name="Text Box 1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SpPr txBox="1">
          <a:spLocks noChangeArrowheads="1"/>
        </xdr:cNvSpPr>
      </xdr:nvSpPr>
      <xdr:spPr bwMode="auto">
        <a:xfrm>
          <a:off x="1990725" y="449580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819150</xdr:colOff>
      <xdr:row>25</xdr:row>
      <xdr:rowOff>0</xdr:rowOff>
    </xdr:from>
    <xdr:to>
      <xdr:col>5</xdr:col>
      <xdr:colOff>180975</xdr:colOff>
      <xdr:row>25</xdr:row>
      <xdr:rowOff>161925</xdr:rowOff>
    </xdr:to>
    <xdr:sp macro="" textlink="">
      <xdr:nvSpPr>
        <xdr:cNvPr id="191" name="Text Box 19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SpPr txBox="1">
          <a:spLocks noChangeArrowheads="1"/>
        </xdr:cNvSpPr>
      </xdr:nvSpPr>
      <xdr:spPr bwMode="auto">
        <a:xfrm>
          <a:off x="819150" y="6067425"/>
          <a:ext cx="35814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9</xdr:row>
      <xdr:rowOff>0</xdr:rowOff>
    </xdr:from>
    <xdr:to>
      <xdr:col>1</xdr:col>
      <xdr:colOff>285750</xdr:colOff>
      <xdr:row>9</xdr:row>
      <xdr:rowOff>28575</xdr:rowOff>
    </xdr:to>
    <xdr:sp macro="" textlink="">
      <xdr:nvSpPr>
        <xdr:cNvPr id="192" name="Text Box 1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SpPr txBox="1">
          <a:spLocks noChangeArrowheads="1"/>
        </xdr:cNvSpPr>
      </xdr:nvSpPr>
      <xdr:spPr bwMode="auto">
        <a:xfrm>
          <a:off x="1143000" y="19526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25</xdr:row>
      <xdr:rowOff>0</xdr:rowOff>
    </xdr:from>
    <xdr:to>
      <xdr:col>8</xdr:col>
      <xdr:colOff>457200</xdr:colOff>
      <xdr:row>25</xdr:row>
      <xdr:rowOff>161925</xdr:rowOff>
    </xdr:to>
    <xdr:sp macro="" textlink="">
      <xdr:nvSpPr>
        <xdr:cNvPr id="193" name="Text Box 22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SpPr txBox="1">
          <a:spLocks noChangeArrowheads="1"/>
        </xdr:cNvSpPr>
      </xdr:nvSpPr>
      <xdr:spPr bwMode="auto">
        <a:xfrm>
          <a:off x="1581150" y="5372100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571500</xdr:colOff>
      <xdr:row>25</xdr:row>
      <xdr:rowOff>0</xdr:rowOff>
    </xdr:from>
    <xdr:to>
      <xdr:col>6</xdr:col>
      <xdr:colOff>66675</xdr:colOff>
      <xdr:row>25</xdr:row>
      <xdr:rowOff>76200</xdr:rowOff>
    </xdr:to>
    <xdr:sp macro="" textlink="">
      <xdr:nvSpPr>
        <xdr:cNvPr id="194" name="Text Box 23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SpPr txBox="1">
          <a:spLocks noChangeArrowheads="1"/>
        </xdr:cNvSpPr>
      </xdr:nvSpPr>
      <xdr:spPr bwMode="auto">
        <a:xfrm>
          <a:off x="1485900" y="5295900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257175</xdr:colOff>
      <xdr:row>25</xdr:row>
      <xdr:rowOff>0</xdr:rowOff>
    </xdr:from>
    <xdr:to>
      <xdr:col>12</xdr:col>
      <xdr:colOff>304800</xdr:colOff>
      <xdr:row>25</xdr:row>
      <xdr:rowOff>161925</xdr:rowOff>
    </xdr:to>
    <xdr:sp macro="" textlink="">
      <xdr:nvSpPr>
        <xdr:cNvPr id="195" name="Text Box 20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SpPr txBox="1">
          <a:spLocks noChangeArrowheads="1"/>
        </xdr:cNvSpPr>
      </xdr:nvSpPr>
      <xdr:spPr bwMode="auto">
        <a:xfrm>
          <a:off x="3867150" y="6315075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10</xdr:row>
      <xdr:rowOff>0</xdr:rowOff>
    </xdr:from>
    <xdr:to>
      <xdr:col>1</xdr:col>
      <xdr:colOff>285750</xdr:colOff>
      <xdr:row>10</xdr:row>
      <xdr:rowOff>28575</xdr:rowOff>
    </xdr:to>
    <xdr:sp macro="" textlink="">
      <xdr:nvSpPr>
        <xdr:cNvPr id="197" name="Text Box 1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SpPr txBox="1">
          <a:spLocks noChangeArrowheads="1"/>
        </xdr:cNvSpPr>
      </xdr:nvSpPr>
      <xdr:spPr bwMode="auto">
        <a:xfrm>
          <a:off x="1143000" y="215265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11</xdr:row>
      <xdr:rowOff>0</xdr:rowOff>
    </xdr:from>
    <xdr:to>
      <xdr:col>7</xdr:col>
      <xdr:colOff>600075</xdr:colOff>
      <xdr:row>11</xdr:row>
      <xdr:rowOff>161925</xdr:rowOff>
    </xdr:to>
    <xdr:sp macro="" textlink="">
      <xdr:nvSpPr>
        <xdr:cNvPr id="198" name="Text Box 24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SpPr txBox="1">
          <a:spLocks noChangeArrowheads="1"/>
        </xdr:cNvSpPr>
      </xdr:nvSpPr>
      <xdr:spPr bwMode="auto">
        <a:xfrm>
          <a:off x="1371600" y="3619500"/>
          <a:ext cx="49149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11</xdr:row>
      <xdr:rowOff>0</xdr:rowOff>
    </xdr:from>
    <xdr:to>
      <xdr:col>6</xdr:col>
      <xdr:colOff>400050</xdr:colOff>
      <xdr:row>11</xdr:row>
      <xdr:rowOff>76200</xdr:rowOff>
    </xdr:to>
    <xdr:sp macro="" textlink="">
      <xdr:nvSpPr>
        <xdr:cNvPr id="199" name="Text Box 25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SpPr txBox="1">
          <a:spLocks noChangeArrowheads="1"/>
        </xdr:cNvSpPr>
      </xdr:nvSpPr>
      <xdr:spPr bwMode="auto">
        <a:xfrm>
          <a:off x="1819275" y="2352675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7</xdr:col>
      <xdr:colOff>400050</xdr:colOff>
      <xdr:row>11</xdr:row>
      <xdr:rowOff>161925</xdr:rowOff>
    </xdr:to>
    <xdr:sp macro="" textlink="">
      <xdr:nvSpPr>
        <xdr:cNvPr id="200" name="Text Box 22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SpPr txBox="1">
          <a:spLocks noChangeArrowheads="1"/>
        </xdr:cNvSpPr>
      </xdr:nvSpPr>
      <xdr:spPr bwMode="auto">
        <a:xfrm>
          <a:off x="914400" y="2352675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123825</xdr:rowOff>
    </xdr:from>
    <xdr:to>
      <xdr:col>6</xdr:col>
      <xdr:colOff>314325</xdr:colOff>
      <xdr:row>29</xdr:row>
      <xdr:rowOff>9525</xdr:rowOff>
    </xdr:to>
    <xdr:sp macro="" textlink="">
      <xdr:nvSpPr>
        <xdr:cNvPr id="201" name="Text Box 23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SpPr txBox="1">
          <a:spLocks noChangeArrowheads="1"/>
        </xdr:cNvSpPr>
      </xdr:nvSpPr>
      <xdr:spPr bwMode="auto">
        <a:xfrm>
          <a:off x="1733550" y="5419725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25</xdr:row>
      <xdr:rowOff>0</xdr:rowOff>
    </xdr:from>
    <xdr:to>
      <xdr:col>7</xdr:col>
      <xdr:colOff>571500</xdr:colOff>
      <xdr:row>25</xdr:row>
      <xdr:rowOff>161925</xdr:rowOff>
    </xdr:to>
    <xdr:sp macro="" textlink="">
      <xdr:nvSpPr>
        <xdr:cNvPr id="202" name="Text Box 20"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SpPr txBox="1">
          <a:spLocks noChangeArrowheads="1"/>
        </xdr:cNvSpPr>
      </xdr:nvSpPr>
      <xdr:spPr bwMode="auto">
        <a:xfrm>
          <a:off x="1085850" y="5905500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428625</xdr:colOff>
      <xdr:row>28</xdr:row>
      <xdr:rowOff>85725</xdr:rowOff>
    </xdr:from>
    <xdr:to>
      <xdr:col>5</xdr:col>
      <xdr:colOff>704850</xdr:colOff>
      <xdr:row>29</xdr:row>
      <xdr:rowOff>57150</xdr:rowOff>
    </xdr:to>
    <xdr:sp macro="" textlink="">
      <xdr:nvSpPr>
        <xdr:cNvPr id="203" name="Text Box 21"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SpPr txBox="1">
          <a:spLocks noChangeArrowheads="1"/>
        </xdr:cNvSpPr>
      </xdr:nvSpPr>
      <xdr:spPr bwMode="auto">
        <a:xfrm>
          <a:off x="1343025" y="5381625"/>
          <a:ext cx="35814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771525</xdr:colOff>
      <xdr:row>25</xdr:row>
      <xdr:rowOff>0</xdr:rowOff>
    </xdr:from>
    <xdr:to>
      <xdr:col>8</xdr:col>
      <xdr:colOff>561975</xdr:colOff>
      <xdr:row>25</xdr:row>
      <xdr:rowOff>161925</xdr:rowOff>
    </xdr:to>
    <xdr:sp macro="" textlink="">
      <xdr:nvSpPr>
        <xdr:cNvPr id="204" name="Text Box 18">
          <a:extLst>
            <a:ext uri="{FF2B5EF4-FFF2-40B4-BE49-F238E27FC236}">
              <a16:creationId xmlns:a16="http://schemas.microsoft.com/office/drawing/2014/main" id="{00000000-0008-0000-0300-0000CC000000}"/>
            </a:ext>
          </a:extLst>
        </xdr:cNvPr>
        <xdr:cNvSpPr txBox="1">
          <a:spLocks noChangeArrowheads="1"/>
        </xdr:cNvSpPr>
      </xdr:nvSpPr>
      <xdr:spPr bwMode="auto">
        <a:xfrm>
          <a:off x="1685925" y="6296025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11</xdr:row>
      <xdr:rowOff>0</xdr:rowOff>
    </xdr:from>
    <xdr:to>
      <xdr:col>1</xdr:col>
      <xdr:colOff>285750</xdr:colOff>
      <xdr:row>11</xdr:row>
      <xdr:rowOff>28575</xdr:rowOff>
    </xdr:to>
    <xdr:sp macro="" textlink="">
      <xdr:nvSpPr>
        <xdr:cNvPr id="205" name="Text Box 1">
          <a:extLst>
            <a:ext uri="{FF2B5EF4-FFF2-40B4-BE49-F238E27FC236}">
              <a16:creationId xmlns:a16="http://schemas.microsoft.com/office/drawing/2014/main" id="{00000000-0008-0000-0300-0000CD000000}"/>
            </a:ext>
          </a:extLst>
        </xdr:cNvPr>
        <xdr:cNvSpPr txBox="1">
          <a:spLocks noChangeArrowheads="1"/>
        </xdr:cNvSpPr>
      </xdr:nvSpPr>
      <xdr:spPr bwMode="auto">
        <a:xfrm>
          <a:off x="1143000" y="23526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12</xdr:row>
      <xdr:rowOff>0</xdr:rowOff>
    </xdr:from>
    <xdr:to>
      <xdr:col>6</xdr:col>
      <xdr:colOff>400050</xdr:colOff>
      <xdr:row>12</xdr:row>
      <xdr:rowOff>76200</xdr:rowOff>
    </xdr:to>
    <xdr:sp macro="" textlink="">
      <xdr:nvSpPr>
        <xdr:cNvPr id="206" name="Text Box 27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SpPr txBox="1">
          <a:spLocks noChangeArrowheads="1"/>
        </xdr:cNvSpPr>
      </xdr:nvSpPr>
      <xdr:spPr bwMode="auto">
        <a:xfrm>
          <a:off x="1819275" y="2552700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647700</xdr:colOff>
      <xdr:row>25</xdr:row>
      <xdr:rowOff>0</xdr:rowOff>
    </xdr:from>
    <xdr:to>
      <xdr:col>9</xdr:col>
      <xdr:colOff>390525</xdr:colOff>
      <xdr:row>25</xdr:row>
      <xdr:rowOff>161925</xdr:rowOff>
    </xdr:to>
    <xdr:sp macro="" textlink="">
      <xdr:nvSpPr>
        <xdr:cNvPr id="207" name="Text Box 24"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SpPr txBox="1">
          <a:spLocks noChangeArrowheads="1"/>
        </xdr:cNvSpPr>
      </xdr:nvSpPr>
      <xdr:spPr bwMode="auto">
        <a:xfrm>
          <a:off x="2381250" y="5972175"/>
          <a:ext cx="49149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12</xdr:row>
      <xdr:rowOff>0</xdr:rowOff>
    </xdr:from>
    <xdr:to>
      <xdr:col>6</xdr:col>
      <xdr:colOff>400050</xdr:colOff>
      <xdr:row>12</xdr:row>
      <xdr:rowOff>76200</xdr:rowOff>
    </xdr:to>
    <xdr:sp macro="" textlink="">
      <xdr:nvSpPr>
        <xdr:cNvPr id="208" name="Text Box 25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SpPr txBox="1">
          <a:spLocks noChangeArrowheads="1"/>
        </xdr:cNvSpPr>
      </xdr:nvSpPr>
      <xdr:spPr bwMode="auto">
        <a:xfrm>
          <a:off x="1819275" y="2552700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180975</xdr:colOff>
      <xdr:row>25</xdr:row>
      <xdr:rowOff>0</xdr:rowOff>
    </xdr:from>
    <xdr:to>
      <xdr:col>9</xdr:col>
      <xdr:colOff>180975</xdr:colOff>
      <xdr:row>25</xdr:row>
      <xdr:rowOff>161925</xdr:rowOff>
    </xdr:to>
    <xdr:sp macro="" textlink="">
      <xdr:nvSpPr>
        <xdr:cNvPr id="209" name="Text Box 22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SpPr txBox="1">
          <a:spLocks noChangeArrowheads="1"/>
        </xdr:cNvSpPr>
      </xdr:nvSpPr>
      <xdr:spPr bwMode="auto">
        <a:xfrm>
          <a:off x="1914525" y="5867400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12</xdr:row>
      <xdr:rowOff>0</xdr:rowOff>
    </xdr:from>
    <xdr:to>
      <xdr:col>6</xdr:col>
      <xdr:colOff>400050</xdr:colOff>
      <xdr:row>12</xdr:row>
      <xdr:rowOff>76200</xdr:rowOff>
    </xdr:to>
    <xdr:sp macro="" textlink="">
      <xdr:nvSpPr>
        <xdr:cNvPr id="210" name="Text Box 23"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SpPr txBox="1">
          <a:spLocks noChangeArrowheads="1"/>
        </xdr:cNvSpPr>
      </xdr:nvSpPr>
      <xdr:spPr bwMode="auto">
        <a:xfrm>
          <a:off x="1819275" y="2552700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542925</xdr:colOff>
      <xdr:row>25</xdr:row>
      <xdr:rowOff>0</xdr:rowOff>
    </xdr:from>
    <xdr:to>
      <xdr:col>8</xdr:col>
      <xdr:colOff>333375</xdr:colOff>
      <xdr:row>25</xdr:row>
      <xdr:rowOff>161925</xdr:rowOff>
    </xdr:to>
    <xdr:sp macro="" textlink="">
      <xdr:nvSpPr>
        <xdr:cNvPr id="211" name="Text Box 20">
          <a:extLst>
            <a:ext uri="{FF2B5EF4-FFF2-40B4-BE49-F238E27FC236}">
              <a16:creationId xmlns:a16="http://schemas.microsoft.com/office/drawing/2014/main" id="{00000000-0008-0000-0300-0000D3000000}"/>
            </a:ext>
          </a:extLst>
        </xdr:cNvPr>
        <xdr:cNvSpPr txBox="1">
          <a:spLocks noChangeArrowheads="1"/>
        </xdr:cNvSpPr>
      </xdr:nvSpPr>
      <xdr:spPr bwMode="auto">
        <a:xfrm>
          <a:off x="1457325" y="5705475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12</xdr:row>
      <xdr:rowOff>0</xdr:rowOff>
    </xdr:from>
    <xdr:to>
      <xdr:col>1</xdr:col>
      <xdr:colOff>285750</xdr:colOff>
      <xdr:row>12</xdr:row>
      <xdr:rowOff>28575</xdr:rowOff>
    </xdr:to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SpPr txBox="1">
          <a:spLocks noChangeArrowheads="1"/>
        </xdr:cNvSpPr>
      </xdr:nvSpPr>
      <xdr:spPr bwMode="auto">
        <a:xfrm>
          <a:off x="1143000" y="255270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400050</xdr:colOff>
      <xdr:row>25</xdr:row>
      <xdr:rowOff>0</xdr:rowOff>
    </xdr:from>
    <xdr:to>
      <xdr:col>7</xdr:col>
      <xdr:colOff>19050</xdr:colOff>
      <xdr:row>25</xdr:row>
      <xdr:rowOff>133350</xdr:rowOff>
    </xdr:to>
    <xdr:sp macro="" textlink="">
      <xdr:nvSpPr>
        <xdr:cNvPr id="213" name="Text Box 29">
          <a:extLst>
            <a:ext uri="{FF2B5EF4-FFF2-40B4-BE49-F238E27FC236}">
              <a16:creationId xmlns:a16="http://schemas.microsoft.com/office/drawing/2014/main" id="{00000000-0008-0000-0300-0000D5000000}"/>
            </a:ext>
          </a:extLst>
        </xdr:cNvPr>
        <xdr:cNvSpPr txBox="1">
          <a:spLocks noChangeArrowheads="1"/>
        </xdr:cNvSpPr>
      </xdr:nvSpPr>
      <xdr:spPr bwMode="auto">
        <a:xfrm>
          <a:off x="2133600" y="5829300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76200</xdr:colOff>
      <xdr:row>25</xdr:row>
      <xdr:rowOff>0</xdr:rowOff>
    </xdr:from>
    <xdr:to>
      <xdr:col>6</xdr:col>
      <xdr:colOff>390525</xdr:colOff>
      <xdr:row>25</xdr:row>
      <xdr:rowOff>76200</xdr:rowOff>
    </xdr:to>
    <xdr:sp macro="" textlink="">
      <xdr:nvSpPr>
        <xdr:cNvPr id="214" name="Text Box 27">
          <a:extLst>
            <a:ext uri="{FF2B5EF4-FFF2-40B4-BE49-F238E27FC236}">
              <a16:creationId xmlns:a16="http://schemas.microsoft.com/office/drawing/2014/main" id="{00000000-0008-0000-0300-0000D6000000}"/>
            </a:ext>
          </a:extLst>
        </xdr:cNvPr>
        <xdr:cNvSpPr txBox="1">
          <a:spLocks noChangeArrowheads="1"/>
        </xdr:cNvSpPr>
      </xdr:nvSpPr>
      <xdr:spPr bwMode="auto">
        <a:xfrm>
          <a:off x="1809750" y="6229350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457200</xdr:colOff>
      <xdr:row>25</xdr:row>
      <xdr:rowOff>0</xdr:rowOff>
    </xdr:from>
    <xdr:to>
      <xdr:col>9</xdr:col>
      <xdr:colOff>200025</xdr:colOff>
      <xdr:row>26</xdr:row>
      <xdr:rowOff>38100</xdr:rowOff>
    </xdr:to>
    <xdr:sp macro="" textlink="">
      <xdr:nvSpPr>
        <xdr:cNvPr id="215" name="Text Box 24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SpPr txBox="1">
          <a:spLocks noChangeArrowheads="1"/>
        </xdr:cNvSpPr>
      </xdr:nvSpPr>
      <xdr:spPr bwMode="auto">
        <a:xfrm>
          <a:off x="2190750" y="6381750"/>
          <a:ext cx="4914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447675</xdr:colOff>
      <xdr:row>25</xdr:row>
      <xdr:rowOff>0</xdr:rowOff>
    </xdr:from>
    <xdr:to>
      <xdr:col>7</xdr:col>
      <xdr:colOff>66675</xdr:colOff>
      <xdr:row>25</xdr:row>
      <xdr:rowOff>76200</xdr:rowOff>
    </xdr:to>
    <xdr:sp macro="" textlink="">
      <xdr:nvSpPr>
        <xdr:cNvPr id="216" name="Text Box 25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SpPr txBox="1">
          <a:spLocks noChangeArrowheads="1"/>
        </xdr:cNvSpPr>
      </xdr:nvSpPr>
      <xdr:spPr bwMode="auto">
        <a:xfrm>
          <a:off x="2181225" y="6153150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485775</xdr:colOff>
      <xdr:row>25</xdr:row>
      <xdr:rowOff>0</xdr:rowOff>
    </xdr:from>
    <xdr:to>
      <xdr:col>8</xdr:col>
      <xdr:colOff>276225</xdr:colOff>
      <xdr:row>26</xdr:row>
      <xdr:rowOff>38100</xdr:rowOff>
    </xdr:to>
    <xdr:sp macro="" textlink="">
      <xdr:nvSpPr>
        <xdr:cNvPr id="217" name="Text Box 22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SpPr txBox="1">
          <a:spLocks noChangeArrowheads="1"/>
        </xdr:cNvSpPr>
      </xdr:nvSpPr>
      <xdr:spPr bwMode="auto">
        <a:xfrm>
          <a:off x="1400175" y="6286500"/>
          <a:ext cx="51720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219075</xdr:colOff>
      <xdr:row>25</xdr:row>
      <xdr:rowOff>0</xdr:rowOff>
    </xdr:from>
    <xdr:to>
      <xdr:col>6</xdr:col>
      <xdr:colOff>533400</xdr:colOff>
      <xdr:row>25</xdr:row>
      <xdr:rowOff>76200</xdr:rowOff>
    </xdr:to>
    <xdr:sp macro="" textlink="">
      <xdr:nvSpPr>
        <xdr:cNvPr id="218" name="Text Box 23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SpPr txBox="1">
          <a:spLocks noChangeArrowheads="1"/>
        </xdr:cNvSpPr>
      </xdr:nvSpPr>
      <xdr:spPr bwMode="auto">
        <a:xfrm>
          <a:off x="1952625" y="6181725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781050</xdr:colOff>
      <xdr:row>25</xdr:row>
      <xdr:rowOff>0</xdr:rowOff>
    </xdr:from>
    <xdr:to>
      <xdr:col>8</xdr:col>
      <xdr:colOff>571500</xdr:colOff>
      <xdr:row>26</xdr:row>
      <xdr:rowOff>38100</xdr:rowOff>
    </xdr:to>
    <xdr:sp macro="" textlink="">
      <xdr:nvSpPr>
        <xdr:cNvPr id="219" name="Text Box 20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SpPr txBox="1">
          <a:spLocks noChangeArrowheads="1"/>
        </xdr:cNvSpPr>
      </xdr:nvSpPr>
      <xdr:spPr bwMode="auto">
        <a:xfrm>
          <a:off x="1695450" y="5629275"/>
          <a:ext cx="51720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238125</xdr:colOff>
      <xdr:row>25</xdr:row>
      <xdr:rowOff>0</xdr:rowOff>
    </xdr:from>
    <xdr:to>
      <xdr:col>6</xdr:col>
      <xdr:colOff>561975</xdr:colOff>
      <xdr:row>26</xdr:row>
      <xdr:rowOff>38100</xdr:rowOff>
    </xdr:to>
    <xdr:sp macro="" textlink="">
      <xdr:nvSpPr>
        <xdr:cNvPr id="220" name="Text Box 21"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SpPr txBox="1">
          <a:spLocks noChangeArrowheads="1"/>
        </xdr:cNvSpPr>
      </xdr:nvSpPr>
      <xdr:spPr bwMode="auto">
        <a:xfrm>
          <a:off x="1971675" y="5410200"/>
          <a:ext cx="3581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13</xdr:row>
      <xdr:rowOff>0</xdr:rowOff>
    </xdr:from>
    <xdr:to>
      <xdr:col>1</xdr:col>
      <xdr:colOff>285750</xdr:colOff>
      <xdr:row>13</xdr:row>
      <xdr:rowOff>28575</xdr:rowOff>
    </xdr:to>
    <xdr:sp macro="" textlink="">
      <xdr:nvSpPr>
        <xdr:cNvPr id="221" name="Text Box 1"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SpPr txBox="1">
          <a:spLocks noChangeArrowheads="1"/>
        </xdr:cNvSpPr>
      </xdr:nvSpPr>
      <xdr:spPr bwMode="auto">
        <a:xfrm>
          <a:off x="1143000" y="27527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152400</xdr:colOff>
      <xdr:row>25</xdr:row>
      <xdr:rowOff>0</xdr:rowOff>
    </xdr:from>
    <xdr:to>
      <xdr:col>8</xdr:col>
      <xdr:colOff>504825</xdr:colOff>
      <xdr:row>25</xdr:row>
      <xdr:rowOff>152400</xdr:rowOff>
    </xdr:to>
    <xdr:sp macro="" textlink="">
      <xdr:nvSpPr>
        <xdr:cNvPr id="222" name="Text Box 30"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SpPr txBox="1">
          <a:spLocks noChangeArrowheads="1"/>
        </xdr:cNvSpPr>
      </xdr:nvSpPr>
      <xdr:spPr bwMode="auto">
        <a:xfrm>
          <a:off x="1885950" y="5962650"/>
          <a:ext cx="49149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428625</xdr:colOff>
      <xdr:row>30</xdr:row>
      <xdr:rowOff>152400</xdr:rowOff>
    </xdr:from>
    <xdr:to>
      <xdr:col>7</xdr:col>
      <xdr:colOff>47625</xdr:colOff>
      <xdr:row>31</xdr:row>
      <xdr:rowOff>95250</xdr:rowOff>
    </xdr:to>
    <xdr:sp macro="" textlink="">
      <xdr:nvSpPr>
        <xdr:cNvPr id="223" name="Text Box 31">
          <a:extLst>
            <a:ext uri="{FF2B5EF4-FFF2-40B4-BE49-F238E27FC236}">
              <a16:creationId xmlns:a16="http://schemas.microsoft.com/office/drawing/2014/main" id="{00000000-0008-0000-0300-0000DF000000}"/>
            </a:ext>
          </a:extLst>
        </xdr:cNvPr>
        <xdr:cNvSpPr txBox="1">
          <a:spLocks noChangeArrowheads="1"/>
        </xdr:cNvSpPr>
      </xdr:nvSpPr>
      <xdr:spPr bwMode="auto">
        <a:xfrm>
          <a:off x="2162175" y="5829300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400050</xdr:colOff>
      <xdr:row>29</xdr:row>
      <xdr:rowOff>19050</xdr:rowOff>
    </xdr:from>
    <xdr:to>
      <xdr:col>7</xdr:col>
      <xdr:colOff>19050</xdr:colOff>
      <xdr:row>29</xdr:row>
      <xdr:rowOff>171451</xdr:rowOff>
    </xdr:to>
    <xdr:sp macro="" textlink="">
      <xdr:nvSpPr>
        <xdr:cNvPr id="224" name="Text Box 29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SpPr txBox="1">
          <a:spLocks noChangeArrowheads="1"/>
        </xdr:cNvSpPr>
      </xdr:nvSpPr>
      <xdr:spPr bwMode="auto">
        <a:xfrm>
          <a:off x="2133600" y="5505450"/>
          <a:ext cx="3571875" cy="152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28</xdr:row>
      <xdr:rowOff>104775</xdr:rowOff>
    </xdr:from>
    <xdr:to>
      <xdr:col>7</xdr:col>
      <xdr:colOff>228600</xdr:colOff>
      <xdr:row>28</xdr:row>
      <xdr:rowOff>180975</xdr:rowOff>
    </xdr:to>
    <xdr:sp macro="" textlink="">
      <xdr:nvSpPr>
        <xdr:cNvPr id="225" name="Text Box 27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SpPr txBox="1">
          <a:spLocks noChangeArrowheads="1"/>
        </xdr:cNvSpPr>
      </xdr:nvSpPr>
      <xdr:spPr bwMode="auto">
        <a:xfrm>
          <a:off x="2343150" y="8486775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742950</xdr:colOff>
      <xdr:row>25</xdr:row>
      <xdr:rowOff>0</xdr:rowOff>
    </xdr:from>
    <xdr:to>
      <xdr:col>9</xdr:col>
      <xdr:colOff>485775</xdr:colOff>
      <xdr:row>25</xdr:row>
      <xdr:rowOff>161925</xdr:rowOff>
    </xdr:to>
    <xdr:sp macro="" textlink="">
      <xdr:nvSpPr>
        <xdr:cNvPr id="226" name="Text Box 24"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SpPr txBox="1">
          <a:spLocks noChangeArrowheads="1"/>
        </xdr:cNvSpPr>
      </xdr:nvSpPr>
      <xdr:spPr bwMode="auto">
        <a:xfrm>
          <a:off x="2476500" y="6010275"/>
          <a:ext cx="49149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781050</xdr:colOff>
      <xdr:row>25</xdr:row>
      <xdr:rowOff>0</xdr:rowOff>
    </xdr:from>
    <xdr:to>
      <xdr:col>7</xdr:col>
      <xdr:colOff>400050</xdr:colOff>
      <xdr:row>25</xdr:row>
      <xdr:rowOff>76200</xdr:rowOff>
    </xdr:to>
    <xdr:sp macro="" textlink="">
      <xdr:nvSpPr>
        <xdr:cNvPr id="227" name="Text Box 25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SpPr txBox="1">
          <a:spLocks noChangeArrowheads="1"/>
        </xdr:cNvSpPr>
      </xdr:nvSpPr>
      <xdr:spPr bwMode="auto">
        <a:xfrm>
          <a:off x="2514600" y="6991350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828675</xdr:colOff>
      <xdr:row>25</xdr:row>
      <xdr:rowOff>0</xdr:rowOff>
    </xdr:from>
    <xdr:to>
      <xdr:col>7</xdr:col>
      <xdr:colOff>314325</xdr:colOff>
      <xdr:row>25</xdr:row>
      <xdr:rowOff>161925</xdr:rowOff>
    </xdr:to>
    <xdr:sp macro="" textlink="">
      <xdr:nvSpPr>
        <xdr:cNvPr id="228" name="Text Box 22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SpPr txBox="1">
          <a:spLocks noChangeArrowheads="1"/>
        </xdr:cNvSpPr>
      </xdr:nvSpPr>
      <xdr:spPr bwMode="auto">
        <a:xfrm>
          <a:off x="828675" y="5981700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25</xdr:row>
      <xdr:rowOff>0</xdr:rowOff>
    </xdr:from>
    <xdr:to>
      <xdr:col>6</xdr:col>
      <xdr:colOff>400050</xdr:colOff>
      <xdr:row>25</xdr:row>
      <xdr:rowOff>76200</xdr:rowOff>
    </xdr:to>
    <xdr:sp macro="" textlink="">
      <xdr:nvSpPr>
        <xdr:cNvPr id="229" name="Text Box 23">
          <a:extLst>
            <a:ext uri="{FF2B5EF4-FFF2-40B4-BE49-F238E27FC236}">
              <a16:creationId xmlns:a16="http://schemas.microsoft.com/office/drawing/2014/main" id="{00000000-0008-0000-0300-0000E5000000}"/>
            </a:ext>
          </a:extLst>
        </xdr:cNvPr>
        <xdr:cNvSpPr txBox="1">
          <a:spLocks noChangeArrowheads="1"/>
        </xdr:cNvSpPr>
      </xdr:nvSpPr>
      <xdr:spPr bwMode="auto">
        <a:xfrm>
          <a:off x="1819275" y="6238875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400050</xdr:colOff>
      <xdr:row>25</xdr:row>
      <xdr:rowOff>161925</xdr:rowOff>
    </xdr:to>
    <xdr:sp macro="" textlink="">
      <xdr:nvSpPr>
        <xdr:cNvPr id="230" name="Text Box 20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SpPr txBox="1">
          <a:spLocks noChangeArrowheads="1"/>
        </xdr:cNvSpPr>
      </xdr:nvSpPr>
      <xdr:spPr bwMode="auto">
        <a:xfrm>
          <a:off x="914400" y="6819900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619125</xdr:colOff>
      <xdr:row>25</xdr:row>
      <xdr:rowOff>0</xdr:rowOff>
    </xdr:from>
    <xdr:to>
      <xdr:col>6</xdr:col>
      <xdr:colOff>123825</xdr:colOff>
      <xdr:row>25</xdr:row>
      <xdr:rowOff>161925</xdr:rowOff>
    </xdr:to>
    <xdr:sp macro="" textlink="">
      <xdr:nvSpPr>
        <xdr:cNvPr id="231" name="Text Box 21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SpPr txBox="1">
          <a:spLocks noChangeArrowheads="1"/>
        </xdr:cNvSpPr>
      </xdr:nvSpPr>
      <xdr:spPr bwMode="auto">
        <a:xfrm>
          <a:off x="1533525" y="6324600"/>
          <a:ext cx="35814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485775</xdr:colOff>
      <xdr:row>25</xdr:row>
      <xdr:rowOff>0</xdr:rowOff>
    </xdr:from>
    <xdr:to>
      <xdr:col>8</xdr:col>
      <xdr:colOff>276225</xdr:colOff>
      <xdr:row>25</xdr:row>
      <xdr:rowOff>161925</xdr:rowOff>
    </xdr:to>
    <xdr:sp macro="" textlink="">
      <xdr:nvSpPr>
        <xdr:cNvPr id="232" name="Text Box 18">
          <a:extLst>
            <a:ext uri="{FF2B5EF4-FFF2-40B4-BE49-F238E27FC236}">
              <a16:creationId xmlns:a16="http://schemas.microsoft.com/office/drawing/2014/main" id="{00000000-0008-0000-0300-0000E8000000}"/>
            </a:ext>
          </a:extLst>
        </xdr:cNvPr>
        <xdr:cNvSpPr txBox="1">
          <a:spLocks noChangeArrowheads="1"/>
        </xdr:cNvSpPr>
      </xdr:nvSpPr>
      <xdr:spPr bwMode="auto">
        <a:xfrm>
          <a:off x="1400175" y="6419850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238125</xdr:colOff>
      <xdr:row>36</xdr:row>
      <xdr:rowOff>173356</xdr:rowOff>
    </xdr:from>
    <xdr:to>
      <xdr:col>5</xdr:col>
      <xdr:colOff>514350</xdr:colOff>
      <xdr:row>37</xdr:row>
      <xdr:rowOff>28575</xdr:rowOff>
    </xdr:to>
    <xdr:sp macro="" textlink="">
      <xdr:nvSpPr>
        <xdr:cNvPr id="233" name="Text Box 19"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SpPr txBox="1">
          <a:spLocks noChangeArrowheads="1"/>
        </xdr:cNvSpPr>
      </xdr:nvSpPr>
      <xdr:spPr bwMode="auto">
        <a:xfrm flipV="1">
          <a:off x="1152525" y="6993256"/>
          <a:ext cx="35814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14</xdr:row>
      <xdr:rowOff>0</xdr:rowOff>
    </xdr:from>
    <xdr:to>
      <xdr:col>1</xdr:col>
      <xdr:colOff>285750</xdr:colOff>
      <xdr:row>14</xdr:row>
      <xdr:rowOff>28575</xdr:rowOff>
    </xdr:to>
    <xdr:sp macro="" textlink="">
      <xdr:nvSpPr>
        <xdr:cNvPr id="234" name="Text Box 1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SpPr txBox="1">
          <a:spLocks noChangeArrowheads="1"/>
        </xdr:cNvSpPr>
      </xdr:nvSpPr>
      <xdr:spPr bwMode="auto">
        <a:xfrm>
          <a:off x="1143000" y="295275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428625</xdr:colOff>
      <xdr:row>25</xdr:row>
      <xdr:rowOff>0</xdr:rowOff>
    </xdr:from>
    <xdr:to>
      <xdr:col>6</xdr:col>
      <xdr:colOff>352425</xdr:colOff>
      <xdr:row>25</xdr:row>
      <xdr:rowOff>152400</xdr:rowOff>
    </xdr:to>
    <xdr:sp macro="" textlink="">
      <xdr:nvSpPr>
        <xdr:cNvPr id="235" name="Text Box 32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SpPr txBox="1">
          <a:spLocks noChangeArrowheads="1"/>
        </xdr:cNvSpPr>
      </xdr:nvSpPr>
      <xdr:spPr bwMode="auto">
        <a:xfrm>
          <a:off x="428625" y="6143625"/>
          <a:ext cx="49149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333375</xdr:colOff>
      <xdr:row>25</xdr:row>
      <xdr:rowOff>0</xdr:rowOff>
    </xdr:from>
    <xdr:to>
      <xdr:col>5</xdr:col>
      <xdr:colOff>600075</xdr:colOff>
      <xdr:row>25</xdr:row>
      <xdr:rowOff>133350</xdr:rowOff>
    </xdr:to>
    <xdr:sp macro="" textlink="">
      <xdr:nvSpPr>
        <xdr:cNvPr id="236" name="Text Box 33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SpPr txBox="1">
          <a:spLocks noChangeArrowheads="1"/>
        </xdr:cNvSpPr>
      </xdr:nvSpPr>
      <xdr:spPr bwMode="auto">
        <a:xfrm>
          <a:off x="1247775" y="6076950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581025</xdr:colOff>
      <xdr:row>25</xdr:row>
      <xdr:rowOff>0</xdr:rowOff>
    </xdr:from>
    <xdr:to>
      <xdr:col>8</xdr:col>
      <xdr:colOff>114300</xdr:colOff>
      <xdr:row>25</xdr:row>
      <xdr:rowOff>152400</xdr:rowOff>
    </xdr:to>
    <xdr:sp macro="" textlink="">
      <xdr:nvSpPr>
        <xdr:cNvPr id="237" name="Text Box 30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SpPr txBox="1">
          <a:spLocks noChangeArrowheads="1"/>
        </xdr:cNvSpPr>
      </xdr:nvSpPr>
      <xdr:spPr bwMode="auto">
        <a:xfrm>
          <a:off x="1495425" y="6734175"/>
          <a:ext cx="49149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409575</xdr:colOff>
      <xdr:row>25</xdr:row>
      <xdr:rowOff>0</xdr:rowOff>
    </xdr:from>
    <xdr:to>
      <xdr:col>7</xdr:col>
      <xdr:colOff>28575</xdr:colOff>
      <xdr:row>25</xdr:row>
      <xdr:rowOff>133350</xdr:rowOff>
    </xdr:to>
    <xdr:sp macro="" textlink="">
      <xdr:nvSpPr>
        <xdr:cNvPr id="238" name="Text Box 31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SpPr txBox="1">
          <a:spLocks noChangeArrowheads="1"/>
        </xdr:cNvSpPr>
      </xdr:nvSpPr>
      <xdr:spPr bwMode="auto">
        <a:xfrm>
          <a:off x="2143125" y="5715000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361950</xdr:colOff>
      <xdr:row>25</xdr:row>
      <xdr:rowOff>0</xdr:rowOff>
    </xdr:from>
    <xdr:to>
      <xdr:col>6</xdr:col>
      <xdr:colOff>676275</xdr:colOff>
      <xdr:row>25</xdr:row>
      <xdr:rowOff>133350</xdr:rowOff>
    </xdr:to>
    <xdr:sp macro="" textlink="">
      <xdr:nvSpPr>
        <xdr:cNvPr id="239" name="Text Box 29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SpPr txBox="1">
          <a:spLocks noChangeArrowheads="1"/>
        </xdr:cNvSpPr>
      </xdr:nvSpPr>
      <xdr:spPr bwMode="auto">
        <a:xfrm>
          <a:off x="2095500" y="6677025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514350</xdr:colOff>
      <xdr:row>25</xdr:row>
      <xdr:rowOff>0</xdr:rowOff>
    </xdr:from>
    <xdr:to>
      <xdr:col>7</xdr:col>
      <xdr:colOff>133350</xdr:colOff>
      <xdr:row>25</xdr:row>
      <xdr:rowOff>76200</xdr:rowOff>
    </xdr:to>
    <xdr:sp macro="" textlink="">
      <xdr:nvSpPr>
        <xdr:cNvPr id="240" name="Text Box 27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SpPr txBox="1">
          <a:spLocks noChangeArrowheads="1"/>
        </xdr:cNvSpPr>
      </xdr:nvSpPr>
      <xdr:spPr bwMode="auto">
        <a:xfrm>
          <a:off x="2247900" y="6677025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742950</xdr:colOff>
      <xdr:row>25</xdr:row>
      <xdr:rowOff>0</xdr:rowOff>
    </xdr:from>
    <xdr:to>
      <xdr:col>9</xdr:col>
      <xdr:colOff>485775</xdr:colOff>
      <xdr:row>25</xdr:row>
      <xdr:rowOff>161925</xdr:rowOff>
    </xdr:to>
    <xdr:sp macro="" textlink="">
      <xdr:nvSpPr>
        <xdr:cNvPr id="241" name="Text Box 24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SpPr txBox="1">
          <a:spLocks noChangeArrowheads="1"/>
        </xdr:cNvSpPr>
      </xdr:nvSpPr>
      <xdr:spPr bwMode="auto">
        <a:xfrm>
          <a:off x="2476500" y="6200775"/>
          <a:ext cx="49149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314325</xdr:colOff>
      <xdr:row>25</xdr:row>
      <xdr:rowOff>0</xdr:rowOff>
    </xdr:from>
    <xdr:to>
      <xdr:col>6</xdr:col>
      <xdr:colOff>628650</xdr:colOff>
      <xdr:row>25</xdr:row>
      <xdr:rowOff>76200</xdr:rowOff>
    </xdr:to>
    <xdr:sp macro="" textlink="">
      <xdr:nvSpPr>
        <xdr:cNvPr id="242" name="Text Box 25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SpPr txBox="1">
          <a:spLocks noChangeArrowheads="1"/>
        </xdr:cNvSpPr>
      </xdr:nvSpPr>
      <xdr:spPr bwMode="auto">
        <a:xfrm>
          <a:off x="2047875" y="6886575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25</xdr:row>
      <xdr:rowOff>0</xdr:rowOff>
    </xdr:from>
    <xdr:to>
      <xdr:col>8</xdr:col>
      <xdr:colOff>95250</xdr:colOff>
      <xdr:row>25</xdr:row>
      <xdr:rowOff>161925</xdr:rowOff>
    </xdr:to>
    <xdr:sp macro="" textlink="">
      <xdr:nvSpPr>
        <xdr:cNvPr id="243" name="Text Box 22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SpPr txBox="1">
          <a:spLocks noChangeArrowheads="1"/>
        </xdr:cNvSpPr>
      </xdr:nvSpPr>
      <xdr:spPr bwMode="auto">
        <a:xfrm>
          <a:off x="1219200" y="6705600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695325</xdr:colOff>
      <xdr:row>25</xdr:row>
      <xdr:rowOff>0</xdr:rowOff>
    </xdr:from>
    <xdr:to>
      <xdr:col>7</xdr:col>
      <xdr:colOff>314325</xdr:colOff>
      <xdr:row>25</xdr:row>
      <xdr:rowOff>76200</xdr:rowOff>
    </xdr:to>
    <xdr:sp macro="" textlink="">
      <xdr:nvSpPr>
        <xdr:cNvPr id="244" name="Text Box 23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SpPr txBox="1">
          <a:spLocks noChangeArrowheads="1"/>
        </xdr:cNvSpPr>
      </xdr:nvSpPr>
      <xdr:spPr bwMode="auto">
        <a:xfrm>
          <a:off x="2428875" y="7334250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514350</xdr:colOff>
      <xdr:row>25</xdr:row>
      <xdr:rowOff>0</xdr:rowOff>
    </xdr:from>
    <xdr:to>
      <xdr:col>8</xdr:col>
      <xdr:colOff>304800</xdr:colOff>
      <xdr:row>25</xdr:row>
      <xdr:rowOff>161925</xdr:rowOff>
    </xdr:to>
    <xdr:sp macro="" textlink="">
      <xdr:nvSpPr>
        <xdr:cNvPr id="245" name="Text Box 20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SpPr txBox="1">
          <a:spLocks noChangeArrowheads="1"/>
        </xdr:cNvSpPr>
      </xdr:nvSpPr>
      <xdr:spPr bwMode="auto">
        <a:xfrm>
          <a:off x="1428750" y="6105525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257175</xdr:colOff>
      <xdr:row>25</xdr:row>
      <xdr:rowOff>0</xdr:rowOff>
    </xdr:from>
    <xdr:to>
      <xdr:col>6</xdr:col>
      <xdr:colOff>581025</xdr:colOff>
      <xdr:row>25</xdr:row>
      <xdr:rowOff>161925</xdr:rowOff>
    </xdr:to>
    <xdr:sp macro="" textlink="">
      <xdr:nvSpPr>
        <xdr:cNvPr id="246" name="Text Box 21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 txBox="1">
          <a:spLocks noChangeArrowheads="1"/>
        </xdr:cNvSpPr>
      </xdr:nvSpPr>
      <xdr:spPr bwMode="auto">
        <a:xfrm>
          <a:off x="1990725" y="6610350"/>
          <a:ext cx="35814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438150</xdr:colOff>
      <xdr:row>25</xdr:row>
      <xdr:rowOff>0</xdr:rowOff>
    </xdr:from>
    <xdr:to>
      <xdr:col>8</xdr:col>
      <xdr:colOff>228600</xdr:colOff>
      <xdr:row>25</xdr:row>
      <xdr:rowOff>161925</xdr:rowOff>
    </xdr:to>
    <xdr:sp macro="" textlink="">
      <xdr:nvSpPr>
        <xdr:cNvPr id="247" name="Text Box 18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SpPr txBox="1">
          <a:spLocks noChangeArrowheads="1"/>
        </xdr:cNvSpPr>
      </xdr:nvSpPr>
      <xdr:spPr bwMode="auto">
        <a:xfrm>
          <a:off x="1352550" y="5972175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542925</xdr:colOff>
      <xdr:row>25</xdr:row>
      <xdr:rowOff>0</xdr:rowOff>
    </xdr:from>
    <xdr:to>
      <xdr:col>6</xdr:col>
      <xdr:colOff>47625</xdr:colOff>
      <xdr:row>25</xdr:row>
      <xdr:rowOff>161925</xdr:rowOff>
    </xdr:to>
    <xdr:sp macro="" textlink="">
      <xdr:nvSpPr>
        <xdr:cNvPr id="248" name="Text Box 19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SpPr txBox="1">
          <a:spLocks noChangeArrowheads="1"/>
        </xdr:cNvSpPr>
      </xdr:nvSpPr>
      <xdr:spPr bwMode="auto">
        <a:xfrm>
          <a:off x="1457325" y="5524500"/>
          <a:ext cx="35814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15</xdr:row>
      <xdr:rowOff>0</xdr:rowOff>
    </xdr:from>
    <xdr:to>
      <xdr:col>1</xdr:col>
      <xdr:colOff>285750</xdr:colOff>
      <xdr:row>15</xdr:row>
      <xdr:rowOff>28575</xdr:rowOff>
    </xdr:to>
    <xdr:sp macro="" textlink="">
      <xdr:nvSpPr>
        <xdr:cNvPr id="249" name="Text Box 1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SpPr txBox="1">
          <a:spLocks noChangeArrowheads="1"/>
        </xdr:cNvSpPr>
      </xdr:nvSpPr>
      <xdr:spPr bwMode="auto">
        <a:xfrm>
          <a:off x="1143000" y="315277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25</xdr:row>
      <xdr:rowOff>0</xdr:rowOff>
    </xdr:from>
    <xdr:to>
      <xdr:col>8</xdr:col>
      <xdr:colOff>38100</xdr:colOff>
      <xdr:row>25</xdr:row>
      <xdr:rowOff>133350</xdr:rowOff>
    </xdr:to>
    <xdr:sp macro="" textlink="">
      <xdr:nvSpPr>
        <xdr:cNvPr id="250" name="Text Box 36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SpPr txBox="1">
          <a:spLocks noChangeArrowheads="1"/>
        </xdr:cNvSpPr>
      </xdr:nvSpPr>
      <xdr:spPr bwMode="auto">
        <a:xfrm>
          <a:off x="2762250" y="6686550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390525</xdr:colOff>
      <xdr:row>25</xdr:row>
      <xdr:rowOff>0</xdr:rowOff>
    </xdr:from>
    <xdr:to>
      <xdr:col>9</xdr:col>
      <xdr:colOff>133350</xdr:colOff>
      <xdr:row>25</xdr:row>
      <xdr:rowOff>152400</xdr:rowOff>
    </xdr:to>
    <xdr:sp macro="" textlink="">
      <xdr:nvSpPr>
        <xdr:cNvPr id="251" name="Text Box 32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SpPr txBox="1">
          <a:spLocks noChangeArrowheads="1"/>
        </xdr:cNvSpPr>
      </xdr:nvSpPr>
      <xdr:spPr bwMode="auto">
        <a:xfrm>
          <a:off x="2124075" y="5486400"/>
          <a:ext cx="49149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590550</xdr:colOff>
      <xdr:row>25</xdr:row>
      <xdr:rowOff>0</xdr:rowOff>
    </xdr:from>
    <xdr:to>
      <xdr:col>7</xdr:col>
      <xdr:colOff>209550</xdr:colOff>
      <xdr:row>25</xdr:row>
      <xdr:rowOff>133350</xdr:rowOff>
    </xdr:to>
    <xdr:sp macro="" textlink="">
      <xdr:nvSpPr>
        <xdr:cNvPr id="252" name="Text Box 33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SpPr txBox="1">
          <a:spLocks noChangeArrowheads="1"/>
        </xdr:cNvSpPr>
      </xdr:nvSpPr>
      <xdr:spPr bwMode="auto">
        <a:xfrm>
          <a:off x="2324100" y="6829425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561975</xdr:colOff>
      <xdr:row>25</xdr:row>
      <xdr:rowOff>0</xdr:rowOff>
    </xdr:from>
    <xdr:to>
      <xdr:col>9</xdr:col>
      <xdr:colOff>304800</xdr:colOff>
      <xdr:row>25</xdr:row>
      <xdr:rowOff>152400</xdr:rowOff>
    </xdr:to>
    <xdr:sp macro="" textlink="">
      <xdr:nvSpPr>
        <xdr:cNvPr id="253" name="Text Box 30"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SpPr txBox="1">
          <a:spLocks noChangeArrowheads="1"/>
        </xdr:cNvSpPr>
      </xdr:nvSpPr>
      <xdr:spPr bwMode="auto">
        <a:xfrm>
          <a:off x="2295525" y="5886450"/>
          <a:ext cx="49149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666750</xdr:colOff>
      <xdr:row>25</xdr:row>
      <xdr:rowOff>0</xdr:rowOff>
    </xdr:from>
    <xdr:to>
      <xdr:col>7</xdr:col>
      <xdr:colOff>285750</xdr:colOff>
      <xdr:row>25</xdr:row>
      <xdr:rowOff>133350</xdr:rowOff>
    </xdr:to>
    <xdr:sp macro="" textlink="">
      <xdr:nvSpPr>
        <xdr:cNvPr id="254" name="Text Box 31"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SpPr txBox="1">
          <a:spLocks noChangeArrowheads="1"/>
        </xdr:cNvSpPr>
      </xdr:nvSpPr>
      <xdr:spPr bwMode="auto">
        <a:xfrm>
          <a:off x="2400300" y="6534150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695325</xdr:colOff>
      <xdr:row>25</xdr:row>
      <xdr:rowOff>0</xdr:rowOff>
    </xdr:from>
    <xdr:to>
      <xdr:col>7</xdr:col>
      <xdr:colOff>314325</xdr:colOff>
      <xdr:row>25</xdr:row>
      <xdr:rowOff>133350</xdr:rowOff>
    </xdr:to>
    <xdr:sp macro="" textlink="">
      <xdr:nvSpPr>
        <xdr:cNvPr id="255" name="Text Box 29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SpPr txBox="1">
          <a:spLocks noChangeArrowheads="1"/>
        </xdr:cNvSpPr>
      </xdr:nvSpPr>
      <xdr:spPr bwMode="auto">
        <a:xfrm>
          <a:off x="2428875" y="5476875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409575</xdr:colOff>
      <xdr:row>25</xdr:row>
      <xdr:rowOff>0</xdr:rowOff>
    </xdr:from>
    <xdr:to>
      <xdr:col>7</xdr:col>
      <xdr:colOff>28575</xdr:colOff>
      <xdr:row>25</xdr:row>
      <xdr:rowOff>76200</xdr:rowOff>
    </xdr:to>
    <xdr:sp macro="" textlink="">
      <xdr:nvSpPr>
        <xdr:cNvPr id="256" name="Text Box 27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SpPr txBox="1">
          <a:spLocks noChangeArrowheads="1"/>
        </xdr:cNvSpPr>
      </xdr:nvSpPr>
      <xdr:spPr bwMode="auto">
        <a:xfrm>
          <a:off x="2143125" y="6419850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361950</xdr:colOff>
      <xdr:row>25</xdr:row>
      <xdr:rowOff>0</xdr:rowOff>
    </xdr:from>
    <xdr:to>
      <xdr:col>6</xdr:col>
      <xdr:colOff>676275</xdr:colOff>
      <xdr:row>25</xdr:row>
      <xdr:rowOff>76200</xdr:rowOff>
    </xdr:to>
    <xdr:sp macro="" textlink="">
      <xdr:nvSpPr>
        <xdr:cNvPr id="257" name="Text Box 25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SpPr txBox="1">
          <a:spLocks noChangeArrowheads="1"/>
        </xdr:cNvSpPr>
      </xdr:nvSpPr>
      <xdr:spPr bwMode="auto">
        <a:xfrm>
          <a:off x="2095500" y="6619875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25</xdr:row>
      <xdr:rowOff>0</xdr:rowOff>
    </xdr:from>
    <xdr:to>
      <xdr:col>9</xdr:col>
      <xdr:colOff>266700</xdr:colOff>
      <xdr:row>25</xdr:row>
      <xdr:rowOff>161925</xdr:rowOff>
    </xdr:to>
    <xdr:sp macro="" textlink="">
      <xdr:nvSpPr>
        <xdr:cNvPr id="258" name="Text Box 22">
          <a:extLst>
            <a:ext uri="{FF2B5EF4-FFF2-40B4-BE49-F238E27FC236}">
              <a16:creationId xmlns:a16="http://schemas.microsoft.com/office/drawing/2014/main" id="{00000000-0008-0000-0300-000002010000}"/>
            </a:ext>
          </a:extLst>
        </xdr:cNvPr>
        <xdr:cNvSpPr txBox="1">
          <a:spLocks noChangeArrowheads="1"/>
        </xdr:cNvSpPr>
      </xdr:nvSpPr>
      <xdr:spPr bwMode="auto">
        <a:xfrm>
          <a:off x="2000250" y="5505450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914400</xdr:colOff>
      <xdr:row>25</xdr:row>
      <xdr:rowOff>0</xdr:rowOff>
    </xdr:from>
    <xdr:to>
      <xdr:col>7</xdr:col>
      <xdr:colOff>533400</xdr:colOff>
      <xdr:row>25</xdr:row>
      <xdr:rowOff>76200</xdr:rowOff>
    </xdr:to>
    <xdr:sp macro="" textlink="">
      <xdr:nvSpPr>
        <xdr:cNvPr id="259" name="Text Box 23">
          <a:extLst>
            <a:ext uri="{FF2B5EF4-FFF2-40B4-BE49-F238E27FC236}">
              <a16:creationId xmlns:a16="http://schemas.microsoft.com/office/drawing/2014/main" id="{00000000-0008-0000-0300-000003010000}"/>
            </a:ext>
          </a:extLst>
        </xdr:cNvPr>
        <xdr:cNvSpPr txBox="1">
          <a:spLocks noChangeArrowheads="1"/>
        </xdr:cNvSpPr>
      </xdr:nvSpPr>
      <xdr:spPr bwMode="auto">
        <a:xfrm>
          <a:off x="2647950" y="6381750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495300</xdr:colOff>
      <xdr:row>25</xdr:row>
      <xdr:rowOff>0</xdr:rowOff>
    </xdr:from>
    <xdr:to>
      <xdr:col>9</xdr:col>
      <xdr:colOff>495300</xdr:colOff>
      <xdr:row>25</xdr:row>
      <xdr:rowOff>161925</xdr:rowOff>
    </xdr:to>
    <xdr:sp macro="" textlink="">
      <xdr:nvSpPr>
        <xdr:cNvPr id="260" name="Text Box 20">
          <a:extLst>
            <a:ext uri="{FF2B5EF4-FFF2-40B4-BE49-F238E27FC236}">
              <a16:creationId xmlns:a16="http://schemas.microsoft.com/office/drawing/2014/main" id="{00000000-0008-0000-0300-000004010000}"/>
            </a:ext>
          </a:extLst>
        </xdr:cNvPr>
        <xdr:cNvSpPr txBox="1">
          <a:spLocks noChangeArrowheads="1"/>
        </xdr:cNvSpPr>
      </xdr:nvSpPr>
      <xdr:spPr bwMode="auto">
        <a:xfrm>
          <a:off x="2228850" y="5915025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400050</xdr:colOff>
      <xdr:row>25</xdr:row>
      <xdr:rowOff>0</xdr:rowOff>
    </xdr:from>
    <xdr:to>
      <xdr:col>5</xdr:col>
      <xdr:colOff>676275</xdr:colOff>
      <xdr:row>25</xdr:row>
      <xdr:rowOff>161925</xdr:rowOff>
    </xdr:to>
    <xdr:sp macro="" textlink="">
      <xdr:nvSpPr>
        <xdr:cNvPr id="261" name="Text Box 21">
          <a:extLst>
            <a:ext uri="{FF2B5EF4-FFF2-40B4-BE49-F238E27FC236}">
              <a16:creationId xmlns:a16="http://schemas.microsoft.com/office/drawing/2014/main" id="{00000000-0008-0000-0300-000005010000}"/>
            </a:ext>
          </a:extLst>
        </xdr:cNvPr>
        <xdr:cNvSpPr txBox="1">
          <a:spLocks noChangeArrowheads="1"/>
        </xdr:cNvSpPr>
      </xdr:nvSpPr>
      <xdr:spPr bwMode="auto">
        <a:xfrm>
          <a:off x="1314450" y="5476875"/>
          <a:ext cx="35814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16</xdr:row>
      <xdr:rowOff>0</xdr:rowOff>
    </xdr:from>
    <xdr:to>
      <xdr:col>1</xdr:col>
      <xdr:colOff>285750</xdr:colOff>
      <xdr:row>16</xdr:row>
      <xdr:rowOff>28575</xdr:rowOff>
    </xdr:to>
    <xdr:sp macro="" textlink="">
      <xdr:nvSpPr>
        <xdr:cNvPr id="262" name="Text Box 1">
          <a:extLst>
            <a:ext uri="{FF2B5EF4-FFF2-40B4-BE49-F238E27FC236}">
              <a16:creationId xmlns:a16="http://schemas.microsoft.com/office/drawing/2014/main" id="{00000000-0008-0000-0300-000006010000}"/>
            </a:ext>
          </a:extLst>
        </xdr:cNvPr>
        <xdr:cNvSpPr txBox="1">
          <a:spLocks noChangeArrowheads="1"/>
        </xdr:cNvSpPr>
      </xdr:nvSpPr>
      <xdr:spPr bwMode="auto">
        <a:xfrm>
          <a:off x="1143000" y="335280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238125</xdr:colOff>
      <xdr:row>25</xdr:row>
      <xdr:rowOff>0</xdr:rowOff>
    </xdr:from>
    <xdr:to>
      <xdr:col>6</xdr:col>
      <xdr:colOff>552450</xdr:colOff>
      <xdr:row>25</xdr:row>
      <xdr:rowOff>133350</xdr:rowOff>
    </xdr:to>
    <xdr:sp macro="" textlink="">
      <xdr:nvSpPr>
        <xdr:cNvPr id="263" name="Text Box 36">
          <a:extLst>
            <a:ext uri="{FF2B5EF4-FFF2-40B4-BE49-F238E27FC236}">
              <a16:creationId xmlns:a16="http://schemas.microsoft.com/office/drawing/2014/main" id="{00000000-0008-0000-0300-000007010000}"/>
            </a:ext>
          </a:extLst>
        </xdr:cNvPr>
        <xdr:cNvSpPr txBox="1">
          <a:spLocks noChangeArrowheads="1"/>
        </xdr:cNvSpPr>
      </xdr:nvSpPr>
      <xdr:spPr bwMode="auto">
        <a:xfrm>
          <a:off x="1971675" y="7077075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523875</xdr:colOff>
      <xdr:row>25</xdr:row>
      <xdr:rowOff>0</xdr:rowOff>
    </xdr:from>
    <xdr:to>
      <xdr:col>9</xdr:col>
      <xdr:colOff>266700</xdr:colOff>
      <xdr:row>25</xdr:row>
      <xdr:rowOff>152400</xdr:rowOff>
    </xdr:to>
    <xdr:sp macro="" textlink="">
      <xdr:nvSpPr>
        <xdr:cNvPr id="264" name="Text Box 32">
          <a:extLst>
            <a:ext uri="{FF2B5EF4-FFF2-40B4-BE49-F238E27FC236}">
              <a16:creationId xmlns:a16="http://schemas.microsoft.com/office/drawing/2014/main" id="{00000000-0008-0000-0300-000008010000}"/>
            </a:ext>
          </a:extLst>
        </xdr:cNvPr>
        <xdr:cNvSpPr txBox="1">
          <a:spLocks noChangeArrowheads="1"/>
        </xdr:cNvSpPr>
      </xdr:nvSpPr>
      <xdr:spPr bwMode="auto">
        <a:xfrm>
          <a:off x="2257425" y="6486525"/>
          <a:ext cx="49149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25</xdr:row>
      <xdr:rowOff>0</xdr:rowOff>
    </xdr:from>
    <xdr:to>
      <xdr:col>6</xdr:col>
      <xdr:colOff>400050</xdr:colOff>
      <xdr:row>25</xdr:row>
      <xdr:rowOff>133350</xdr:rowOff>
    </xdr:to>
    <xdr:sp macro="" textlink="">
      <xdr:nvSpPr>
        <xdr:cNvPr id="265" name="Text Box 33">
          <a:extLst>
            <a:ext uri="{FF2B5EF4-FFF2-40B4-BE49-F238E27FC236}">
              <a16:creationId xmlns:a16="http://schemas.microsoft.com/office/drawing/2014/main" id="{00000000-0008-0000-0300-000009010000}"/>
            </a:ext>
          </a:extLst>
        </xdr:cNvPr>
        <xdr:cNvSpPr txBox="1">
          <a:spLocks noChangeArrowheads="1"/>
        </xdr:cNvSpPr>
      </xdr:nvSpPr>
      <xdr:spPr bwMode="auto">
        <a:xfrm>
          <a:off x="1819275" y="6915150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38100</xdr:colOff>
      <xdr:row>25</xdr:row>
      <xdr:rowOff>0</xdr:rowOff>
    </xdr:from>
    <xdr:to>
      <xdr:col>10</xdr:col>
      <xdr:colOff>180975</xdr:colOff>
      <xdr:row>25</xdr:row>
      <xdr:rowOff>152400</xdr:rowOff>
    </xdr:to>
    <xdr:sp macro="" textlink="">
      <xdr:nvSpPr>
        <xdr:cNvPr id="266" name="Text Box 30"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SpPr txBox="1">
          <a:spLocks noChangeArrowheads="1"/>
        </xdr:cNvSpPr>
      </xdr:nvSpPr>
      <xdr:spPr bwMode="auto">
        <a:xfrm>
          <a:off x="2781300" y="6619875"/>
          <a:ext cx="49149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885825</xdr:colOff>
      <xdr:row>25</xdr:row>
      <xdr:rowOff>0</xdr:rowOff>
    </xdr:from>
    <xdr:to>
      <xdr:col>7</xdr:col>
      <xdr:colOff>504825</xdr:colOff>
      <xdr:row>25</xdr:row>
      <xdr:rowOff>133350</xdr:rowOff>
    </xdr:to>
    <xdr:sp macro="" textlink="">
      <xdr:nvSpPr>
        <xdr:cNvPr id="267" name="Text Box 31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SpPr txBox="1">
          <a:spLocks noChangeArrowheads="1"/>
        </xdr:cNvSpPr>
      </xdr:nvSpPr>
      <xdr:spPr bwMode="auto">
        <a:xfrm>
          <a:off x="2619375" y="5962650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552450</xdr:colOff>
      <xdr:row>25</xdr:row>
      <xdr:rowOff>0</xdr:rowOff>
    </xdr:from>
    <xdr:to>
      <xdr:col>7</xdr:col>
      <xdr:colOff>171450</xdr:colOff>
      <xdr:row>25</xdr:row>
      <xdr:rowOff>76200</xdr:rowOff>
    </xdr:to>
    <xdr:sp macro="" textlink="">
      <xdr:nvSpPr>
        <xdr:cNvPr id="269" name="Text Box 27"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SpPr txBox="1">
          <a:spLocks noChangeArrowheads="1"/>
        </xdr:cNvSpPr>
      </xdr:nvSpPr>
      <xdr:spPr bwMode="auto">
        <a:xfrm>
          <a:off x="2286000" y="6276975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438150</xdr:colOff>
      <xdr:row>25</xdr:row>
      <xdr:rowOff>0</xdr:rowOff>
    </xdr:from>
    <xdr:to>
      <xdr:col>7</xdr:col>
      <xdr:colOff>57150</xdr:colOff>
      <xdr:row>25</xdr:row>
      <xdr:rowOff>76200</xdr:rowOff>
    </xdr:to>
    <xdr:sp macro="" textlink="">
      <xdr:nvSpPr>
        <xdr:cNvPr id="270" name="Text Box 25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SpPr txBox="1">
          <a:spLocks noChangeArrowheads="1"/>
        </xdr:cNvSpPr>
      </xdr:nvSpPr>
      <xdr:spPr bwMode="auto">
        <a:xfrm>
          <a:off x="2171700" y="6915150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542925</xdr:colOff>
      <xdr:row>24</xdr:row>
      <xdr:rowOff>161925</xdr:rowOff>
    </xdr:from>
    <xdr:to>
      <xdr:col>8</xdr:col>
      <xdr:colOff>333375</xdr:colOff>
      <xdr:row>25</xdr:row>
      <xdr:rowOff>123825</xdr:rowOff>
    </xdr:to>
    <xdr:sp macro="" textlink="">
      <xdr:nvSpPr>
        <xdr:cNvPr id="271" name="Text Box 22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SpPr txBox="1">
          <a:spLocks noChangeArrowheads="1"/>
        </xdr:cNvSpPr>
      </xdr:nvSpPr>
      <xdr:spPr bwMode="auto">
        <a:xfrm>
          <a:off x="1457325" y="7772400"/>
          <a:ext cx="5172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904875</xdr:colOff>
      <xdr:row>25</xdr:row>
      <xdr:rowOff>0</xdr:rowOff>
    </xdr:from>
    <xdr:to>
      <xdr:col>7</xdr:col>
      <xdr:colOff>523875</xdr:colOff>
      <xdr:row>25</xdr:row>
      <xdr:rowOff>76200</xdr:rowOff>
    </xdr:to>
    <xdr:sp macro="" textlink="">
      <xdr:nvSpPr>
        <xdr:cNvPr id="272" name="Text Box 23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SpPr txBox="1">
          <a:spLocks noChangeArrowheads="1"/>
        </xdr:cNvSpPr>
      </xdr:nvSpPr>
      <xdr:spPr bwMode="auto">
        <a:xfrm>
          <a:off x="2638425" y="6572250"/>
          <a:ext cx="35718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17</xdr:row>
      <xdr:rowOff>0</xdr:rowOff>
    </xdr:from>
    <xdr:to>
      <xdr:col>1</xdr:col>
      <xdr:colOff>285750</xdr:colOff>
      <xdr:row>17</xdr:row>
      <xdr:rowOff>28575</xdr:rowOff>
    </xdr:to>
    <xdr:sp macro="" textlink="">
      <xdr:nvSpPr>
        <xdr:cNvPr id="273" name="Text Box 1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SpPr txBox="1">
          <a:spLocks noChangeArrowheads="1"/>
        </xdr:cNvSpPr>
      </xdr:nvSpPr>
      <xdr:spPr bwMode="auto">
        <a:xfrm>
          <a:off x="1143000" y="35528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247650</xdr:colOff>
      <xdr:row>25</xdr:row>
      <xdr:rowOff>0</xdr:rowOff>
    </xdr:from>
    <xdr:to>
      <xdr:col>6</xdr:col>
      <xdr:colOff>561975</xdr:colOff>
      <xdr:row>25</xdr:row>
      <xdr:rowOff>123825</xdr:rowOff>
    </xdr:to>
    <xdr:sp macro="" textlink="">
      <xdr:nvSpPr>
        <xdr:cNvPr id="274" name="Text Box 36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SpPr txBox="1">
          <a:spLocks noChangeArrowheads="1"/>
        </xdr:cNvSpPr>
      </xdr:nvSpPr>
      <xdr:spPr bwMode="auto">
        <a:xfrm>
          <a:off x="1981200" y="6000750"/>
          <a:ext cx="3571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523875</xdr:colOff>
      <xdr:row>25</xdr:row>
      <xdr:rowOff>0</xdr:rowOff>
    </xdr:from>
    <xdr:to>
      <xdr:col>7</xdr:col>
      <xdr:colOff>142875</xdr:colOff>
      <xdr:row>25</xdr:row>
      <xdr:rowOff>133350</xdr:rowOff>
    </xdr:to>
    <xdr:sp macro="" textlink="">
      <xdr:nvSpPr>
        <xdr:cNvPr id="275" name="Text Box 36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SpPr txBox="1">
          <a:spLocks noChangeArrowheads="1"/>
        </xdr:cNvSpPr>
      </xdr:nvSpPr>
      <xdr:spPr bwMode="auto">
        <a:xfrm>
          <a:off x="2257425" y="6610350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25</xdr:row>
      <xdr:rowOff>0</xdr:rowOff>
    </xdr:from>
    <xdr:to>
      <xdr:col>6</xdr:col>
      <xdr:colOff>590550</xdr:colOff>
      <xdr:row>25</xdr:row>
      <xdr:rowOff>133350</xdr:rowOff>
    </xdr:to>
    <xdr:sp macro="" textlink="">
      <xdr:nvSpPr>
        <xdr:cNvPr id="276" name="Text Box 33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SpPr txBox="1">
          <a:spLocks noChangeArrowheads="1"/>
        </xdr:cNvSpPr>
      </xdr:nvSpPr>
      <xdr:spPr bwMode="auto">
        <a:xfrm>
          <a:off x="2009775" y="6515100"/>
          <a:ext cx="3571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257175</xdr:colOff>
      <xdr:row>18</xdr:row>
      <xdr:rowOff>104775</xdr:rowOff>
    </xdr:from>
    <xdr:to>
      <xdr:col>1</xdr:col>
      <xdr:colOff>314325</xdr:colOff>
      <xdr:row>18</xdr:row>
      <xdr:rowOff>133350</xdr:rowOff>
    </xdr:to>
    <xdr:sp macro="" textlink="">
      <xdr:nvSpPr>
        <xdr:cNvPr id="277" name="Text Box 1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SpPr txBox="1">
          <a:spLocks noChangeArrowheads="1"/>
        </xdr:cNvSpPr>
      </xdr:nvSpPr>
      <xdr:spPr bwMode="auto">
        <a:xfrm>
          <a:off x="1171575" y="38576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8</xdr:col>
      <xdr:colOff>400050</xdr:colOff>
      <xdr:row>2</xdr:row>
      <xdr:rowOff>161925</xdr:rowOff>
    </xdr:to>
    <xdr:sp macro="" textlink="">
      <xdr:nvSpPr>
        <xdr:cNvPr id="278" name="Text Box 20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SpPr txBox="1">
          <a:spLocks noChangeArrowheads="1"/>
        </xdr:cNvSpPr>
      </xdr:nvSpPr>
      <xdr:spPr bwMode="auto">
        <a:xfrm>
          <a:off x="1733550" y="533400"/>
          <a:ext cx="4962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</xdr:row>
      <xdr:rowOff>0</xdr:rowOff>
    </xdr:from>
    <xdr:to>
      <xdr:col>6</xdr:col>
      <xdr:colOff>295275</xdr:colOff>
      <xdr:row>2</xdr:row>
      <xdr:rowOff>161925</xdr:rowOff>
    </xdr:to>
    <xdr:sp macro="" textlink="">
      <xdr:nvSpPr>
        <xdr:cNvPr id="279" name="Text Box 21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SpPr txBox="1">
          <a:spLocks noChangeArrowheads="1"/>
        </xdr:cNvSpPr>
      </xdr:nvSpPr>
      <xdr:spPr bwMode="auto">
        <a:xfrm>
          <a:off x="1752600" y="533400"/>
          <a:ext cx="35337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8</xdr:col>
      <xdr:colOff>400050</xdr:colOff>
      <xdr:row>2</xdr:row>
      <xdr:rowOff>161925</xdr:rowOff>
    </xdr:to>
    <xdr:sp macro="" textlink="">
      <xdr:nvSpPr>
        <xdr:cNvPr id="280" name="Text Box 18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SpPr txBox="1">
          <a:spLocks noChangeArrowheads="1"/>
        </xdr:cNvSpPr>
      </xdr:nvSpPr>
      <xdr:spPr bwMode="auto">
        <a:xfrm>
          <a:off x="1733550" y="533400"/>
          <a:ext cx="4962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</xdr:row>
      <xdr:rowOff>0</xdr:rowOff>
    </xdr:from>
    <xdr:to>
      <xdr:col>6</xdr:col>
      <xdr:colOff>295275</xdr:colOff>
      <xdr:row>2</xdr:row>
      <xdr:rowOff>161925</xdr:rowOff>
    </xdr:to>
    <xdr:sp macro="" textlink="">
      <xdr:nvSpPr>
        <xdr:cNvPr id="281" name="Text Box 19">
          <a:extLst>
            <a:ext uri="{FF2B5EF4-FFF2-40B4-BE49-F238E27FC236}">
              <a16:creationId xmlns:a16="http://schemas.microsoft.com/office/drawing/2014/main" id="{00000000-0008-0000-0300-000019010000}"/>
            </a:ext>
          </a:extLst>
        </xdr:cNvPr>
        <xdr:cNvSpPr txBox="1">
          <a:spLocks noChangeArrowheads="1"/>
        </xdr:cNvSpPr>
      </xdr:nvSpPr>
      <xdr:spPr bwMode="auto">
        <a:xfrm>
          <a:off x="1752600" y="533400"/>
          <a:ext cx="35337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228600</xdr:colOff>
      <xdr:row>2</xdr:row>
      <xdr:rowOff>0</xdr:rowOff>
    </xdr:from>
    <xdr:to>
      <xdr:col>2</xdr:col>
      <xdr:colOff>285750</xdr:colOff>
      <xdr:row>2</xdr:row>
      <xdr:rowOff>28575</xdr:rowOff>
    </xdr:to>
    <xdr:sp macro="" textlink="">
      <xdr:nvSpPr>
        <xdr:cNvPr id="282" name="Text Box 1">
          <a:extLst>
            <a:ext uri="{FF2B5EF4-FFF2-40B4-BE49-F238E27FC236}">
              <a16:creationId xmlns:a16="http://schemas.microsoft.com/office/drawing/2014/main" id="{00000000-0008-0000-0300-00001A010000}"/>
            </a:ext>
          </a:extLst>
        </xdr:cNvPr>
        <xdr:cNvSpPr txBox="1">
          <a:spLocks noChangeArrowheads="1"/>
        </xdr:cNvSpPr>
      </xdr:nvSpPr>
      <xdr:spPr bwMode="auto">
        <a:xfrm>
          <a:off x="1962150" y="53340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0</xdr:row>
      <xdr:rowOff>0</xdr:rowOff>
    </xdr:from>
    <xdr:to>
      <xdr:col>11</xdr:col>
      <xdr:colOff>361950</xdr:colOff>
      <xdr:row>0</xdr:row>
      <xdr:rowOff>28575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 rot="6585220">
          <a:off x="8720137" y="176213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314325</xdr:colOff>
      <xdr:row>0</xdr:row>
      <xdr:rowOff>0</xdr:rowOff>
    </xdr:from>
    <xdr:to>
      <xdr:col>5</xdr:col>
      <xdr:colOff>381000</xdr:colOff>
      <xdr:row>0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 flipV="1">
          <a:off x="4171950" y="200025"/>
          <a:ext cx="666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0</xdr:row>
      <xdr:rowOff>0</xdr:rowOff>
    </xdr:from>
    <xdr:to>
      <xdr:col>9</xdr:col>
      <xdr:colOff>152400</xdr:colOff>
      <xdr:row>0</xdr:row>
      <xdr:rowOff>133350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3124200" y="200025"/>
          <a:ext cx="30289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38100</xdr:colOff>
      <xdr:row>0</xdr:row>
      <xdr:rowOff>0</xdr:rowOff>
    </xdr:from>
    <xdr:to>
      <xdr:col>17</xdr:col>
      <xdr:colOff>590550</xdr:colOff>
      <xdr:row>1</xdr:row>
      <xdr:rowOff>247650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>
          <a:spLocks noChangeArrowheads="1"/>
        </xdr:cNvSpPr>
      </xdr:nvSpPr>
      <xdr:spPr bwMode="auto">
        <a:xfrm>
          <a:off x="9753600" y="200025"/>
          <a:ext cx="29908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304800</xdr:colOff>
      <xdr:row>0</xdr:row>
      <xdr:rowOff>0</xdr:rowOff>
    </xdr:from>
    <xdr:to>
      <xdr:col>5</xdr:col>
      <xdr:colOff>352425</xdr:colOff>
      <xdr:row>0</xdr:row>
      <xdr:rowOff>28575</xdr:rowOff>
    </xdr:to>
    <xdr:sp macro="" textlink="">
      <xdr:nvSpPr>
        <xdr:cNvPr id="6" name="Text Box 1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>
          <a:spLocks noChangeArrowheads="1"/>
        </xdr:cNvSpPr>
      </xdr:nvSpPr>
      <xdr:spPr bwMode="auto">
        <a:xfrm>
          <a:off x="4162425" y="2000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276225</xdr:colOff>
      <xdr:row>0</xdr:row>
      <xdr:rowOff>0</xdr:rowOff>
    </xdr:from>
    <xdr:to>
      <xdr:col>5</xdr:col>
      <xdr:colOff>323850</xdr:colOff>
      <xdr:row>0</xdr:row>
      <xdr:rowOff>28575</xdr:rowOff>
    </xdr:to>
    <xdr:sp macro="" textlink="">
      <xdr:nvSpPr>
        <xdr:cNvPr id="7" name="Text Box 15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4133850" y="2000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381000</xdr:colOff>
      <xdr:row>0</xdr:row>
      <xdr:rowOff>0</xdr:rowOff>
    </xdr:from>
    <xdr:to>
      <xdr:col>5</xdr:col>
      <xdr:colOff>457200</xdr:colOff>
      <xdr:row>0</xdr:row>
      <xdr:rowOff>28575</xdr:rowOff>
    </xdr:to>
    <xdr:sp macro="" textlink="">
      <xdr:nvSpPr>
        <xdr:cNvPr id="8" name="Text Box 16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>
          <a:spLocks noChangeArrowheads="1"/>
        </xdr:cNvSpPr>
      </xdr:nvSpPr>
      <xdr:spPr bwMode="auto">
        <a:xfrm>
          <a:off x="4238625" y="200025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371475</xdr:colOff>
      <xdr:row>0</xdr:row>
      <xdr:rowOff>0</xdr:rowOff>
    </xdr:from>
    <xdr:to>
      <xdr:col>14</xdr:col>
      <xdr:colOff>419100</xdr:colOff>
      <xdr:row>0</xdr:row>
      <xdr:rowOff>47625</xdr:rowOff>
    </xdr:to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>
          <a:spLocks noChangeArrowheads="1"/>
        </xdr:cNvSpPr>
      </xdr:nvSpPr>
      <xdr:spPr bwMode="auto">
        <a:xfrm>
          <a:off x="10668000" y="200025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523875</xdr:colOff>
      <xdr:row>0</xdr:row>
      <xdr:rowOff>28575</xdr:rowOff>
    </xdr:to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>
          <a:spLocks noChangeArrowheads="1"/>
        </xdr:cNvSpPr>
      </xdr:nvSpPr>
      <xdr:spPr bwMode="auto">
        <a:xfrm>
          <a:off x="2162175" y="200025"/>
          <a:ext cx="666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0</xdr:row>
      <xdr:rowOff>0</xdr:rowOff>
    </xdr:from>
    <xdr:to>
      <xdr:col>5</xdr:col>
      <xdr:colOff>600075</xdr:colOff>
      <xdr:row>0</xdr:row>
      <xdr:rowOff>152400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>
          <a:spLocks noChangeArrowheads="1"/>
        </xdr:cNvSpPr>
      </xdr:nvSpPr>
      <xdr:spPr bwMode="auto">
        <a:xfrm>
          <a:off x="904875" y="200025"/>
          <a:ext cx="30194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714375</xdr:colOff>
      <xdr:row>0</xdr:row>
      <xdr:rowOff>0</xdr:rowOff>
    </xdr:from>
    <xdr:to>
      <xdr:col>3</xdr:col>
      <xdr:colOff>38100</xdr:colOff>
      <xdr:row>0</xdr:row>
      <xdr:rowOff>28575</xdr:rowOff>
    </xdr:to>
    <xdr:sp macro="" textlink="">
      <xdr:nvSpPr>
        <xdr:cNvPr id="12" name="Text Box 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>
          <a:spLocks noChangeArrowheads="1"/>
        </xdr:cNvSpPr>
      </xdr:nvSpPr>
      <xdr:spPr bwMode="auto">
        <a:xfrm>
          <a:off x="2371725" y="200025"/>
          <a:ext cx="381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0</xdr:row>
      <xdr:rowOff>0</xdr:rowOff>
    </xdr:from>
    <xdr:to>
      <xdr:col>1</xdr:col>
      <xdr:colOff>285750</xdr:colOff>
      <xdr:row>0</xdr:row>
      <xdr:rowOff>28575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>
          <a:spLocks noChangeArrowheads="1"/>
        </xdr:cNvSpPr>
      </xdr:nvSpPr>
      <xdr:spPr bwMode="auto">
        <a:xfrm>
          <a:off x="1114425" y="2000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276225</xdr:colOff>
      <xdr:row>0</xdr:row>
      <xdr:rowOff>0</xdr:rowOff>
    </xdr:from>
    <xdr:to>
      <xdr:col>16</xdr:col>
      <xdr:colOff>323850</xdr:colOff>
      <xdr:row>0</xdr:row>
      <xdr:rowOff>28575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>
          <a:spLocks noChangeArrowheads="1"/>
        </xdr:cNvSpPr>
      </xdr:nvSpPr>
      <xdr:spPr bwMode="auto">
        <a:xfrm>
          <a:off x="11801475" y="2000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219075</xdr:colOff>
      <xdr:row>0</xdr:row>
      <xdr:rowOff>0</xdr:rowOff>
    </xdr:from>
    <xdr:to>
      <xdr:col>14</xdr:col>
      <xdr:colOff>523875</xdr:colOff>
      <xdr:row>0</xdr:row>
      <xdr:rowOff>28575</xdr:rowOff>
    </xdr:to>
    <xdr:sp macro="" textlink="">
      <xdr:nvSpPr>
        <xdr:cNvPr id="15" name="Text Box 18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>
          <a:spLocks noChangeArrowheads="1"/>
        </xdr:cNvSpPr>
      </xdr:nvSpPr>
      <xdr:spPr bwMode="auto">
        <a:xfrm>
          <a:off x="10515600" y="200025"/>
          <a:ext cx="3048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228600</xdr:colOff>
      <xdr:row>0</xdr:row>
      <xdr:rowOff>95250</xdr:rowOff>
    </xdr:from>
    <xdr:to>
      <xdr:col>8</xdr:col>
      <xdr:colOff>495300</xdr:colOff>
      <xdr:row>1</xdr:row>
      <xdr:rowOff>266700</xdr:rowOff>
    </xdr:to>
    <xdr:sp macro="" textlink="">
      <xdr:nvSpPr>
        <xdr:cNvPr id="16" name="Text Box 18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>
          <a:spLocks noChangeArrowheads="1"/>
        </xdr:cNvSpPr>
      </xdr:nvSpPr>
      <xdr:spPr bwMode="auto">
        <a:xfrm flipH="1">
          <a:off x="6477000" y="295275"/>
          <a:ext cx="2667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390525</xdr:colOff>
      <xdr:row>33</xdr:row>
      <xdr:rowOff>76200</xdr:rowOff>
    </xdr:from>
    <xdr:to>
      <xdr:col>19</xdr:col>
      <xdr:colOff>457200</xdr:colOff>
      <xdr:row>33</xdr:row>
      <xdr:rowOff>133350</xdr:rowOff>
    </xdr:to>
    <xdr:sp macro="" textlink="">
      <xdr:nvSpPr>
        <xdr:cNvPr id="17" name="Text Box 2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>
          <a:spLocks noChangeArrowheads="1"/>
        </xdr:cNvSpPr>
      </xdr:nvSpPr>
      <xdr:spPr bwMode="auto">
        <a:xfrm flipH="1" flipV="1">
          <a:off x="13858875" y="7334250"/>
          <a:ext cx="6667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190500</xdr:colOff>
      <xdr:row>48</xdr:row>
      <xdr:rowOff>9525</xdr:rowOff>
    </xdr:from>
    <xdr:to>
      <xdr:col>9</xdr:col>
      <xdr:colOff>609600</xdr:colOff>
      <xdr:row>49</xdr:row>
      <xdr:rowOff>57150</xdr:rowOff>
    </xdr:to>
    <xdr:sp macro="" textlink="">
      <xdr:nvSpPr>
        <xdr:cNvPr id="18" name="Text Box 20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>
          <a:spLocks noChangeArrowheads="1"/>
        </xdr:cNvSpPr>
      </xdr:nvSpPr>
      <xdr:spPr bwMode="auto">
        <a:xfrm>
          <a:off x="1895475" y="10953750"/>
          <a:ext cx="45339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304800</xdr:colOff>
      <xdr:row>40</xdr:row>
      <xdr:rowOff>180975</xdr:rowOff>
    </xdr:from>
    <xdr:to>
      <xdr:col>22</xdr:col>
      <xdr:colOff>304800</xdr:colOff>
      <xdr:row>42</xdr:row>
      <xdr:rowOff>9525</xdr:rowOff>
    </xdr:to>
    <xdr:sp macro="" textlink="">
      <xdr:nvSpPr>
        <xdr:cNvPr id="19" name="Text Box 2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>
          <a:spLocks noChangeArrowheads="1"/>
        </xdr:cNvSpPr>
      </xdr:nvSpPr>
      <xdr:spPr bwMode="auto">
        <a:xfrm>
          <a:off x="12477750" y="9525000"/>
          <a:ext cx="30480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523875</xdr:colOff>
      <xdr:row>77</xdr:row>
      <xdr:rowOff>57150</xdr:rowOff>
    </xdr:from>
    <xdr:to>
      <xdr:col>17</xdr:col>
      <xdr:colOff>285750</xdr:colOff>
      <xdr:row>78</xdr:row>
      <xdr:rowOff>104775</xdr:rowOff>
    </xdr:to>
    <xdr:sp macro="" textlink="">
      <xdr:nvSpPr>
        <xdr:cNvPr id="20" name="Text Box 2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>
          <a:spLocks noChangeArrowheads="1"/>
        </xdr:cNvSpPr>
      </xdr:nvSpPr>
      <xdr:spPr bwMode="auto">
        <a:xfrm>
          <a:off x="7515225" y="17487900"/>
          <a:ext cx="44958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561975</xdr:colOff>
      <xdr:row>115</xdr:row>
      <xdr:rowOff>180975</xdr:rowOff>
    </xdr:from>
    <xdr:to>
      <xdr:col>6</xdr:col>
      <xdr:colOff>285750</xdr:colOff>
      <xdr:row>116</xdr:row>
      <xdr:rowOff>171450</xdr:rowOff>
    </xdr:to>
    <xdr:sp macro="" textlink="">
      <xdr:nvSpPr>
        <xdr:cNvPr id="21" name="Text Box 24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>
          <a:spLocks noChangeArrowheads="1"/>
        </xdr:cNvSpPr>
      </xdr:nvSpPr>
      <xdr:spPr bwMode="auto">
        <a:xfrm>
          <a:off x="3667125" y="25898475"/>
          <a:ext cx="9429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108</xdr:row>
      <xdr:rowOff>95250</xdr:rowOff>
    </xdr:from>
    <xdr:to>
      <xdr:col>9</xdr:col>
      <xdr:colOff>247650</xdr:colOff>
      <xdr:row>109</xdr:row>
      <xdr:rowOff>114300</xdr:rowOff>
    </xdr:to>
    <xdr:sp macro="" textlink="">
      <xdr:nvSpPr>
        <xdr:cNvPr id="22" name="Text Box 25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>
          <a:spLocks noChangeArrowheads="1"/>
        </xdr:cNvSpPr>
      </xdr:nvSpPr>
      <xdr:spPr bwMode="auto">
        <a:xfrm>
          <a:off x="3190875" y="2394585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144</xdr:row>
      <xdr:rowOff>95250</xdr:rowOff>
    </xdr:from>
    <xdr:to>
      <xdr:col>9</xdr:col>
      <xdr:colOff>247650</xdr:colOff>
      <xdr:row>145</xdr:row>
      <xdr:rowOff>114300</xdr:rowOff>
    </xdr:to>
    <xdr:sp macro="" textlink="">
      <xdr:nvSpPr>
        <xdr:cNvPr id="23" name="Text Box 27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>
          <a:spLocks noChangeArrowheads="1"/>
        </xdr:cNvSpPr>
      </xdr:nvSpPr>
      <xdr:spPr bwMode="auto">
        <a:xfrm>
          <a:off x="3190875" y="3183255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216</xdr:row>
      <xdr:rowOff>0</xdr:rowOff>
    </xdr:from>
    <xdr:to>
      <xdr:col>12</xdr:col>
      <xdr:colOff>533400</xdr:colOff>
      <xdr:row>216</xdr:row>
      <xdr:rowOff>266700</xdr:rowOff>
    </xdr:to>
    <xdr:sp macro="" textlink="">
      <xdr:nvSpPr>
        <xdr:cNvPr id="24" name="Text Box 30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>
          <a:spLocks noChangeArrowheads="1"/>
        </xdr:cNvSpPr>
      </xdr:nvSpPr>
      <xdr:spPr bwMode="auto">
        <a:xfrm>
          <a:off x="3857625" y="47577375"/>
          <a:ext cx="45053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216</xdr:row>
      <xdr:rowOff>0</xdr:rowOff>
    </xdr:from>
    <xdr:to>
      <xdr:col>10</xdr:col>
      <xdr:colOff>123825</xdr:colOff>
      <xdr:row>216</xdr:row>
      <xdr:rowOff>161925</xdr:rowOff>
    </xdr:to>
    <xdr:sp macro="" textlink="">
      <xdr:nvSpPr>
        <xdr:cNvPr id="25" name="Text Box 3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>
          <a:spLocks noChangeArrowheads="1"/>
        </xdr:cNvSpPr>
      </xdr:nvSpPr>
      <xdr:spPr bwMode="auto">
        <a:xfrm>
          <a:off x="3857625" y="47682150"/>
          <a:ext cx="30384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180</xdr:row>
      <xdr:rowOff>95250</xdr:rowOff>
    </xdr:from>
    <xdr:to>
      <xdr:col>9</xdr:col>
      <xdr:colOff>247650</xdr:colOff>
      <xdr:row>181</xdr:row>
      <xdr:rowOff>133350</xdr:rowOff>
    </xdr:to>
    <xdr:sp macro="" textlink="">
      <xdr:nvSpPr>
        <xdr:cNvPr id="26" name="Text Box 29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>
          <a:spLocks noChangeArrowheads="1"/>
        </xdr:cNvSpPr>
      </xdr:nvSpPr>
      <xdr:spPr bwMode="auto">
        <a:xfrm>
          <a:off x="3190875" y="39719250"/>
          <a:ext cx="30575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0</xdr:colOff>
      <xdr:row>204</xdr:row>
      <xdr:rowOff>9525</xdr:rowOff>
    </xdr:from>
    <xdr:to>
      <xdr:col>28</xdr:col>
      <xdr:colOff>47625</xdr:colOff>
      <xdr:row>219</xdr:row>
      <xdr:rowOff>0</xdr:rowOff>
    </xdr:to>
    <xdr:sp macro="" textlink="">
      <xdr:nvSpPr>
        <xdr:cNvPr id="27" name="Text Box 30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>
          <a:spLocks noChangeArrowheads="1"/>
        </xdr:cNvSpPr>
      </xdr:nvSpPr>
      <xdr:spPr bwMode="auto">
        <a:xfrm rot="4930312" flipV="1">
          <a:off x="18283238" y="46477237"/>
          <a:ext cx="28575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252</xdr:row>
      <xdr:rowOff>95250</xdr:rowOff>
    </xdr:from>
    <xdr:to>
      <xdr:col>9</xdr:col>
      <xdr:colOff>247650</xdr:colOff>
      <xdr:row>253</xdr:row>
      <xdr:rowOff>161925</xdr:rowOff>
    </xdr:to>
    <xdr:sp macro="" textlink="">
      <xdr:nvSpPr>
        <xdr:cNvPr id="28" name="Text Box 3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>
          <a:spLocks noChangeArrowheads="1"/>
        </xdr:cNvSpPr>
      </xdr:nvSpPr>
      <xdr:spPr bwMode="auto">
        <a:xfrm>
          <a:off x="3190875" y="55664100"/>
          <a:ext cx="30575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288</xdr:row>
      <xdr:rowOff>95250</xdr:rowOff>
    </xdr:from>
    <xdr:to>
      <xdr:col>9</xdr:col>
      <xdr:colOff>257175</xdr:colOff>
      <xdr:row>289</xdr:row>
      <xdr:rowOff>142875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>
          <a:spLocks noChangeArrowheads="1"/>
        </xdr:cNvSpPr>
      </xdr:nvSpPr>
      <xdr:spPr bwMode="auto">
        <a:xfrm>
          <a:off x="3190875" y="63550800"/>
          <a:ext cx="30670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371475</xdr:colOff>
      <xdr:row>324</xdr:row>
      <xdr:rowOff>0</xdr:rowOff>
    </xdr:from>
    <xdr:to>
      <xdr:col>9</xdr:col>
      <xdr:colOff>419100</xdr:colOff>
      <xdr:row>324</xdr:row>
      <xdr:rowOff>28575</xdr:rowOff>
    </xdr:to>
    <xdr:sp macro="" textlink="">
      <xdr:nvSpPr>
        <xdr:cNvPr id="30" name="Text Box 30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>
          <a:spLocks noChangeArrowheads="1"/>
        </xdr:cNvSpPr>
      </xdr:nvSpPr>
      <xdr:spPr bwMode="auto">
        <a:xfrm>
          <a:off x="7362825" y="7134225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285750</xdr:colOff>
      <xdr:row>324</xdr:row>
      <xdr:rowOff>0</xdr:rowOff>
    </xdr:from>
    <xdr:to>
      <xdr:col>4</xdr:col>
      <xdr:colOff>333375</xdr:colOff>
      <xdr:row>324</xdr:row>
      <xdr:rowOff>28575</xdr:rowOff>
    </xdr:to>
    <xdr:sp macro="" textlink="">
      <xdr:nvSpPr>
        <xdr:cNvPr id="31" name="Text Box 3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>
          <a:spLocks noChangeArrowheads="1"/>
        </xdr:cNvSpPr>
      </xdr:nvSpPr>
      <xdr:spPr bwMode="auto">
        <a:xfrm flipH="1" flipV="1">
          <a:off x="3390900" y="71247000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360</xdr:row>
      <xdr:rowOff>95250</xdr:rowOff>
    </xdr:from>
    <xdr:to>
      <xdr:col>9</xdr:col>
      <xdr:colOff>257175</xdr:colOff>
      <xdr:row>361</xdr:row>
      <xdr:rowOff>142875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>
          <a:spLocks noChangeArrowheads="1"/>
        </xdr:cNvSpPr>
      </xdr:nvSpPr>
      <xdr:spPr bwMode="auto">
        <a:xfrm>
          <a:off x="3190875" y="79324200"/>
          <a:ext cx="30670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171450</xdr:colOff>
      <xdr:row>396</xdr:row>
      <xdr:rowOff>0</xdr:rowOff>
    </xdr:from>
    <xdr:to>
      <xdr:col>4</xdr:col>
      <xdr:colOff>219075</xdr:colOff>
      <xdr:row>396</xdr:row>
      <xdr:rowOff>28575</xdr:rowOff>
    </xdr:to>
    <xdr:sp macro="" textlink="">
      <xdr:nvSpPr>
        <xdr:cNvPr id="33" name="Text Box 3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>
          <a:spLocks noChangeArrowheads="1"/>
        </xdr:cNvSpPr>
      </xdr:nvSpPr>
      <xdr:spPr bwMode="auto">
        <a:xfrm>
          <a:off x="3276600" y="8701087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1247775</xdr:colOff>
      <xdr:row>0</xdr:row>
      <xdr:rowOff>0</xdr:rowOff>
    </xdr:from>
    <xdr:to>
      <xdr:col>4</xdr:col>
      <xdr:colOff>419100</xdr:colOff>
      <xdr:row>0</xdr:row>
      <xdr:rowOff>76200</xdr:rowOff>
    </xdr:to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>
          <a:spLocks noChangeArrowheads="1"/>
        </xdr:cNvSpPr>
      </xdr:nvSpPr>
      <xdr:spPr bwMode="auto">
        <a:xfrm rot="5122446" flipV="1">
          <a:off x="3276600" y="28575"/>
          <a:ext cx="762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257175</xdr:colOff>
      <xdr:row>0</xdr:row>
      <xdr:rowOff>0</xdr:rowOff>
    </xdr:from>
    <xdr:to>
      <xdr:col>16</xdr:col>
      <xdr:colOff>295275</xdr:colOff>
      <xdr:row>0</xdr:row>
      <xdr:rowOff>28575</xdr:rowOff>
    </xdr:to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>
          <a:spLocks noChangeArrowheads="1"/>
        </xdr:cNvSpPr>
      </xdr:nvSpPr>
      <xdr:spPr bwMode="auto">
        <a:xfrm flipV="1">
          <a:off x="11782425" y="200025"/>
          <a:ext cx="381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628650</xdr:colOff>
      <xdr:row>0</xdr:row>
      <xdr:rowOff>0</xdr:rowOff>
    </xdr:from>
    <xdr:to>
      <xdr:col>14</xdr:col>
      <xdr:colOff>38100</xdr:colOff>
      <xdr:row>0</xdr:row>
      <xdr:rowOff>28575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>
          <a:spLocks noChangeArrowheads="1"/>
        </xdr:cNvSpPr>
      </xdr:nvSpPr>
      <xdr:spPr bwMode="auto">
        <a:xfrm flipH="1" flipV="1">
          <a:off x="10296525" y="200025"/>
          <a:ext cx="381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323850</xdr:colOff>
      <xdr:row>0</xdr:row>
      <xdr:rowOff>0</xdr:rowOff>
    </xdr:from>
    <xdr:to>
      <xdr:col>14</xdr:col>
      <xdr:colOff>371475</xdr:colOff>
      <xdr:row>0</xdr:row>
      <xdr:rowOff>28575</xdr:rowOff>
    </xdr:to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>
          <a:spLocks noChangeArrowheads="1"/>
        </xdr:cNvSpPr>
      </xdr:nvSpPr>
      <xdr:spPr bwMode="auto">
        <a:xfrm flipV="1">
          <a:off x="10620375" y="200025"/>
          <a:ext cx="476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257175</xdr:colOff>
      <xdr:row>0</xdr:row>
      <xdr:rowOff>0</xdr:rowOff>
    </xdr:from>
    <xdr:to>
      <xdr:col>11</xdr:col>
      <xdr:colOff>304800</xdr:colOff>
      <xdr:row>5</xdr:row>
      <xdr:rowOff>19050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>
          <a:spLocks noChangeArrowheads="1"/>
        </xdr:cNvSpPr>
      </xdr:nvSpPr>
      <xdr:spPr bwMode="auto">
        <a:xfrm flipH="1" flipV="1">
          <a:off x="8667750" y="200025"/>
          <a:ext cx="476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523875</xdr:colOff>
      <xdr:row>0</xdr:row>
      <xdr:rowOff>28575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>
          <a:spLocks noChangeArrowheads="1"/>
        </xdr:cNvSpPr>
      </xdr:nvSpPr>
      <xdr:spPr bwMode="auto">
        <a:xfrm>
          <a:off x="2162175" y="200025"/>
          <a:ext cx="666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0</xdr:row>
      <xdr:rowOff>0</xdr:rowOff>
    </xdr:from>
    <xdr:to>
      <xdr:col>5</xdr:col>
      <xdr:colOff>600075</xdr:colOff>
      <xdr:row>0</xdr:row>
      <xdr:rowOff>152400</xdr:rowOff>
    </xdr:to>
    <xdr:sp macro="" textlink="">
      <xdr:nvSpPr>
        <xdr:cNvPr id="40" name="Text Box 7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>
          <a:spLocks noChangeArrowheads="1"/>
        </xdr:cNvSpPr>
      </xdr:nvSpPr>
      <xdr:spPr bwMode="auto">
        <a:xfrm>
          <a:off x="904875" y="200025"/>
          <a:ext cx="30194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714375</xdr:colOff>
      <xdr:row>0</xdr:row>
      <xdr:rowOff>0</xdr:rowOff>
    </xdr:from>
    <xdr:to>
      <xdr:col>3</xdr:col>
      <xdr:colOff>38100</xdr:colOff>
      <xdr:row>0</xdr:row>
      <xdr:rowOff>28575</xdr:rowOff>
    </xdr:to>
    <xdr:sp macro="" textlink="">
      <xdr:nvSpPr>
        <xdr:cNvPr id="41" name="Text Box 4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>
          <a:spLocks noChangeArrowheads="1"/>
        </xdr:cNvSpPr>
      </xdr:nvSpPr>
      <xdr:spPr bwMode="auto">
        <a:xfrm>
          <a:off x="2371725" y="200025"/>
          <a:ext cx="381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0</xdr:row>
      <xdr:rowOff>0</xdr:rowOff>
    </xdr:from>
    <xdr:to>
      <xdr:col>1</xdr:col>
      <xdr:colOff>285750</xdr:colOff>
      <xdr:row>0</xdr:row>
      <xdr:rowOff>28575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>
          <a:spLocks noChangeArrowheads="1"/>
        </xdr:cNvSpPr>
      </xdr:nvSpPr>
      <xdr:spPr bwMode="auto">
        <a:xfrm>
          <a:off x="1114425" y="2000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457200</xdr:colOff>
      <xdr:row>1</xdr:row>
      <xdr:rowOff>95250</xdr:rowOff>
    </xdr:from>
    <xdr:to>
      <xdr:col>2</xdr:col>
      <xdr:colOff>523875</xdr:colOff>
      <xdr:row>1</xdr:row>
      <xdr:rowOff>123825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>
          <a:spLocks noChangeArrowheads="1"/>
        </xdr:cNvSpPr>
      </xdr:nvSpPr>
      <xdr:spPr bwMode="auto">
        <a:xfrm>
          <a:off x="2162175" y="828675"/>
          <a:ext cx="666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714375</xdr:colOff>
      <xdr:row>1</xdr:row>
      <xdr:rowOff>95250</xdr:rowOff>
    </xdr:from>
    <xdr:to>
      <xdr:col>3</xdr:col>
      <xdr:colOff>38100</xdr:colOff>
      <xdr:row>1</xdr:row>
      <xdr:rowOff>123825</xdr:rowOff>
    </xdr:to>
    <xdr:sp macro="" textlink="">
      <xdr:nvSpPr>
        <xdr:cNvPr id="44" name="Text Box 4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>
          <a:spLocks noChangeArrowheads="1"/>
        </xdr:cNvSpPr>
      </xdr:nvSpPr>
      <xdr:spPr bwMode="auto">
        <a:xfrm>
          <a:off x="2371725" y="828675"/>
          <a:ext cx="381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228600</xdr:colOff>
      <xdr:row>33</xdr:row>
      <xdr:rowOff>95250</xdr:rowOff>
    </xdr:from>
    <xdr:to>
      <xdr:col>22</xdr:col>
      <xdr:colOff>495300</xdr:colOff>
      <xdr:row>34</xdr:row>
      <xdr:rowOff>38100</xdr:rowOff>
    </xdr:to>
    <xdr:sp macro="" textlink="">
      <xdr:nvSpPr>
        <xdr:cNvPr id="45" name="Text Box 18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>
          <a:spLocks noChangeArrowheads="1"/>
        </xdr:cNvSpPr>
      </xdr:nvSpPr>
      <xdr:spPr bwMode="auto">
        <a:xfrm flipH="1">
          <a:off x="15401925" y="7353300"/>
          <a:ext cx="2667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228600</xdr:colOff>
      <xdr:row>33</xdr:row>
      <xdr:rowOff>0</xdr:rowOff>
    </xdr:from>
    <xdr:to>
      <xdr:col>15</xdr:col>
      <xdr:colOff>285750</xdr:colOff>
      <xdr:row>33</xdr:row>
      <xdr:rowOff>28575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>
          <a:spLocks noChangeArrowheads="1"/>
        </xdr:cNvSpPr>
      </xdr:nvSpPr>
      <xdr:spPr bwMode="auto">
        <a:xfrm>
          <a:off x="11172825" y="7258050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457200</xdr:colOff>
      <xdr:row>34</xdr:row>
      <xdr:rowOff>95250</xdr:rowOff>
    </xdr:from>
    <xdr:to>
      <xdr:col>16</xdr:col>
      <xdr:colOff>523875</xdr:colOff>
      <xdr:row>34</xdr:row>
      <xdr:rowOff>123825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 txBox="1">
          <a:spLocks noChangeArrowheads="1"/>
        </xdr:cNvSpPr>
      </xdr:nvSpPr>
      <xdr:spPr bwMode="auto">
        <a:xfrm>
          <a:off x="11982450" y="7562850"/>
          <a:ext cx="666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714375</xdr:colOff>
      <xdr:row>34</xdr:row>
      <xdr:rowOff>95250</xdr:rowOff>
    </xdr:from>
    <xdr:to>
      <xdr:col>17</xdr:col>
      <xdr:colOff>47625</xdr:colOff>
      <xdr:row>34</xdr:row>
      <xdr:rowOff>133350</xdr:rowOff>
    </xdr:to>
    <xdr:sp macro="" textlink="">
      <xdr:nvSpPr>
        <xdr:cNvPr id="48" name="Text Box 4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 txBox="1">
          <a:spLocks noChangeArrowheads="1"/>
        </xdr:cNvSpPr>
      </xdr:nvSpPr>
      <xdr:spPr bwMode="auto">
        <a:xfrm>
          <a:off x="12172950" y="7562850"/>
          <a:ext cx="476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144</xdr:row>
      <xdr:rowOff>95250</xdr:rowOff>
    </xdr:from>
    <xdr:to>
      <xdr:col>9</xdr:col>
      <xdr:colOff>247650</xdr:colOff>
      <xdr:row>145</xdr:row>
      <xdr:rowOff>114300</xdr:rowOff>
    </xdr:to>
    <xdr:sp macro="" textlink="">
      <xdr:nvSpPr>
        <xdr:cNvPr id="49" name="Text Box 25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>
          <a:spLocks noChangeArrowheads="1"/>
        </xdr:cNvSpPr>
      </xdr:nvSpPr>
      <xdr:spPr bwMode="auto">
        <a:xfrm>
          <a:off x="3190875" y="3183255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180</xdr:row>
      <xdr:rowOff>95250</xdr:rowOff>
    </xdr:from>
    <xdr:to>
      <xdr:col>9</xdr:col>
      <xdr:colOff>247650</xdr:colOff>
      <xdr:row>181</xdr:row>
      <xdr:rowOff>114300</xdr:rowOff>
    </xdr:to>
    <xdr:sp macro="" textlink="">
      <xdr:nvSpPr>
        <xdr:cNvPr id="50" name="Text Box 27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>
          <a:spLocks noChangeArrowheads="1"/>
        </xdr:cNvSpPr>
      </xdr:nvSpPr>
      <xdr:spPr bwMode="auto">
        <a:xfrm>
          <a:off x="3190875" y="3971925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252</xdr:row>
      <xdr:rowOff>0</xdr:rowOff>
    </xdr:from>
    <xdr:to>
      <xdr:col>12</xdr:col>
      <xdr:colOff>533400</xdr:colOff>
      <xdr:row>252</xdr:row>
      <xdr:rowOff>266700</xdr:rowOff>
    </xdr:to>
    <xdr:sp macro="" textlink="">
      <xdr:nvSpPr>
        <xdr:cNvPr id="51" name="Text Box 3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 txBox="1">
          <a:spLocks noChangeArrowheads="1"/>
        </xdr:cNvSpPr>
      </xdr:nvSpPr>
      <xdr:spPr bwMode="auto">
        <a:xfrm>
          <a:off x="3857625" y="55464075"/>
          <a:ext cx="45053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252</xdr:row>
      <xdr:rowOff>0</xdr:rowOff>
    </xdr:from>
    <xdr:to>
      <xdr:col>10</xdr:col>
      <xdr:colOff>123825</xdr:colOff>
      <xdr:row>252</xdr:row>
      <xdr:rowOff>161925</xdr:rowOff>
    </xdr:to>
    <xdr:sp macro="" textlink="">
      <xdr:nvSpPr>
        <xdr:cNvPr id="52" name="Text Box 3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>
          <a:spLocks noChangeArrowheads="1"/>
        </xdr:cNvSpPr>
      </xdr:nvSpPr>
      <xdr:spPr bwMode="auto">
        <a:xfrm>
          <a:off x="3857625" y="55568850"/>
          <a:ext cx="30384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288</xdr:row>
      <xdr:rowOff>95250</xdr:rowOff>
    </xdr:from>
    <xdr:to>
      <xdr:col>9</xdr:col>
      <xdr:colOff>247650</xdr:colOff>
      <xdr:row>289</xdr:row>
      <xdr:rowOff>104775</xdr:rowOff>
    </xdr:to>
    <xdr:sp macro="" textlink="">
      <xdr:nvSpPr>
        <xdr:cNvPr id="53" name="Text Box 31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>
          <a:spLocks noChangeArrowheads="1"/>
        </xdr:cNvSpPr>
      </xdr:nvSpPr>
      <xdr:spPr bwMode="auto">
        <a:xfrm>
          <a:off x="3190875" y="63550800"/>
          <a:ext cx="30575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514350</xdr:colOff>
      <xdr:row>289</xdr:row>
      <xdr:rowOff>9525</xdr:rowOff>
    </xdr:from>
    <xdr:to>
      <xdr:col>14</xdr:col>
      <xdr:colOff>571500</xdr:colOff>
      <xdr:row>289</xdr:row>
      <xdr:rowOff>276225</xdr:rowOff>
    </xdr:to>
    <xdr:sp macro="" textlink="">
      <xdr:nvSpPr>
        <xdr:cNvPr id="54" name="Text Box 30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>
          <a:spLocks noChangeArrowheads="1"/>
        </xdr:cNvSpPr>
      </xdr:nvSpPr>
      <xdr:spPr bwMode="auto">
        <a:xfrm>
          <a:off x="5200650" y="92459175"/>
          <a:ext cx="5372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390525</xdr:colOff>
      <xdr:row>288</xdr:row>
      <xdr:rowOff>400050</xdr:rowOff>
    </xdr:from>
    <xdr:to>
      <xdr:col>13</xdr:col>
      <xdr:colOff>95250</xdr:colOff>
      <xdr:row>289</xdr:row>
      <xdr:rowOff>28575</xdr:rowOff>
    </xdr:to>
    <xdr:sp macro="" textlink="">
      <xdr:nvSpPr>
        <xdr:cNvPr id="55" name="Text Box 31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>
          <a:spLocks noChangeArrowheads="1"/>
        </xdr:cNvSpPr>
      </xdr:nvSpPr>
      <xdr:spPr bwMode="auto">
        <a:xfrm>
          <a:off x="5781675" y="92316300"/>
          <a:ext cx="37338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324</xdr:row>
      <xdr:rowOff>95250</xdr:rowOff>
    </xdr:from>
    <xdr:to>
      <xdr:col>9</xdr:col>
      <xdr:colOff>257175</xdr:colOff>
      <xdr:row>325</xdr:row>
      <xdr:rowOff>142875</xdr:rowOff>
    </xdr:to>
    <xdr:sp macro="" textlink="">
      <xdr:nvSpPr>
        <xdr:cNvPr id="56" name="Text Box 31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>
          <a:spLocks noChangeArrowheads="1"/>
        </xdr:cNvSpPr>
      </xdr:nvSpPr>
      <xdr:spPr bwMode="auto">
        <a:xfrm>
          <a:off x="3190875" y="71437500"/>
          <a:ext cx="30670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324</xdr:row>
      <xdr:rowOff>95250</xdr:rowOff>
    </xdr:from>
    <xdr:to>
      <xdr:col>9</xdr:col>
      <xdr:colOff>247650</xdr:colOff>
      <xdr:row>325</xdr:row>
      <xdr:rowOff>104775</xdr:rowOff>
    </xdr:to>
    <xdr:sp macro="" textlink="">
      <xdr:nvSpPr>
        <xdr:cNvPr id="57" name="Text Box 3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>
          <a:spLocks noChangeArrowheads="1"/>
        </xdr:cNvSpPr>
      </xdr:nvSpPr>
      <xdr:spPr bwMode="auto">
        <a:xfrm>
          <a:off x="3190875" y="71437500"/>
          <a:ext cx="30575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324</xdr:row>
      <xdr:rowOff>0</xdr:rowOff>
    </xdr:from>
    <xdr:to>
      <xdr:col>12</xdr:col>
      <xdr:colOff>533400</xdr:colOff>
      <xdr:row>324</xdr:row>
      <xdr:rowOff>266700</xdr:rowOff>
    </xdr:to>
    <xdr:sp macro="" textlink="">
      <xdr:nvSpPr>
        <xdr:cNvPr id="58" name="Text Box 30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>
          <a:spLocks noChangeArrowheads="1"/>
        </xdr:cNvSpPr>
      </xdr:nvSpPr>
      <xdr:spPr bwMode="auto">
        <a:xfrm>
          <a:off x="3857625" y="71237475"/>
          <a:ext cx="45053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324</xdr:row>
      <xdr:rowOff>0</xdr:rowOff>
    </xdr:from>
    <xdr:to>
      <xdr:col>10</xdr:col>
      <xdr:colOff>123825</xdr:colOff>
      <xdr:row>324</xdr:row>
      <xdr:rowOff>161925</xdr:rowOff>
    </xdr:to>
    <xdr:sp macro="" textlink="">
      <xdr:nvSpPr>
        <xdr:cNvPr id="59" name="Text Box 31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>
          <a:spLocks noChangeArrowheads="1"/>
        </xdr:cNvSpPr>
      </xdr:nvSpPr>
      <xdr:spPr bwMode="auto">
        <a:xfrm>
          <a:off x="3857625" y="71342250"/>
          <a:ext cx="30384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0</xdr:row>
      <xdr:rowOff>0</xdr:rowOff>
    </xdr:from>
    <xdr:to>
      <xdr:col>1</xdr:col>
      <xdr:colOff>285750</xdr:colOff>
      <xdr:row>0</xdr:row>
      <xdr:rowOff>28575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>
          <a:spLocks noChangeArrowheads="1"/>
        </xdr:cNvSpPr>
      </xdr:nvSpPr>
      <xdr:spPr bwMode="auto">
        <a:xfrm>
          <a:off x="1114425" y="200025"/>
          <a:ext cx="571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144</xdr:row>
      <xdr:rowOff>95250</xdr:rowOff>
    </xdr:from>
    <xdr:to>
      <xdr:col>9</xdr:col>
      <xdr:colOff>247650</xdr:colOff>
      <xdr:row>145</xdr:row>
      <xdr:rowOff>114300</xdr:rowOff>
    </xdr:to>
    <xdr:sp macro="" textlink="">
      <xdr:nvSpPr>
        <xdr:cNvPr id="61" name="Text Box 25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>
          <a:spLocks noChangeArrowheads="1"/>
        </xdr:cNvSpPr>
      </xdr:nvSpPr>
      <xdr:spPr bwMode="auto">
        <a:xfrm>
          <a:off x="3190875" y="3183255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180</xdr:row>
      <xdr:rowOff>95250</xdr:rowOff>
    </xdr:from>
    <xdr:to>
      <xdr:col>9</xdr:col>
      <xdr:colOff>247650</xdr:colOff>
      <xdr:row>181</xdr:row>
      <xdr:rowOff>114300</xdr:rowOff>
    </xdr:to>
    <xdr:sp macro="" textlink="">
      <xdr:nvSpPr>
        <xdr:cNvPr id="62" name="Text Box 25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>
          <a:spLocks noChangeArrowheads="1"/>
        </xdr:cNvSpPr>
      </xdr:nvSpPr>
      <xdr:spPr bwMode="auto">
        <a:xfrm>
          <a:off x="3190875" y="3971925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180</xdr:row>
      <xdr:rowOff>95250</xdr:rowOff>
    </xdr:from>
    <xdr:to>
      <xdr:col>9</xdr:col>
      <xdr:colOff>247650</xdr:colOff>
      <xdr:row>181</xdr:row>
      <xdr:rowOff>114300</xdr:rowOff>
    </xdr:to>
    <xdr:sp macro="" textlink="">
      <xdr:nvSpPr>
        <xdr:cNvPr id="63" name="Text Box 27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>
          <a:spLocks noChangeArrowheads="1"/>
        </xdr:cNvSpPr>
      </xdr:nvSpPr>
      <xdr:spPr bwMode="auto">
        <a:xfrm>
          <a:off x="3190875" y="3971925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180</xdr:row>
      <xdr:rowOff>95250</xdr:rowOff>
    </xdr:from>
    <xdr:to>
      <xdr:col>9</xdr:col>
      <xdr:colOff>247650</xdr:colOff>
      <xdr:row>181</xdr:row>
      <xdr:rowOff>114300</xdr:rowOff>
    </xdr:to>
    <xdr:sp macro="" textlink="">
      <xdr:nvSpPr>
        <xdr:cNvPr id="64" name="Text Box 25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>
          <a:spLocks noChangeArrowheads="1"/>
        </xdr:cNvSpPr>
      </xdr:nvSpPr>
      <xdr:spPr bwMode="auto">
        <a:xfrm>
          <a:off x="3190875" y="3971925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180</xdr:row>
      <xdr:rowOff>95250</xdr:rowOff>
    </xdr:from>
    <xdr:to>
      <xdr:col>9</xdr:col>
      <xdr:colOff>247650</xdr:colOff>
      <xdr:row>181</xdr:row>
      <xdr:rowOff>114300</xdr:rowOff>
    </xdr:to>
    <xdr:sp macro="" textlink="">
      <xdr:nvSpPr>
        <xdr:cNvPr id="65" name="Text Box 25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>
          <a:spLocks noChangeArrowheads="1"/>
        </xdr:cNvSpPr>
      </xdr:nvSpPr>
      <xdr:spPr bwMode="auto">
        <a:xfrm>
          <a:off x="3190875" y="3971925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216</xdr:row>
      <xdr:rowOff>95250</xdr:rowOff>
    </xdr:from>
    <xdr:to>
      <xdr:col>9</xdr:col>
      <xdr:colOff>247650</xdr:colOff>
      <xdr:row>217</xdr:row>
      <xdr:rowOff>133350</xdr:rowOff>
    </xdr:to>
    <xdr:sp macro="" textlink="">
      <xdr:nvSpPr>
        <xdr:cNvPr id="66" name="Text Box 29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>
          <a:spLocks noChangeArrowheads="1"/>
        </xdr:cNvSpPr>
      </xdr:nvSpPr>
      <xdr:spPr bwMode="auto">
        <a:xfrm>
          <a:off x="3190875" y="47777400"/>
          <a:ext cx="30575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216</xdr:row>
      <xdr:rowOff>95250</xdr:rowOff>
    </xdr:from>
    <xdr:to>
      <xdr:col>9</xdr:col>
      <xdr:colOff>247650</xdr:colOff>
      <xdr:row>217</xdr:row>
      <xdr:rowOff>114300</xdr:rowOff>
    </xdr:to>
    <xdr:sp macro="" textlink="">
      <xdr:nvSpPr>
        <xdr:cNvPr id="67" name="Text Box 27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 txBox="1">
          <a:spLocks noChangeArrowheads="1"/>
        </xdr:cNvSpPr>
      </xdr:nvSpPr>
      <xdr:spPr bwMode="auto">
        <a:xfrm>
          <a:off x="3190875" y="477774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216</xdr:row>
      <xdr:rowOff>95250</xdr:rowOff>
    </xdr:from>
    <xdr:to>
      <xdr:col>9</xdr:col>
      <xdr:colOff>247650</xdr:colOff>
      <xdr:row>217</xdr:row>
      <xdr:rowOff>114300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>
          <a:spLocks noChangeArrowheads="1"/>
        </xdr:cNvSpPr>
      </xdr:nvSpPr>
      <xdr:spPr bwMode="auto">
        <a:xfrm>
          <a:off x="3190875" y="477774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216</xdr:row>
      <xdr:rowOff>95250</xdr:rowOff>
    </xdr:from>
    <xdr:to>
      <xdr:col>9</xdr:col>
      <xdr:colOff>247650</xdr:colOff>
      <xdr:row>217</xdr:row>
      <xdr:rowOff>114300</xdr:rowOff>
    </xdr:to>
    <xdr:sp macro="" textlink="">
      <xdr:nvSpPr>
        <xdr:cNvPr id="69" name="Text Box 27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>
          <a:spLocks noChangeArrowheads="1"/>
        </xdr:cNvSpPr>
      </xdr:nvSpPr>
      <xdr:spPr bwMode="auto">
        <a:xfrm>
          <a:off x="3190875" y="477774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216</xdr:row>
      <xdr:rowOff>95250</xdr:rowOff>
    </xdr:from>
    <xdr:to>
      <xdr:col>9</xdr:col>
      <xdr:colOff>247650</xdr:colOff>
      <xdr:row>217</xdr:row>
      <xdr:rowOff>114300</xdr:rowOff>
    </xdr:to>
    <xdr:sp macro="" textlink="">
      <xdr:nvSpPr>
        <xdr:cNvPr id="70" name="Text Box 25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 txBox="1">
          <a:spLocks noChangeArrowheads="1"/>
        </xdr:cNvSpPr>
      </xdr:nvSpPr>
      <xdr:spPr bwMode="auto">
        <a:xfrm>
          <a:off x="3190875" y="477774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216</xdr:row>
      <xdr:rowOff>95250</xdr:rowOff>
    </xdr:from>
    <xdr:to>
      <xdr:col>9</xdr:col>
      <xdr:colOff>247650</xdr:colOff>
      <xdr:row>217</xdr:row>
      <xdr:rowOff>114300</xdr:rowOff>
    </xdr:to>
    <xdr:sp macro="" textlink="">
      <xdr:nvSpPr>
        <xdr:cNvPr id="71" name="Text Box 25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 txBox="1">
          <a:spLocks noChangeArrowheads="1"/>
        </xdr:cNvSpPr>
      </xdr:nvSpPr>
      <xdr:spPr bwMode="auto">
        <a:xfrm>
          <a:off x="3190875" y="477774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252</xdr:row>
      <xdr:rowOff>95250</xdr:rowOff>
    </xdr:from>
    <xdr:to>
      <xdr:col>9</xdr:col>
      <xdr:colOff>247650</xdr:colOff>
      <xdr:row>254</xdr:row>
      <xdr:rowOff>9525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 txBox="1">
          <a:spLocks noChangeArrowheads="1"/>
        </xdr:cNvSpPr>
      </xdr:nvSpPr>
      <xdr:spPr bwMode="auto">
        <a:xfrm>
          <a:off x="3190875" y="55664100"/>
          <a:ext cx="30575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252</xdr:row>
      <xdr:rowOff>95250</xdr:rowOff>
    </xdr:from>
    <xdr:to>
      <xdr:col>9</xdr:col>
      <xdr:colOff>247650</xdr:colOff>
      <xdr:row>253</xdr:row>
      <xdr:rowOff>171450</xdr:rowOff>
    </xdr:to>
    <xdr:sp macro="" textlink="">
      <xdr:nvSpPr>
        <xdr:cNvPr id="73" name="Text Box 27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 txBox="1">
          <a:spLocks noChangeArrowheads="1"/>
        </xdr:cNvSpPr>
      </xdr:nvSpPr>
      <xdr:spPr bwMode="auto">
        <a:xfrm>
          <a:off x="3190875" y="55664100"/>
          <a:ext cx="30575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252</xdr:row>
      <xdr:rowOff>95250</xdr:rowOff>
    </xdr:from>
    <xdr:to>
      <xdr:col>9</xdr:col>
      <xdr:colOff>247650</xdr:colOff>
      <xdr:row>253</xdr:row>
      <xdr:rowOff>171450</xdr:rowOff>
    </xdr:to>
    <xdr:sp macro="" textlink="">
      <xdr:nvSpPr>
        <xdr:cNvPr id="74" name="Text Box 25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 txBox="1">
          <a:spLocks noChangeArrowheads="1"/>
        </xdr:cNvSpPr>
      </xdr:nvSpPr>
      <xdr:spPr bwMode="auto">
        <a:xfrm>
          <a:off x="3190875" y="55664100"/>
          <a:ext cx="30575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252</xdr:row>
      <xdr:rowOff>95250</xdr:rowOff>
    </xdr:from>
    <xdr:to>
      <xdr:col>9</xdr:col>
      <xdr:colOff>247650</xdr:colOff>
      <xdr:row>253</xdr:row>
      <xdr:rowOff>171450</xdr:rowOff>
    </xdr:to>
    <xdr:sp macro="" textlink="">
      <xdr:nvSpPr>
        <xdr:cNvPr id="75" name="Text Box 27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 txBox="1">
          <a:spLocks noChangeArrowheads="1"/>
        </xdr:cNvSpPr>
      </xdr:nvSpPr>
      <xdr:spPr bwMode="auto">
        <a:xfrm>
          <a:off x="3190875" y="55664100"/>
          <a:ext cx="30575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252</xdr:row>
      <xdr:rowOff>95250</xdr:rowOff>
    </xdr:from>
    <xdr:to>
      <xdr:col>9</xdr:col>
      <xdr:colOff>247650</xdr:colOff>
      <xdr:row>253</xdr:row>
      <xdr:rowOff>171450</xdr:rowOff>
    </xdr:to>
    <xdr:sp macro="" textlink="">
      <xdr:nvSpPr>
        <xdr:cNvPr id="76" name="Text Box 2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 txBox="1">
          <a:spLocks noChangeArrowheads="1"/>
        </xdr:cNvSpPr>
      </xdr:nvSpPr>
      <xdr:spPr bwMode="auto">
        <a:xfrm>
          <a:off x="3190875" y="55664100"/>
          <a:ext cx="30575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252</xdr:row>
      <xdr:rowOff>95250</xdr:rowOff>
    </xdr:from>
    <xdr:to>
      <xdr:col>9</xdr:col>
      <xdr:colOff>247650</xdr:colOff>
      <xdr:row>253</xdr:row>
      <xdr:rowOff>171450</xdr:rowOff>
    </xdr:to>
    <xdr:sp macro="" textlink="">
      <xdr:nvSpPr>
        <xdr:cNvPr id="77" name="Text Box 25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 txBox="1">
          <a:spLocks noChangeArrowheads="1"/>
        </xdr:cNvSpPr>
      </xdr:nvSpPr>
      <xdr:spPr bwMode="auto">
        <a:xfrm>
          <a:off x="3190875" y="55664100"/>
          <a:ext cx="30575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288</xdr:row>
      <xdr:rowOff>95250</xdr:rowOff>
    </xdr:from>
    <xdr:to>
      <xdr:col>9</xdr:col>
      <xdr:colOff>247650</xdr:colOff>
      <xdr:row>289</xdr:row>
      <xdr:rowOff>133350</xdr:rowOff>
    </xdr:to>
    <xdr:sp macro="" textlink="">
      <xdr:nvSpPr>
        <xdr:cNvPr id="78" name="Text Box 29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 txBox="1">
          <a:spLocks noChangeArrowheads="1"/>
        </xdr:cNvSpPr>
      </xdr:nvSpPr>
      <xdr:spPr bwMode="auto">
        <a:xfrm>
          <a:off x="3190875" y="63550800"/>
          <a:ext cx="30575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288</xdr:row>
      <xdr:rowOff>95250</xdr:rowOff>
    </xdr:from>
    <xdr:to>
      <xdr:col>9</xdr:col>
      <xdr:colOff>247650</xdr:colOff>
      <xdr:row>289</xdr:row>
      <xdr:rowOff>114300</xdr:rowOff>
    </xdr:to>
    <xdr:sp macro="" textlink="">
      <xdr:nvSpPr>
        <xdr:cNvPr id="79" name="Text Box 27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 txBox="1">
          <a:spLocks noChangeArrowheads="1"/>
        </xdr:cNvSpPr>
      </xdr:nvSpPr>
      <xdr:spPr bwMode="auto">
        <a:xfrm>
          <a:off x="3190875" y="635508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288</xdr:row>
      <xdr:rowOff>95250</xdr:rowOff>
    </xdr:from>
    <xdr:to>
      <xdr:col>9</xdr:col>
      <xdr:colOff>247650</xdr:colOff>
      <xdr:row>289</xdr:row>
      <xdr:rowOff>114300</xdr:rowOff>
    </xdr:to>
    <xdr:sp macro="" textlink="">
      <xdr:nvSpPr>
        <xdr:cNvPr id="80" name="Text Box 25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 txBox="1">
          <a:spLocks noChangeArrowheads="1"/>
        </xdr:cNvSpPr>
      </xdr:nvSpPr>
      <xdr:spPr bwMode="auto">
        <a:xfrm>
          <a:off x="3190875" y="635508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288</xdr:row>
      <xdr:rowOff>95250</xdr:rowOff>
    </xdr:from>
    <xdr:to>
      <xdr:col>9</xdr:col>
      <xdr:colOff>247650</xdr:colOff>
      <xdr:row>289</xdr:row>
      <xdr:rowOff>114300</xdr:rowOff>
    </xdr:to>
    <xdr:sp macro="" textlink="">
      <xdr:nvSpPr>
        <xdr:cNvPr id="81" name="Text Box 27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 txBox="1">
          <a:spLocks noChangeArrowheads="1"/>
        </xdr:cNvSpPr>
      </xdr:nvSpPr>
      <xdr:spPr bwMode="auto">
        <a:xfrm>
          <a:off x="3190875" y="635508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288</xdr:row>
      <xdr:rowOff>95250</xdr:rowOff>
    </xdr:from>
    <xdr:to>
      <xdr:col>9</xdr:col>
      <xdr:colOff>247650</xdr:colOff>
      <xdr:row>289</xdr:row>
      <xdr:rowOff>114300</xdr:rowOff>
    </xdr:to>
    <xdr:sp macro="" textlink="">
      <xdr:nvSpPr>
        <xdr:cNvPr id="82" name="Text Box 25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 txBox="1">
          <a:spLocks noChangeArrowheads="1"/>
        </xdr:cNvSpPr>
      </xdr:nvSpPr>
      <xdr:spPr bwMode="auto">
        <a:xfrm>
          <a:off x="3190875" y="635508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288</xdr:row>
      <xdr:rowOff>95250</xdr:rowOff>
    </xdr:from>
    <xdr:to>
      <xdr:col>9</xdr:col>
      <xdr:colOff>247650</xdr:colOff>
      <xdr:row>289</xdr:row>
      <xdr:rowOff>114300</xdr:rowOff>
    </xdr:to>
    <xdr:sp macro="" textlink="">
      <xdr:nvSpPr>
        <xdr:cNvPr id="83" name="Text Box 25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 txBox="1">
          <a:spLocks noChangeArrowheads="1"/>
        </xdr:cNvSpPr>
      </xdr:nvSpPr>
      <xdr:spPr bwMode="auto">
        <a:xfrm>
          <a:off x="3190875" y="635508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324</xdr:row>
      <xdr:rowOff>95250</xdr:rowOff>
    </xdr:from>
    <xdr:to>
      <xdr:col>9</xdr:col>
      <xdr:colOff>247650</xdr:colOff>
      <xdr:row>325</xdr:row>
      <xdr:rowOff>133350</xdr:rowOff>
    </xdr:to>
    <xdr:sp macro="" textlink="">
      <xdr:nvSpPr>
        <xdr:cNvPr id="84" name="Text Box 29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 txBox="1">
          <a:spLocks noChangeArrowheads="1"/>
        </xdr:cNvSpPr>
      </xdr:nvSpPr>
      <xdr:spPr bwMode="auto">
        <a:xfrm>
          <a:off x="3190875" y="71437500"/>
          <a:ext cx="30575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324</xdr:row>
      <xdr:rowOff>95250</xdr:rowOff>
    </xdr:from>
    <xdr:to>
      <xdr:col>9</xdr:col>
      <xdr:colOff>247650</xdr:colOff>
      <xdr:row>325</xdr:row>
      <xdr:rowOff>114300</xdr:rowOff>
    </xdr:to>
    <xdr:sp macro="" textlink="">
      <xdr:nvSpPr>
        <xdr:cNvPr id="85" name="Text Box 27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 txBox="1">
          <a:spLocks noChangeArrowheads="1"/>
        </xdr:cNvSpPr>
      </xdr:nvSpPr>
      <xdr:spPr bwMode="auto">
        <a:xfrm>
          <a:off x="3190875" y="714375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324</xdr:row>
      <xdr:rowOff>95250</xdr:rowOff>
    </xdr:from>
    <xdr:to>
      <xdr:col>9</xdr:col>
      <xdr:colOff>247650</xdr:colOff>
      <xdr:row>325</xdr:row>
      <xdr:rowOff>114300</xdr:rowOff>
    </xdr:to>
    <xdr:sp macro="" textlink="">
      <xdr:nvSpPr>
        <xdr:cNvPr id="86" name="Text Box 2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 txBox="1">
          <a:spLocks noChangeArrowheads="1"/>
        </xdr:cNvSpPr>
      </xdr:nvSpPr>
      <xdr:spPr bwMode="auto">
        <a:xfrm>
          <a:off x="3190875" y="714375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324</xdr:row>
      <xdr:rowOff>95250</xdr:rowOff>
    </xdr:from>
    <xdr:to>
      <xdr:col>9</xdr:col>
      <xdr:colOff>247650</xdr:colOff>
      <xdr:row>325</xdr:row>
      <xdr:rowOff>114300</xdr:rowOff>
    </xdr:to>
    <xdr:sp macro="" textlink="">
      <xdr:nvSpPr>
        <xdr:cNvPr id="87" name="Text Box 27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 txBox="1">
          <a:spLocks noChangeArrowheads="1"/>
        </xdr:cNvSpPr>
      </xdr:nvSpPr>
      <xdr:spPr bwMode="auto">
        <a:xfrm>
          <a:off x="3190875" y="714375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324</xdr:row>
      <xdr:rowOff>95250</xdr:rowOff>
    </xdr:from>
    <xdr:to>
      <xdr:col>9</xdr:col>
      <xdr:colOff>247650</xdr:colOff>
      <xdr:row>325</xdr:row>
      <xdr:rowOff>114300</xdr:rowOff>
    </xdr:to>
    <xdr:sp macro="" textlink="">
      <xdr:nvSpPr>
        <xdr:cNvPr id="88" name="Text Box 25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 txBox="1">
          <a:spLocks noChangeArrowheads="1"/>
        </xdr:cNvSpPr>
      </xdr:nvSpPr>
      <xdr:spPr bwMode="auto">
        <a:xfrm>
          <a:off x="3190875" y="714375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324</xdr:row>
      <xdr:rowOff>95250</xdr:rowOff>
    </xdr:from>
    <xdr:to>
      <xdr:col>9</xdr:col>
      <xdr:colOff>247650</xdr:colOff>
      <xdr:row>325</xdr:row>
      <xdr:rowOff>114300</xdr:rowOff>
    </xdr:to>
    <xdr:sp macro="" textlink="">
      <xdr:nvSpPr>
        <xdr:cNvPr id="89" name="Text Box 25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 txBox="1">
          <a:spLocks noChangeArrowheads="1"/>
        </xdr:cNvSpPr>
      </xdr:nvSpPr>
      <xdr:spPr bwMode="auto">
        <a:xfrm>
          <a:off x="3190875" y="714375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360</xdr:row>
      <xdr:rowOff>95250</xdr:rowOff>
    </xdr:from>
    <xdr:to>
      <xdr:col>9</xdr:col>
      <xdr:colOff>247650</xdr:colOff>
      <xdr:row>361</xdr:row>
      <xdr:rowOff>133350</xdr:rowOff>
    </xdr:to>
    <xdr:sp macro="" textlink="">
      <xdr:nvSpPr>
        <xdr:cNvPr id="90" name="Text Box 2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 txBox="1">
          <a:spLocks noChangeArrowheads="1"/>
        </xdr:cNvSpPr>
      </xdr:nvSpPr>
      <xdr:spPr bwMode="auto">
        <a:xfrm>
          <a:off x="3190875" y="79324200"/>
          <a:ext cx="30575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360</xdr:row>
      <xdr:rowOff>95250</xdr:rowOff>
    </xdr:from>
    <xdr:to>
      <xdr:col>9</xdr:col>
      <xdr:colOff>247650</xdr:colOff>
      <xdr:row>361</xdr:row>
      <xdr:rowOff>114300</xdr:rowOff>
    </xdr:to>
    <xdr:sp macro="" textlink="">
      <xdr:nvSpPr>
        <xdr:cNvPr id="91" name="Text Box 27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 txBox="1">
          <a:spLocks noChangeArrowheads="1"/>
        </xdr:cNvSpPr>
      </xdr:nvSpPr>
      <xdr:spPr bwMode="auto">
        <a:xfrm>
          <a:off x="3190875" y="793242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360</xdr:row>
      <xdr:rowOff>95250</xdr:rowOff>
    </xdr:from>
    <xdr:to>
      <xdr:col>9</xdr:col>
      <xdr:colOff>247650</xdr:colOff>
      <xdr:row>361</xdr:row>
      <xdr:rowOff>114300</xdr:rowOff>
    </xdr:to>
    <xdr:sp macro="" textlink="">
      <xdr:nvSpPr>
        <xdr:cNvPr id="92" name="Text Box 25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 txBox="1">
          <a:spLocks noChangeArrowheads="1"/>
        </xdr:cNvSpPr>
      </xdr:nvSpPr>
      <xdr:spPr bwMode="auto">
        <a:xfrm>
          <a:off x="3190875" y="793242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360</xdr:row>
      <xdr:rowOff>95250</xdr:rowOff>
    </xdr:from>
    <xdr:to>
      <xdr:col>9</xdr:col>
      <xdr:colOff>247650</xdr:colOff>
      <xdr:row>361</xdr:row>
      <xdr:rowOff>114300</xdr:rowOff>
    </xdr:to>
    <xdr:sp macro="" textlink="">
      <xdr:nvSpPr>
        <xdr:cNvPr id="93" name="Text Box 27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 txBox="1">
          <a:spLocks noChangeArrowheads="1"/>
        </xdr:cNvSpPr>
      </xdr:nvSpPr>
      <xdr:spPr bwMode="auto">
        <a:xfrm>
          <a:off x="3190875" y="793242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360</xdr:row>
      <xdr:rowOff>95250</xdr:rowOff>
    </xdr:from>
    <xdr:to>
      <xdr:col>9</xdr:col>
      <xdr:colOff>247650</xdr:colOff>
      <xdr:row>361</xdr:row>
      <xdr:rowOff>114300</xdr:rowOff>
    </xdr:to>
    <xdr:sp macro="" textlink="">
      <xdr:nvSpPr>
        <xdr:cNvPr id="94" name="Text Box 25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 txBox="1">
          <a:spLocks noChangeArrowheads="1"/>
        </xdr:cNvSpPr>
      </xdr:nvSpPr>
      <xdr:spPr bwMode="auto">
        <a:xfrm>
          <a:off x="3190875" y="793242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85725</xdr:colOff>
      <xdr:row>360</xdr:row>
      <xdr:rowOff>95250</xdr:rowOff>
    </xdr:from>
    <xdr:to>
      <xdr:col>9</xdr:col>
      <xdr:colOff>247650</xdr:colOff>
      <xdr:row>361</xdr:row>
      <xdr:rowOff>114300</xdr:rowOff>
    </xdr:to>
    <xdr:sp macro="" textlink="">
      <xdr:nvSpPr>
        <xdr:cNvPr id="95" name="Text Box 25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 txBox="1">
          <a:spLocks noChangeArrowheads="1"/>
        </xdr:cNvSpPr>
      </xdr:nvSpPr>
      <xdr:spPr bwMode="auto">
        <a:xfrm>
          <a:off x="3190875" y="79324200"/>
          <a:ext cx="3057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190500</xdr:colOff>
      <xdr:row>48</xdr:row>
      <xdr:rowOff>9525</xdr:rowOff>
    </xdr:from>
    <xdr:to>
      <xdr:col>9</xdr:col>
      <xdr:colOff>609600</xdr:colOff>
      <xdr:row>49</xdr:row>
      <xdr:rowOff>38100</xdr:rowOff>
    </xdr:to>
    <xdr:sp macro="" textlink="">
      <xdr:nvSpPr>
        <xdr:cNvPr id="96" name="Text Box 20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 txBox="1">
          <a:spLocks noChangeArrowheads="1"/>
        </xdr:cNvSpPr>
      </xdr:nvSpPr>
      <xdr:spPr bwMode="auto">
        <a:xfrm>
          <a:off x="1895475" y="10953750"/>
          <a:ext cx="45339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304800</xdr:colOff>
      <xdr:row>40</xdr:row>
      <xdr:rowOff>114300</xdr:rowOff>
    </xdr:from>
    <xdr:to>
      <xdr:col>22</xdr:col>
      <xdr:colOff>304800</xdr:colOff>
      <xdr:row>41</xdr:row>
      <xdr:rowOff>133350</xdr:rowOff>
    </xdr:to>
    <xdr:sp macro="" textlink="">
      <xdr:nvSpPr>
        <xdr:cNvPr id="97" name="Text Box 21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 txBox="1">
          <a:spLocks noChangeArrowheads="1"/>
        </xdr:cNvSpPr>
      </xdr:nvSpPr>
      <xdr:spPr bwMode="auto">
        <a:xfrm>
          <a:off x="12477750" y="9458325"/>
          <a:ext cx="30480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523875</xdr:colOff>
      <xdr:row>77</xdr:row>
      <xdr:rowOff>38100</xdr:rowOff>
    </xdr:from>
    <xdr:to>
      <xdr:col>17</xdr:col>
      <xdr:colOff>285750</xdr:colOff>
      <xdr:row>78</xdr:row>
      <xdr:rowOff>66675</xdr:rowOff>
    </xdr:to>
    <xdr:sp macro="" textlink="">
      <xdr:nvSpPr>
        <xdr:cNvPr id="98" name="Text Box 22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 txBox="1">
          <a:spLocks noChangeArrowheads="1"/>
        </xdr:cNvSpPr>
      </xdr:nvSpPr>
      <xdr:spPr bwMode="auto">
        <a:xfrm>
          <a:off x="7515225" y="17468850"/>
          <a:ext cx="4495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561975</xdr:colOff>
      <xdr:row>115</xdr:row>
      <xdr:rowOff>114300</xdr:rowOff>
    </xdr:from>
    <xdr:to>
      <xdr:col>6</xdr:col>
      <xdr:colOff>285750</xdr:colOff>
      <xdr:row>116</xdr:row>
      <xdr:rowOff>114300</xdr:rowOff>
    </xdr:to>
    <xdr:sp macro="" textlink="">
      <xdr:nvSpPr>
        <xdr:cNvPr id="99" name="Text Box 24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 txBox="1">
          <a:spLocks noChangeArrowheads="1"/>
        </xdr:cNvSpPr>
      </xdr:nvSpPr>
      <xdr:spPr bwMode="auto">
        <a:xfrm>
          <a:off x="3667125" y="25831800"/>
          <a:ext cx="9429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76"/>
  <sheetViews>
    <sheetView tabSelected="1" topLeftCell="A736" zoomScaleNormal="100" workbookViewId="0">
      <selection activeCell="I742" sqref="I742"/>
    </sheetView>
  </sheetViews>
  <sheetFormatPr defaultRowHeight="15.75" x14ac:dyDescent="0.25"/>
  <cols>
    <col min="1" max="1" width="7.42578125" style="67" bestFit="1" customWidth="1"/>
    <col min="2" max="5" width="11.5703125" style="67" bestFit="1" customWidth="1"/>
    <col min="6" max="6" width="11.5703125" style="68" bestFit="1" customWidth="1"/>
    <col min="7" max="12" width="11.5703125" style="67" bestFit="1" customWidth="1"/>
    <col min="13" max="13" width="10.85546875" style="67" bestFit="1" customWidth="1"/>
    <col min="14" max="14" width="12" style="67" bestFit="1" customWidth="1"/>
    <col min="15" max="255" width="9.140625" style="67"/>
    <col min="256" max="256" width="7.42578125" style="67" bestFit="1" customWidth="1"/>
    <col min="257" max="258" width="14.7109375" style="67" bestFit="1" customWidth="1"/>
    <col min="259" max="259" width="16.5703125" style="67" bestFit="1" customWidth="1"/>
    <col min="260" max="260" width="16.140625" style="67" bestFit="1" customWidth="1"/>
    <col min="261" max="261" width="14.7109375" style="67" bestFit="1" customWidth="1"/>
    <col min="262" max="262" width="14" style="67" bestFit="1" customWidth="1"/>
    <col min="263" max="263" width="13" style="67" customWidth="1"/>
    <col min="264" max="264" width="12.85546875" style="67" bestFit="1" customWidth="1"/>
    <col min="265" max="265" width="15.28515625" style="67" customWidth="1"/>
    <col min="266" max="266" width="13.28515625" style="67" customWidth="1"/>
    <col min="267" max="267" width="14" style="67" bestFit="1" customWidth="1"/>
    <col min="268" max="268" width="13.7109375" style="67" customWidth="1"/>
    <col min="269" max="269" width="12" style="67" bestFit="1" customWidth="1"/>
    <col min="270" max="270" width="22.42578125" style="67" bestFit="1" customWidth="1"/>
    <col min="271" max="511" width="9.140625" style="67"/>
    <col min="512" max="512" width="7.42578125" style="67" bestFit="1" customWidth="1"/>
    <col min="513" max="514" width="14.7109375" style="67" bestFit="1" customWidth="1"/>
    <col min="515" max="515" width="16.5703125" style="67" bestFit="1" customWidth="1"/>
    <col min="516" max="516" width="16.140625" style="67" bestFit="1" customWidth="1"/>
    <col min="517" max="517" width="14.7109375" style="67" bestFit="1" customWidth="1"/>
    <col min="518" max="518" width="14" style="67" bestFit="1" customWidth="1"/>
    <col min="519" max="519" width="13" style="67" customWidth="1"/>
    <col min="520" max="520" width="12.85546875" style="67" bestFit="1" customWidth="1"/>
    <col min="521" max="521" width="15.28515625" style="67" customWidth="1"/>
    <col min="522" max="522" width="13.28515625" style="67" customWidth="1"/>
    <col min="523" max="523" width="14" style="67" bestFit="1" customWidth="1"/>
    <col min="524" max="524" width="13.7109375" style="67" customWidth="1"/>
    <col min="525" max="525" width="12" style="67" bestFit="1" customWidth="1"/>
    <col min="526" max="526" width="22.42578125" style="67" bestFit="1" customWidth="1"/>
    <col min="527" max="767" width="9.140625" style="67"/>
    <col min="768" max="768" width="7.42578125" style="67" bestFit="1" customWidth="1"/>
    <col min="769" max="770" width="14.7109375" style="67" bestFit="1" customWidth="1"/>
    <col min="771" max="771" width="16.5703125" style="67" bestFit="1" customWidth="1"/>
    <col min="772" max="772" width="16.140625" style="67" bestFit="1" customWidth="1"/>
    <col min="773" max="773" width="14.7109375" style="67" bestFit="1" customWidth="1"/>
    <col min="774" max="774" width="14" style="67" bestFit="1" customWidth="1"/>
    <col min="775" max="775" width="13" style="67" customWidth="1"/>
    <col min="776" max="776" width="12.85546875" style="67" bestFit="1" customWidth="1"/>
    <col min="777" max="777" width="15.28515625" style="67" customWidth="1"/>
    <col min="778" max="778" width="13.28515625" style="67" customWidth="1"/>
    <col min="779" max="779" width="14" style="67" bestFit="1" customWidth="1"/>
    <col min="780" max="780" width="13.7109375" style="67" customWidth="1"/>
    <col min="781" max="781" width="12" style="67" bestFit="1" customWidth="1"/>
    <col min="782" max="782" width="22.42578125" style="67" bestFit="1" customWidth="1"/>
    <col min="783" max="1023" width="9.140625" style="67"/>
    <col min="1024" max="1024" width="7.42578125" style="67" bestFit="1" customWidth="1"/>
    <col min="1025" max="1026" width="14.7109375" style="67" bestFit="1" customWidth="1"/>
    <col min="1027" max="1027" width="16.5703125" style="67" bestFit="1" customWidth="1"/>
    <col min="1028" max="1028" width="16.140625" style="67" bestFit="1" customWidth="1"/>
    <col min="1029" max="1029" width="14.7109375" style="67" bestFit="1" customWidth="1"/>
    <col min="1030" max="1030" width="14" style="67" bestFit="1" customWidth="1"/>
    <col min="1031" max="1031" width="13" style="67" customWidth="1"/>
    <col min="1032" max="1032" width="12.85546875" style="67" bestFit="1" customWidth="1"/>
    <col min="1033" max="1033" width="15.28515625" style="67" customWidth="1"/>
    <col min="1034" max="1034" width="13.28515625" style="67" customWidth="1"/>
    <col min="1035" max="1035" width="14" style="67" bestFit="1" customWidth="1"/>
    <col min="1036" max="1036" width="13.7109375" style="67" customWidth="1"/>
    <col min="1037" max="1037" width="12" style="67" bestFit="1" customWidth="1"/>
    <col min="1038" max="1038" width="22.42578125" style="67" bestFit="1" customWidth="1"/>
    <col min="1039" max="1279" width="9.140625" style="67"/>
    <col min="1280" max="1280" width="7.42578125" style="67" bestFit="1" customWidth="1"/>
    <col min="1281" max="1282" width="14.7109375" style="67" bestFit="1" customWidth="1"/>
    <col min="1283" max="1283" width="16.5703125" style="67" bestFit="1" customWidth="1"/>
    <col min="1284" max="1284" width="16.140625" style="67" bestFit="1" customWidth="1"/>
    <col min="1285" max="1285" width="14.7109375" style="67" bestFit="1" customWidth="1"/>
    <col min="1286" max="1286" width="14" style="67" bestFit="1" customWidth="1"/>
    <col min="1287" max="1287" width="13" style="67" customWidth="1"/>
    <col min="1288" max="1288" width="12.85546875" style="67" bestFit="1" customWidth="1"/>
    <col min="1289" max="1289" width="15.28515625" style="67" customWidth="1"/>
    <col min="1290" max="1290" width="13.28515625" style="67" customWidth="1"/>
    <col min="1291" max="1291" width="14" style="67" bestFit="1" customWidth="1"/>
    <col min="1292" max="1292" width="13.7109375" style="67" customWidth="1"/>
    <col min="1293" max="1293" width="12" style="67" bestFit="1" customWidth="1"/>
    <col min="1294" max="1294" width="22.42578125" style="67" bestFit="1" customWidth="1"/>
    <col min="1295" max="1535" width="9.140625" style="67"/>
    <col min="1536" max="1536" width="7.42578125" style="67" bestFit="1" customWidth="1"/>
    <col min="1537" max="1538" width="14.7109375" style="67" bestFit="1" customWidth="1"/>
    <col min="1539" max="1539" width="16.5703125" style="67" bestFit="1" customWidth="1"/>
    <col min="1540" max="1540" width="16.140625" style="67" bestFit="1" customWidth="1"/>
    <col min="1541" max="1541" width="14.7109375" style="67" bestFit="1" customWidth="1"/>
    <col min="1542" max="1542" width="14" style="67" bestFit="1" customWidth="1"/>
    <col min="1543" max="1543" width="13" style="67" customWidth="1"/>
    <col min="1544" max="1544" width="12.85546875" style="67" bestFit="1" customWidth="1"/>
    <col min="1545" max="1545" width="15.28515625" style="67" customWidth="1"/>
    <col min="1546" max="1546" width="13.28515625" style="67" customWidth="1"/>
    <col min="1547" max="1547" width="14" style="67" bestFit="1" customWidth="1"/>
    <col min="1548" max="1548" width="13.7109375" style="67" customWidth="1"/>
    <col min="1549" max="1549" width="12" style="67" bestFit="1" customWidth="1"/>
    <col min="1550" max="1550" width="22.42578125" style="67" bestFit="1" customWidth="1"/>
    <col min="1551" max="1791" width="9.140625" style="67"/>
    <col min="1792" max="1792" width="7.42578125" style="67" bestFit="1" customWidth="1"/>
    <col min="1793" max="1794" width="14.7109375" style="67" bestFit="1" customWidth="1"/>
    <col min="1795" max="1795" width="16.5703125" style="67" bestFit="1" customWidth="1"/>
    <col min="1796" max="1796" width="16.140625" style="67" bestFit="1" customWidth="1"/>
    <col min="1797" max="1797" width="14.7109375" style="67" bestFit="1" customWidth="1"/>
    <col min="1798" max="1798" width="14" style="67" bestFit="1" customWidth="1"/>
    <col min="1799" max="1799" width="13" style="67" customWidth="1"/>
    <col min="1800" max="1800" width="12.85546875" style="67" bestFit="1" customWidth="1"/>
    <col min="1801" max="1801" width="15.28515625" style="67" customWidth="1"/>
    <col min="1802" max="1802" width="13.28515625" style="67" customWidth="1"/>
    <col min="1803" max="1803" width="14" style="67" bestFit="1" customWidth="1"/>
    <col min="1804" max="1804" width="13.7109375" style="67" customWidth="1"/>
    <col min="1805" max="1805" width="12" style="67" bestFit="1" customWidth="1"/>
    <col min="1806" max="1806" width="22.42578125" style="67" bestFit="1" customWidth="1"/>
    <col min="1807" max="2047" width="9.140625" style="67"/>
    <col min="2048" max="2048" width="7.42578125" style="67" bestFit="1" customWidth="1"/>
    <col min="2049" max="2050" width="14.7109375" style="67" bestFit="1" customWidth="1"/>
    <col min="2051" max="2051" width="16.5703125" style="67" bestFit="1" customWidth="1"/>
    <col min="2052" max="2052" width="16.140625" style="67" bestFit="1" customWidth="1"/>
    <col min="2053" max="2053" width="14.7109375" style="67" bestFit="1" customWidth="1"/>
    <col min="2054" max="2054" width="14" style="67" bestFit="1" customWidth="1"/>
    <col min="2055" max="2055" width="13" style="67" customWidth="1"/>
    <col min="2056" max="2056" width="12.85546875" style="67" bestFit="1" customWidth="1"/>
    <col min="2057" max="2057" width="15.28515625" style="67" customWidth="1"/>
    <col min="2058" max="2058" width="13.28515625" style="67" customWidth="1"/>
    <col min="2059" max="2059" width="14" style="67" bestFit="1" customWidth="1"/>
    <col min="2060" max="2060" width="13.7109375" style="67" customWidth="1"/>
    <col min="2061" max="2061" width="12" style="67" bestFit="1" customWidth="1"/>
    <col min="2062" max="2062" width="22.42578125" style="67" bestFit="1" customWidth="1"/>
    <col min="2063" max="2303" width="9.140625" style="67"/>
    <col min="2304" max="2304" width="7.42578125" style="67" bestFit="1" customWidth="1"/>
    <col min="2305" max="2306" width="14.7109375" style="67" bestFit="1" customWidth="1"/>
    <col min="2307" max="2307" width="16.5703125" style="67" bestFit="1" customWidth="1"/>
    <col min="2308" max="2308" width="16.140625" style="67" bestFit="1" customWidth="1"/>
    <col min="2309" max="2309" width="14.7109375" style="67" bestFit="1" customWidth="1"/>
    <col min="2310" max="2310" width="14" style="67" bestFit="1" customWidth="1"/>
    <col min="2311" max="2311" width="13" style="67" customWidth="1"/>
    <col min="2312" max="2312" width="12.85546875" style="67" bestFit="1" customWidth="1"/>
    <col min="2313" max="2313" width="15.28515625" style="67" customWidth="1"/>
    <col min="2314" max="2314" width="13.28515625" style="67" customWidth="1"/>
    <col min="2315" max="2315" width="14" style="67" bestFit="1" customWidth="1"/>
    <col min="2316" max="2316" width="13.7109375" style="67" customWidth="1"/>
    <col min="2317" max="2317" width="12" style="67" bestFit="1" customWidth="1"/>
    <col min="2318" max="2318" width="22.42578125" style="67" bestFit="1" customWidth="1"/>
    <col min="2319" max="2559" width="9.140625" style="67"/>
    <col min="2560" max="2560" width="7.42578125" style="67" bestFit="1" customWidth="1"/>
    <col min="2561" max="2562" width="14.7109375" style="67" bestFit="1" customWidth="1"/>
    <col min="2563" max="2563" width="16.5703125" style="67" bestFit="1" customWidth="1"/>
    <col min="2564" max="2564" width="16.140625" style="67" bestFit="1" customWidth="1"/>
    <col min="2565" max="2565" width="14.7109375" style="67" bestFit="1" customWidth="1"/>
    <col min="2566" max="2566" width="14" style="67" bestFit="1" customWidth="1"/>
    <col min="2567" max="2567" width="13" style="67" customWidth="1"/>
    <col min="2568" max="2568" width="12.85546875" style="67" bestFit="1" customWidth="1"/>
    <col min="2569" max="2569" width="15.28515625" style="67" customWidth="1"/>
    <col min="2570" max="2570" width="13.28515625" style="67" customWidth="1"/>
    <col min="2571" max="2571" width="14" style="67" bestFit="1" customWidth="1"/>
    <col min="2572" max="2572" width="13.7109375" style="67" customWidth="1"/>
    <col min="2573" max="2573" width="12" style="67" bestFit="1" customWidth="1"/>
    <col min="2574" max="2574" width="22.42578125" style="67" bestFit="1" customWidth="1"/>
    <col min="2575" max="2815" width="9.140625" style="67"/>
    <col min="2816" max="2816" width="7.42578125" style="67" bestFit="1" customWidth="1"/>
    <col min="2817" max="2818" width="14.7109375" style="67" bestFit="1" customWidth="1"/>
    <col min="2819" max="2819" width="16.5703125" style="67" bestFit="1" customWidth="1"/>
    <col min="2820" max="2820" width="16.140625" style="67" bestFit="1" customWidth="1"/>
    <col min="2821" max="2821" width="14.7109375" style="67" bestFit="1" customWidth="1"/>
    <col min="2822" max="2822" width="14" style="67" bestFit="1" customWidth="1"/>
    <col min="2823" max="2823" width="13" style="67" customWidth="1"/>
    <col min="2824" max="2824" width="12.85546875" style="67" bestFit="1" customWidth="1"/>
    <col min="2825" max="2825" width="15.28515625" style="67" customWidth="1"/>
    <col min="2826" max="2826" width="13.28515625" style="67" customWidth="1"/>
    <col min="2827" max="2827" width="14" style="67" bestFit="1" customWidth="1"/>
    <col min="2828" max="2828" width="13.7109375" style="67" customWidth="1"/>
    <col min="2829" max="2829" width="12" style="67" bestFit="1" customWidth="1"/>
    <col min="2830" max="2830" width="22.42578125" style="67" bestFit="1" customWidth="1"/>
    <col min="2831" max="3071" width="9.140625" style="67"/>
    <col min="3072" max="3072" width="7.42578125" style="67" bestFit="1" customWidth="1"/>
    <col min="3073" max="3074" width="14.7109375" style="67" bestFit="1" customWidth="1"/>
    <col min="3075" max="3075" width="16.5703125" style="67" bestFit="1" customWidth="1"/>
    <col min="3076" max="3076" width="16.140625" style="67" bestFit="1" customWidth="1"/>
    <col min="3077" max="3077" width="14.7109375" style="67" bestFit="1" customWidth="1"/>
    <col min="3078" max="3078" width="14" style="67" bestFit="1" customWidth="1"/>
    <col min="3079" max="3079" width="13" style="67" customWidth="1"/>
    <col min="3080" max="3080" width="12.85546875" style="67" bestFit="1" customWidth="1"/>
    <col min="3081" max="3081" width="15.28515625" style="67" customWidth="1"/>
    <col min="3082" max="3082" width="13.28515625" style="67" customWidth="1"/>
    <col min="3083" max="3083" width="14" style="67" bestFit="1" customWidth="1"/>
    <col min="3084" max="3084" width="13.7109375" style="67" customWidth="1"/>
    <col min="3085" max="3085" width="12" style="67" bestFit="1" customWidth="1"/>
    <col min="3086" max="3086" width="22.42578125" style="67" bestFit="1" customWidth="1"/>
    <col min="3087" max="3327" width="9.140625" style="67"/>
    <col min="3328" max="3328" width="7.42578125" style="67" bestFit="1" customWidth="1"/>
    <col min="3329" max="3330" width="14.7109375" style="67" bestFit="1" customWidth="1"/>
    <col min="3331" max="3331" width="16.5703125" style="67" bestFit="1" customWidth="1"/>
    <col min="3332" max="3332" width="16.140625" style="67" bestFit="1" customWidth="1"/>
    <col min="3333" max="3333" width="14.7109375" style="67" bestFit="1" customWidth="1"/>
    <col min="3334" max="3334" width="14" style="67" bestFit="1" customWidth="1"/>
    <col min="3335" max="3335" width="13" style="67" customWidth="1"/>
    <col min="3336" max="3336" width="12.85546875" style="67" bestFit="1" customWidth="1"/>
    <col min="3337" max="3337" width="15.28515625" style="67" customWidth="1"/>
    <col min="3338" max="3338" width="13.28515625" style="67" customWidth="1"/>
    <col min="3339" max="3339" width="14" style="67" bestFit="1" customWidth="1"/>
    <col min="3340" max="3340" width="13.7109375" style="67" customWidth="1"/>
    <col min="3341" max="3341" width="12" style="67" bestFit="1" customWidth="1"/>
    <col min="3342" max="3342" width="22.42578125" style="67" bestFit="1" customWidth="1"/>
    <col min="3343" max="3583" width="9.140625" style="67"/>
    <col min="3584" max="3584" width="7.42578125" style="67" bestFit="1" customWidth="1"/>
    <col min="3585" max="3586" width="14.7109375" style="67" bestFit="1" customWidth="1"/>
    <col min="3587" max="3587" width="16.5703125" style="67" bestFit="1" customWidth="1"/>
    <col min="3588" max="3588" width="16.140625" style="67" bestFit="1" customWidth="1"/>
    <col min="3589" max="3589" width="14.7109375" style="67" bestFit="1" customWidth="1"/>
    <col min="3590" max="3590" width="14" style="67" bestFit="1" customWidth="1"/>
    <col min="3591" max="3591" width="13" style="67" customWidth="1"/>
    <col min="3592" max="3592" width="12.85546875" style="67" bestFit="1" customWidth="1"/>
    <col min="3593" max="3593" width="15.28515625" style="67" customWidth="1"/>
    <col min="3594" max="3594" width="13.28515625" style="67" customWidth="1"/>
    <col min="3595" max="3595" width="14" style="67" bestFit="1" customWidth="1"/>
    <col min="3596" max="3596" width="13.7109375" style="67" customWidth="1"/>
    <col min="3597" max="3597" width="12" style="67" bestFit="1" customWidth="1"/>
    <col min="3598" max="3598" width="22.42578125" style="67" bestFit="1" customWidth="1"/>
    <col min="3599" max="3839" width="9.140625" style="67"/>
    <col min="3840" max="3840" width="7.42578125" style="67" bestFit="1" customWidth="1"/>
    <col min="3841" max="3842" width="14.7109375" style="67" bestFit="1" customWidth="1"/>
    <col min="3843" max="3843" width="16.5703125" style="67" bestFit="1" customWidth="1"/>
    <col min="3844" max="3844" width="16.140625" style="67" bestFit="1" customWidth="1"/>
    <col min="3845" max="3845" width="14.7109375" style="67" bestFit="1" customWidth="1"/>
    <col min="3846" max="3846" width="14" style="67" bestFit="1" customWidth="1"/>
    <col min="3847" max="3847" width="13" style="67" customWidth="1"/>
    <col min="3848" max="3848" width="12.85546875" style="67" bestFit="1" customWidth="1"/>
    <col min="3849" max="3849" width="15.28515625" style="67" customWidth="1"/>
    <col min="3850" max="3850" width="13.28515625" style="67" customWidth="1"/>
    <col min="3851" max="3851" width="14" style="67" bestFit="1" customWidth="1"/>
    <col min="3852" max="3852" width="13.7109375" style="67" customWidth="1"/>
    <col min="3853" max="3853" width="12" style="67" bestFit="1" customWidth="1"/>
    <col min="3854" max="3854" width="22.42578125" style="67" bestFit="1" customWidth="1"/>
    <col min="3855" max="4095" width="9.140625" style="67"/>
    <col min="4096" max="4096" width="7.42578125" style="67" bestFit="1" customWidth="1"/>
    <col min="4097" max="4098" width="14.7109375" style="67" bestFit="1" customWidth="1"/>
    <col min="4099" max="4099" width="16.5703125" style="67" bestFit="1" customWidth="1"/>
    <col min="4100" max="4100" width="16.140625" style="67" bestFit="1" customWidth="1"/>
    <col min="4101" max="4101" width="14.7109375" style="67" bestFit="1" customWidth="1"/>
    <col min="4102" max="4102" width="14" style="67" bestFit="1" customWidth="1"/>
    <col min="4103" max="4103" width="13" style="67" customWidth="1"/>
    <col min="4104" max="4104" width="12.85546875" style="67" bestFit="1" customWidth="1"/>
    <col min="4105" max="4105" width="15.28515625" style="67" customWidth="1"/>
    <col min="4106" max="4106" width="13.28515625" style="67" customWidth="1"/>
    <col min="4107" max="4107" width="14" style="67" bestFit="1" customWidth="1"/>
    <col min="4108" max="4108" width="13.7109375" style="67" customWidth="1"/>
    <col min="4109" max="4109" width="12" style="67" bestFit="1" customWidth="1"/>
    <col min="4110" max="4110" width="22.42578125" style="67" bestFit="1" customWidth="1"/>
    <col min="4111" max="4351" width="9.140625" style="67"/>
    <col min="4352" max="4352" width="7.42578125" style="67" bestFit="1" customWidth="1"/>
    <col min="4353" max="4354" width="14.7109375" style="67" bestFit="1" customWidth="1"/>
    <col min="4355" max="4355" width="16.5703125" style="67" bestFit="1" customWidth="1"/>
    <col min="4356" max="4356" width="16.140625" style="67" bestFit="1" customWidth="1"/>
    <col min="4357" max="4357" width="14.7109375" style="67" bestFit="1" customWidth="1"/>
    <col min="4358" max="4358" width="14" style="67" bestFit="1" customWidth="1"/>
    <col min="4359" max="4359" width="13" style="67" customWidth="1"/>
    <col min="4360" max="4360" width="12.85546875" style="67" bestFit="1" customWidth="1"/>
    <col min="4361" max="4361" width="15.28515625" style="67" customWidth="1"/>
    <col min="4362" max="4362" width="13.28515625" style="67" customWidth="1"/>
    <col min="4363" max="4363" width="14" style="67" bestFit="1" customWidth="1"/>
    <col min="4364" max="4364" width="13.7109375" style="67" customWidth="1"/>
    <col min="4365" max="4365" width="12" style="67" bestFit="1" customWidth="1"/>
    <col min="4366" max="4366" width="22.42578125" style="67" bestFit="1" customWidth="1"/>
    <col min="4367" max="4607" width="9.140625" style="67"/>
    <col min="4608" max="4608" width="7.42578125" style="67" bestFit="1" customWidth="1"/>
    <col min="4609" max="4610" width="14.7109375" style="67" bestFit="1" customWidth="1"/>
    <col min="4611" max="4611" width="16.5703125" style="67" bestFit="1" customWidth="1"/>
    <col min="4612" max="4612" width="16.140625" style="67" bestFit="1" customWidth="1"/>
    <col min="4613" max="4613" width="14.7109375" style="67" bestFit="1" customWidth="1"/>
    <col min="4614" max="4614" width="14" style="67" bestFit="1" customWidth="1"/>
    <col min="4615" max="4615" width="13" style="67" customWidth="1"/>
    <col min="4616" max="4616" width="12.85546875" style="67" bestFit="1" customWidth="1"/>
    <col min="4617" max="4617" width="15.28515625" style="67" customWidth="1"/>
    <col min="4618" max="4618" width="13.28515625" style="67" customWidth="1"/>
    <col min="4619" max="4619" width="14" style="67" bestFit="1" customWidth="1"/>
    <col min="4620" max="4620" width="13.7109375" style="67" customWidth="1"/>
    <col min="4621" max="4621" width="12" style="67" bestFit="1" customWidth="1"/>
    <col min="4622" max="4622" width="22.42578125" style="67" bestFit="1" customWidth="1"/>
    <col min="4623" max="4863" width="9.140625" style="67"/>
    <col min="4864" max="4864" width="7.42578125" style="67" bestFit="1" customWidth="1"/>
    <col min="4865" max="4866" width="14.7109375" style="67" bestFit="1" customWidth="1"/>
    <col min="4867" max="4867" width="16.5703125" style="67" bestFit="1" customWidth="1"/>
    <col min="4868" max="4868" width="16.140625" style="67" bestFit="1" customWidth="1"/>
    <col min="4869" max="4869" width="14.7109375" style="67" bestFit="1" customWidth="1"/>
    <col min="4870" max="4870" width="14" style="67" bestFit="1" customWidth="1"/>
    <col min="4871" max="4871" width="13" style="67" customWidth="1"/>
    <col min="4872" max="4872" width="12.85546875" style="67" bestFit="1" customWidth="1"/>
    <col min="4873" max="4873" width="15.28515625" style="67" customWidth="1"/>
    <col min="4874" max="4874" width="13.28515625" style="67" customWidth="1"/>
    <col min="4875" max="4875" width="14" style="67" bestFit="1" customWidth="1"/>
    <col min="4876" max="4876" width="13.7109375" style="67" customWidth="1"/>
    <col min="4877" max="4877" width="12" style="67" bestFit="1" customWidth="1"/>
    <col min="4878" max="4878" width="22.42578125" style="67" bestFit="1" customWidth="1"/>
    <col min="4879" max="5119" width="9.140625" style="67"/>
    <col min="5120" max="5120" width="7.42578125" style="67" bestFit="1" customWidth="1"/>
    <col min="5121" max="5122" width="14.7109375" style="67" bestFit="1" customWidth="1"/>
    <col min="5123" max="5123" width="16.5703125" style="67" bestFit="1" customWidth="1"/>
    <col min="5124" max="5124" width="16.140625" style="67" bestFit="1" customWidth="1"/>
    <col min="5125" max="5125" width="14.7109375" style="67" bestFit="1" customWidth="1"/>
    <col min="5126" max="5126" width="14" style="67" bestFit="1" customWidth="1"/>
    <col min="5127" max="5127" width="13" style="67" customWidth="1"/>
    <col min="5128" max="5128" width="12.85546875" style="67" bestFit="1" customWidth="1"/>
    <col min="5129" max="5129" width="15.28515625" style="67" customWidth="1"/>
    <col min="5130" max="5130" width="13.28515625" style="67" customWidth="1"/>
    <col min="5131" max="5131" width="14" style="67" bestFit="1" customWidth="1"/>
    <col min="5132" max="5132" width="13.7109375" style="67" customWidth="1"/>
    <col min="5133" max="5133" width="12" style="67" bestFit="1" customWidth="1"/>
    <col min="5134" max="5134" width="22.42578125" style="67" bestFit="1" customWidth="1"/>
    <col min="5135" max="5375" width="9.140625" style="67"/>
    <col min="5376" max="5376" width="7.42578125" style="67" bestFit="1" customWidth="1"/>
    <col min="5377" max="5378" width="14.7109375" style="67" bestFit="1" customWidth="1"/>
    <col min="5379" max="5379" width="16.5703125" style="67" bestFit="1" customWidth="1"/>
    <col min="5380" max="5380" width="16.140625" style="67" bestFit="1" customWidth="1"/>
    <col min="5381" max="5381" width="14.7109375" style="67" bestFit="1" customWidth="1"/>
    <col min="5382" max="5382" width="14" style="67" bestFit="1" customWidth="1"/>
    <col min="5383" max="5383" width="13" style="67" customWidth="1"/>
    <col min="5384" max="5384" width="12.85546875" style="67" bestFit="1" customWidth="1"/>
    <col min="5385" max="5385" width="15.28515625" style="67" customWidth="1"/>
    <col min="5386" max="5386" width="13.28515625" style="67" customWidth="1"/>
    <col min="5387" max="5387" width="14" style="67" bestFit="1" customWidth="1"/>
    <col min="5388" max="5388" width="13.7109375" style="67" customWidth="1"/>
    <col min="5389" max="5389" width="12" style="67" bestFit="1" customWidth="1"/>
    <col min="5390" max="5390" width="22.42578125" style="67" bestFit="1" customWidth="1"/>
    <col min="5391" max="5631" width="9.140625" style="67"/>
    <col min="5632" max="5632" width="7.42578125" style="67" bestFit="1" customWidth="1"/>
    <col min="5633" max="5634" width="14.7109375" style="67" bestFit="1" customWidth="1"/>
    <col min="5635" max="5635" width="16.5703125" style="67" bestFit="1" customWidth="1"/>
    <col min="5636" max="5636" width="16.140625" style="67" bestFit="1" customWidth="1"/>
    <col min="5637" max="5637" width="14.7109375" style="67" bestFit="1" customWidth="1"/>
    <col min="5638" max="5638" width="14" style="67" bestFit="1" customWidth="1"/>
    <col min="5639" max="5639" width="13" style="67" customWidth="1"/>
    <col min="5640" max="5640" width="12.85546875" style="67" bestFit="1" customWidth="1"/>
    <col min="5641" max="5641" width="15.28515625" style="67" customWidth="1"/>
    <col min="5642" max="5642" width="13.28515625" style="67" customWidth="1"/>
    <col min="5643" max="5643" width="14" style="67" bestFit="1" customWidth="1"/>
    <col min="5644" max="5644" width="13.7109375" style="67" customWidth="1"/>
    <col min="5645" max="5645" width="12" style="67" bestFit="1" customWidth="1"/>
    <col min="5646" max="5646" width="22.42578125" style="67" bestFit="1" customWidth="1"/>
    <col min="5647" max="5887" width="9.140625" style="67"/>
    <col min="5888" max="5888" width="7.42578125" style="67" bestFit="1" customWidth="1"/>
    <col min="5889" max="5890" width="14.7109375" style="67" bestFit="1" customWidth="1"/>
    <col min="5891" max="5891" width="16.5703125" style="67" bestFit="1" customWidth="1"/>
    <col min="5892" max="5892" width="16.140625" style="67" bestFit="1" customWidth="1"/>
    <col min="5893" max="5893" width="14.7109375" style="67" bestFit="1" customWidth="1"/>
    <col min="5894" max="5894" width="14" style="67" bestFit="1" customWidth="1"/>
    <col min="5895" max="5895" width="13" style="67" customWidth="1"/>
    <col min="5896" max="5896" width="12.85546875" style="67" bestFit="1" customWidth="1"/>
    <col min="5897" max="5897" width="15.28515625" style="67" customWidth="1"/>
    <col min="5898" max="5898" width="13.28515625" style="67" customWidth="1"/>
    <col min="5899" max="5899" width="14" style="67" bestFit="1" customWidth="1"/>
    <col min="5900" max="5900" width="13.7109375" style="67" customWidth="1"/>
    <col min="5901" max="5901" width="12" style="67" bestFit="1" customWidth="1"/>
    <col min="5902" max="5902" width="22.42578125" style="67" bestFit="1" customWidth="1"/>
    <col min="5903" max="6143" width="9.140625" style="67"/>
    <col min="6144" max="6144" width="7.42578125" style="67" bestFit="1" customWidth="1"/>
    <col min="6145" max="6146" width="14.7109375" style="67" bestFit="1" customWidth="1"/>
    <col min="6147" max="6147" width="16.5703125" style="67" bestFit="1" customWidth="1"/>
    <col min="6148" max="6148" width="16.140625" style="67" bestFit="1" customWidth="1"/>
    <col min="6149" max="6149" width="14.7109375" style="67" bestFit="1" customWidth="1"/>
    <col min="6150" max="6150" width="14" style="67" bestFit="1" customWidth="1"/>
    <col min="6151" max="6151" width="13" style="67" customWidth="1"/>
    <col min="6152" max="6152" width="12.85546875" style="67" bestFit="1" customWidth="1"/>
    <col min="6153" max="6153" width="15.28515625" style="67" customWidth="1"/>
    <col min="6154" max="6154" width="13.28515625" style="67" customWidth="1"/>
    <col min="6155" max="6155" width="14" style="67" bestFit="1" customWidth="1"/>
    <col min="6156" max="6156" width="13.7109375" style="67" customWidth="1"/>
    <col min="6157" max="6157" width="12" style="67" bestFit="1" customWidth="1"/>
    <col min="6158" max="6158" width="22.42578125" style="67" bestFit="1" customWidth="1"/>
    <col min="6159" max="6399" width="9.140625" style="67"/>
    <col min="6400" max="6400" width="7.42578125" style="67" bestFit="1" customWidth="1"/>
    <col min="6401" max="6402" width="14.7109375" style="67" bestFit="1" customWidth="1"/>
    <col min="6403" max="6403" width="16.5703125" style="67" bestFit="1" customWidth="1"/>
    <col min="6404" max="6404" width="16.140625" style="67" bestFit="1" customWidth="1"/>
    <col min="6405" max="6405" width="14.7109375" style="67" bestFit="1" customWidth="1"/>
    <col min="6406" max="6406" width="14" style="67" bestFit="1" customWidth="1"/>
    <col min="6407" max="6407" width="13" style="67" customWidth="1"/>
    <col min="6408" max="6408" width="12.85546875" style="67" bestFit="1" customWidth="1"/>
    <col min="6409" max="6409" width="15.28515625" style="67" customWidth="1"/>
    <col min="6410" max="6410" width="13.28515625" style="67" customWidth="1"/>
    <col min="6411" max="6411" width="14" style="67" bestFit="1" customWidth="1"/>
    <col min="6412" max="6412" width="13.7109375" style="67" customWidth="1"/>
    <col min="6413" max="6413" width="12" style="67" bestFit="1" customWidth="1"/>
    <col min="6414" max="6414" width="22.42578125" style="67" bestFit="1" customWidth="1"/>
    <col min="6415" max="6655" width="9.140625" style="67"/>
    <col min="6656" max="6656" width="7.42578125" style="67" bestFit="1" customWidth="1"/>
    <col min="6657" max="6658" width="14.7109375" style="67" bestFit="1" customWidth="1"/>
    <col min="6659" max="6659" width="16.5703125" style="67" bestFit="1" customWidth="1"/>
    <col min="6660" max="6660" width="16.140625" style="67" bestFit="1" customWidth="1"/>
    <col min="6661" max="6661" width="14.7109375" style="67" bestFit="1" customWidth="1"/>
    <col min="6662" max="6662" width="14" style="67" bestFit="1" customWidth="1"/>
    <col min="6663" max="6663" width="13" style="67" customWidth="1"/>
    <col min="6664" max="6664" width="12.85546875" style="67" bestFit="1" customWidth="1"/>
    <col min="6665" max="6665" width="15.28515625" style="67" customWidth="1"/>
    <col min="6666" max="6666" width="13.28515625" style="67" customWidth="1"/>
    <col min="6667" max="6667" width="14" style="67" bestFit="1" customWidth="1"/>
    <col min="6668" max="6668" width="13.7109375" style="67" customWidth="1"/>
    <col min="6669" max="6669" width="12" style="67" bestFit="1" customWidth="1"/>
    <col min="6670" max="6670" width="22.42578125" style="67" bestFit="1" customWidth="1"/>
    <col min="6671" max="6911" width="9.140625" style="67"/>
    <col min="6912" max="6912" width="7.42578125" style="67" bestFit="1" customWidth="1"/>
    <col min="6913" max="6914" width="14.7109375" style="67" bestFit="1" customWidth="1"/>
    <col min="6915" max="6915" width="16.5703125" style="67" bestFit="1" customWidth="1"/>
    <col min="6916" max="6916" width="16.140625" style="67" bestFit="1" customWidth="1"/>
    <col min="6917" max="6917" width="14.7109375" style="67" bestFit="1" customWidth="1"/>
    <col min="6918" max="6918" width="14" style="67" bestFit="1" customWidth="1"/>
    <col min="6919" max="6919" width="13" style="67" customWidth="1"/>
    <col min="6920" max="6920" width="12.85546875" style="67" bestFit="1" customWidth="1"/>
    <col min="6921" max="6921" width="15.28515625" style="67" customWidth="1"/>
    <col min="6922" max="6922" width="13.28515625" style="67" customWidth="1"/>
    <col min="6923" max="6923" width="14" style="67" bestFit="1" customWidth="1"/>
    <col min="6924" max="6924" width="13.7109375" style="67" customWidth="1"/>
    <col min="6925" max="6925" width="12" style="67" bestFit="1" customWidth="1"/>
    <col min="6926" max="6926" width="22.42578125" style="67" bestFit="1" customWidth="1"/>
    <col min="6927" max="7167" width="9.140625" style="67"/>
    <col min="7168" max="7168" width="7.42578125" style="67" bestFit="1" customWidth="1"/>
    <col min="7169" max="7170" width="14.7109375" style="67" bestFit="1" customWidth="1"/>
    <col min="7171" max="7171" width="16.5703125" style="67" bestFit="1" customWidth="1"/>
    <col min="7172" max="7172" width="16.140625" style="67" bestFit="1" customWidth="1"/>
    <col min="7173" max="7173" width="14.7109375" style="67" bestFit="1" customWidth="1"/>
    <col min="7174" max="7174" width="14" style="67" bestFit="1" customWidth="1"/>
    <col min="7175" max="7175" width="13" style="67" customWidth="1"/>
    <col min="7176" max="7176" width="12.85546875" style="67" bestFit="1" customWidth="1"/>
    <col min="7177" max="7177" width="15.28515625" style="67" customWidth="1"/>
    <col min="7178" max="7178" width="13.28515625" style="67" customWidth="1"/>
    <col min="7179" max="7179" width="14" style="67" bestFit="1" customWidth="1"/>
    <col min="7180" max="7180" width="13.7109375" style="67" customWidth="1"/>
    <col min="7181" max="7181" width="12" style="67" bestFit="1" customWidth="1"/>
    <col min="7182" max="7182" width="22.42578125" style="67" bestFit="1" customWidth="1"/>
    <col min="7183" max="7423" width="9.140625" style="67"/>
    <col min="7424" max="7424" width="7.42578125" style="67" bestFit="1" customWidth="1"/>
    <col min="7425" max="7426" width="14.7109375" style="67" bestFit="1" customWidth="1"/>
    <col min="7427" max="7427" width="16.5703125" style="67" bestFit="1" customWidth="1"/>
    <col min="7428" max="7428" width="16.140625" style="67" bestFit="1" customWidth="1"/>
    <col min="7429" max="7429" width="14.7109375" style="67" bestFit="1" customWidth="1"/>
    <col min="7430" max="7430" width="14" style="67" bestFit="1" customWidth="1"/>
    <col min="7431" max="7431" width="13" style="67" customWidth="1"/>
    <col min="7432" max="7432" width="12.85546875" style="67" bestFit="1" customWidth="1"/>
    <col min="7433" max="7433" width="15.28515625" style="67" customWidth="1"/>
    <col min="7434" max="7434" width="13.28515625" style="67" customWidth="1"/>
    <col min="7435" max="7435" width="14" style="67" bestFit="1" customWidth="1"/>
    <col min="7436" max="7436" width="13.7109375" style="67" customWidth="1"/>
    <col min="7437" max="7437" width="12" style="67" bestFit="1" customWidth="1"/>
    <col min="7438" max="7438" width="22.42578125" style="67" bestFit="1" customWidth="1"/>
    <col min="7439" max="7679" width="9.140625" style="67"/>
    <col min="7680" max="7680" width="7.42578125" style="67" bestFit="1" customWidth="1"/>
    <col min="7681" max="7682" width="14.7109375" style="67" bestFit="1" customWidth="1"/>
    <col min="7683" max="7683" width="16.5703125" style="67" bestFit="1" customWidth="1"/>
    <col min="7684" max="7684" width="16.140625" style="67" bestFit="1" customWidth="1"/>
    <col min="7685" max="7685" width="14.7109375" style="67" bestFit="1" customWidth="1"/>
    <col min="7686" max="7686" width="14" style="67" bestFit="1" customWidth="1"/>
    <col min="7687" max="7687" width="13" style="67" customWidth="1"/>
    <col min="7688" max="7688" width="12.85546875" style="67" bestFit="1" customWidth="1"/>
    <col min="7689" max="7689" width="15.28515625" style="67" customWidth="1"/>
    <col min="7690" max="7690" width="13.28515625" style="67" customWidth="1"/>
    <col min="7691" max="7691" width="14" style="67" bestFit="1" customWidth="1"/>
    <col min="7692" max="7692" width="13.7109375" style="67" customWidth="1"/>
    <col min="7693" max="7693" width="12" style="67" bestFit="1" customWidth="1"/>
    <col min="7694" max="7694" width="22.42578125" style="67" bestFit="1" customWidth="1"/>
    <col min="7695" max="7935" width="9.140625" style="67"/>
    <col min="7936" max="7936" width="7.42578125" style="67" bestFit="1" customWidth="1"/>
    <col min="7937" max="7938" width="14.7109375" style="67" bestFit="1" customWidth="1"/>
    <col min="7939" max="7939" width="16.5703125" style="67" bestFit="1" customWidth="1"/>
    <col min="7940" max="7940" width="16.140625" style="67" bestFit="1" customWidth="1"/>
    <col min="7941" max="7941" width="14.7109375" style="67" bestFit="1" customWidth="1"/>
    <col min="7942" max="7942" width="14" style="67" bestFit="1" customWidth="1"/>
    <col min="7943" max="7943" width="13" style="67" customWidth="1"/>
    <col min="7944" max="7944" width="12.85546875" style="67" bestFit="1" customWidth="1"/>
    <col min="7945" max="7945" width="15.28515625" style="67" customWidth="1"/>
    <col min="7946" max="7946" width="13.28515625" style="67" customWidth="1"/>
    <col min="7947" max="7947" width="14" style="67" bestFit="1" customWidth="1"/>
    <col min="7948" max="7948" width="13.7109375" style="67" customWidth="1"/>
    <col min="7949" max="7949" width="12" style="67" bestFit="1" customWidth="1"/>
    <col min="7950" max="7950" width="22.42578125" style="67" bestFit="1" customWidth="1"/>
    <col min="7951" max="8191" width="9.140625" style="67"/>
    <col min="8192" max="8192" width="7.42578125" style="67" bestFit="1" customWidth="1"/>
    <col min="8193" max="8194" width="14.7109375" style="67" bestFit="1" customWidth="1"/>
    <col min="8195" max="8195" width="16.5703125" style="67" bestFit="1" customWidth="1"/>
    <col min="8196" max="8196" width="16.140625" style="67" bestFit="1" customWidth="1"/>
    <col min="8197" max="8197" width="14.7109375" style="67" bestFit="1" customWidth="1"/>
    <col min="8198" max="8198" width="14" style="67" bestFit="1" customWidth="1"/>
    <col min="8199" max="8199" width="13" style="67" customWidth="1"/>
    <col min="8200" max="8200" width="12.85546875" style="67" bestFit="1" customWidth="1"/>
    <col min="8201" max="8201" width="15.28515625" style="67" customWidth="1"/>
    <col min="8202" max="8202" width="13.28515625" style="67" customWidth="1"/>
    <col min="8203" max="8203" width="14" style="67" bestFit="1" customWidth="1"/>
    <col min="8204" max="8204" width="13.7109375" style="67" customWidth="1"/>
    <col min="8205" max="8205" width="12" style="67" bestFit="1" customWidth="1"/>
    <col min="8206" max="8206" width="22.42578125" style="67" bestFit="1" customWidth="1"/>
    <col min="8207" max="8447" width="9.140625" style="67"/>
    <col min="8448" max="8448" width="7.42578125" style="67" bestFit="1" customWidth="1"/>
    <col min="8449" max="8450" width="14.7109375" style="67" bestFit="1" customWidth="1"/>
    <col min="8451" max="8451" width="16.5703125" style="67" bestFit="1" customWidth="1"/>
    <col min="8452" max="8452" width="16.140625" style="67" bestFit="1" customWidth="1"/>
    <col min="8453" max="8453" width="14.7109375" style="67" bestFit="1" customWidth="1"/>
    <col min="8454" max="8454" width="14" style="67" bestFit="1" customWidth="1"/>
    <col min="8455" max="8455" width="13" style="67" customWidth="1"/>
    <col min="8456" max="8456" width="12.85546875" style="67" bestFit="1" customWidth="1"/>
    <col min="8457" max="8457" width="15.28515625" style="67" customWidth="1"/>
    <col min="8458" max="8458" width="13.28515625" style="67" customWidth="1"/>
    <col min="8459" max="8459" width="14" style="67" bestFit="1" customWidth="1"/>
    <col min="8460" max="8460" width="13.7109375" style="67" customWidth="1"/>
    <col min="8461" max="8461" width="12" style="67" bestFit="1" customWidth="1"/>
    <col min="8462" max="8462" width="22.42578125" style="67" bestFit="1" customWidth="1"/>
    <col min="8463" max="8703" width="9.140625" style="67"/>
    <col min="8704" max="8704" width="7.42578125" style="67" bestFit="1" customWidth="1"/>
    <col min="8705" max="8706" width="14.7109375" style="67" bestFit="1" customWidth="1"/>
    <col min="8707" max="8707" width="16.5703125" style="67" bestFit="1" customWidth="1"/>
    <col min="8708" max="8708" width="16.140625" style="67" bestFit="1" customWidth="1"/>
    <col min="8709" max="8709" width="14.7109375" style="67" bestFit="1" customWidth="1"/>
    <col min="8710" max="8710" width="14" style="67" bestFit="1" customWidth="1"/>
    <col min="8711" max="8711" width="13" style="67" customWidth="1"/>
    <col min="8712" max="8712" width="12.85546875" style="67" bestFit="1" customWidth="1"/>
    <col min="8713" max="8713" width="15.28515625" style="67" customWidth="1"/>
    <col min="8714" max="8714" width="13.28515625" style="67" customWidth="1"/>
    <col min="8715" max="8715" width="14" style="67" bestFit="1" customWidth="1"/>
    <col min="8716" max="8716" width="13.7109375" style="67" customWidth="1"/>
    <col min="8717" max="8717" width="12" style="67" bestFit="1" customWidth="1"/>
    <col min="8718" max="8718" width="22.42578125" style="67" bestFit="1" customWidth="1"/>
    <col min="8719" max="8959" width="9.140625" style="67"/>
    <col min="8960" max="8960" width="7.42578125" style="67" bestFit="1" customWidth="1"/>
    <col min="8961" max="8962" width="14.7109375" style="67" bestFit="1" customWidth="1"/>
    <col min="8963" max="8963" width="16.5703125" style="67" bestFit="1" customWidth="1"/>
    <col min="8964" max="8964" width="16.140625" style="67" bestFit="1" customWidth="1"/>
    <col min="8965" max="8965" width="14.7109375" style="67" bestFit="1" customWidth="1"/>
    <col min="8966" max="8966" width="14" style="67" bestFit="1" customWidth="1"/>
    <col min="8967" max="8967" width="13" style="67" customWidth="1"/>
    <col min="8968" max="8968" width="12.85546875" style="67" bestFit="1" customWidth="1"/>
    <col min="8969" max="8969" width="15.28515625" style="67" customWidth="1"/>
    <col min="8970" max="8970" width="13.28515625" style="67" customWidth="1"/>
    <col min="8971" max="8971" width="14" style="67" bestFit="1" customWidth="1"/>
    <col min="8972" max="8972" width="13.7109375" style="67" customWidth="1"/>
    <col min="8973" max="8973" width="12" style="67" bestFit="1" customWidth="1"/>
    <col min="8974" max="8974" width="22.42578125" style="67" bestFit="1" customWidth="1"/>
    <col min="8975" max="9215" width="9.140625" style="67"/>
    <col min="9216" max="9216" width="7.42578125" style="67" bestFit="1" customWidth="1"/>
    <col min="9217" max="9218" width="14.7109375" style="67" bestFit="1" customWidth="1"/>
    <col min="9219" max="9219" width="16.5703125" style="67" bestFit="1" customWidth="1"/>
    <col min="9220" max="9220" width="16.140625" style="67" bestFit="1" customWidth="1"/>
    <col min="9221" max="9221" width="14.7109375" style="67" bestFit="1" customWidth="1"/>
    <col min="9222" max="9222" width="14" style="67" bestFit="1" customWidth="1"/>
    <col min="9223" max="9223" width="13" style="67" customWidth="1"/>
    <col min="9224" max="9224" width="12.85546875" style="67" bestFit="1" customWidth="1"/>
    <col min="9225" max="9225" width="15.28515625" style="67" customWidth="1"/>
    <col min="9226" max="9226" width="13.28515625" style="67" customWidth="1"/>
    <col min="9227" max="9227" width="14" style="67" bestFit="1" customWidth="1"/>
    <col min="9228" max="9228" width="13.7109375" style="67" customWidth="1"/>
    <col min="9229" max="9229" width="12" style="67" bestFit="1" customWidth="1"/>
    <col min="9230" max="9230" width="22.42578125" style="67" bestFit="1" customWidth="1"/>
    <col min="9231" max="9471" width="9.140625" style="67"/>
    <col min="9472" max="9472" width="7.42578125" style="67" bestFit="1" customWidth="1"/>
    <col min="9473" max="9474" width="14.7109375" style="67" bestFit="1" customWidth="1"/>
    <col min="9475" max="9475" width="16.5703125" style="67" bestFit="1" customWidth="1"/>
    <col min="9476" max="9476" width="16.140625" style="67" bestFit="1" customWidth="1"/>
    <col min="9477" max="9477" width="14.7109375" style="67" bestFit="1" customWidth="1"/>
    <col min="9478" max="9478" width="14" style="67" bestFit="1" customWidth="1"/>
    <col min="9479" max="9479" width="13" style="67" customWidth="1"/>
    <col min="9480" max="9480" width="12.85546875" style="67" bestFit="1" customWidth="1"/>
    <col min="9481" max="9481" width="15.28515625" style="67" customWidth="1"/>
    <col min="9482" max="9482" width="13.28515625" style="67" customWidth="1"/>
    <col min="9483" max="9483" width="14" style="67" bestFit="1" customWidth="1"/>
    <col min="9484" max="9484" width="13.7109375" style="67" customWidth="1"/>
    <col min="9485" max="9485" width="12" style="67" bestFit="1" customWidth="1"/>
    <col min="9486" max="9486" width="22.42578125" style="67" bestFit="1" customWidth="1"/>
    <col min="9487" max="9727" width="9.140625" style="67"/>
    <col min="9728" max="9728" width="7.42578125" style="67" bestFit="1" customWidth="1"/>
    <col min="9729" max="9730" width="14.7109375" style="67" bestFit="1" customWidth="1"/>
    <col min="9731" max="9731" width="16.5703125" style="67" bestFit="1" customWidth="1"/>
    <col min="9732" max="9732" width="16.140625" style="67" bestFit="1" customWidth="1"/>
    <col min="9733" max="9733" width="14.7109375" style="67" bestFit="1" customWidth="1"/>
    <col min="9734" max="9734" width="14" style="67" bestFit="1" customWidth="1"/>
    <col min="9735" max="9735" width="13" style="67" customWidth="1"/>
    <col min="9736" max="9736" width="12.85546875" style="67" bestFit="1" customWidth="1"/>
    <col min="9737" max="9737" width="15.28515625" style="67" customWidth="1"/>
    <col min="9738" max="9738" width="13.28515625" style="67" customWidth="1"/>
    <col min="9739" max="9739" width="14" style="67" bestFit="1" customWidth="1"/>
    <col min="9740" max="9740" width="13.7109375" style="67" customWidth="1"/>
    <col min="9741" max="9741" width="12" style="67" bestFit="1" customWidth="1"/>
    <col min="9742" max="9742" width="22.42578125" style="67" bestFit="1" customWidth="1"/>
    <col min="9743" max="9983" width="9.140625" style="67"/>
    <col min="9984" max="9984" width="7.42578125" style="67" bestFit="1" customWidth="1"/>
    <col min="9985" max="9986" width="14.7109375" style="67" bestFit="1" customWidth="1"/>
    <col min="9987" max="9987" width="16.5703125" style="67" bestFit="1" customWidth="1"/>
    <col min="9988" max="9988" width="16.140625" style="67" bestFit="1" customWidth="1"/>
    <col min="9989" max="9989" width="14.7109375" style="67" bestFit="1" customWidth="1"/>
    <col min="9990" max="9990" width="14" style="67" bestFit="1" customWidth="1"/>
    <col min="9991" max="9991" width="13" style="67" customWidth="1"/>
    <col min="9992" max="9992" width="12.85546875" style="67" bestFit="1" customWidth="1"/>
    <col min="9993" max="9993" width="15.28515625" style="67" customWidth="1"/>
    <col min="9994" max="9994" width="13.28515625" style="67" customWidth="1"/>
    <col min="9995" max="9995" width="14" style="67" bestFit="1" customWidth="1"/>
    <col min="9996" max="9996" width="13.7109375" style="67" customWidth="1"/>
    <col min="9997" max="9997" width="12" style="67" bestFit="1" customWidth="1"/>
    <col min="9998" max="9998" width="22.42578125" style="67" bestFit="1" customWidth="1"/>
    <col min="9999" max="10239" width="9.140625" style="67"/>
    <col min="10240" max="10240" width="7.42578125" style="67" bestFit="1" customWidth="1"/>
    <col min="10241" max="10242" width="14.7109375" style="67" bestFit="1" customWidth="1"/>
    <col min="10243" max="10243" width="16.5703125" style="67" bestFit="1" customWidth="1"/>
    <col min="10244" max="10244" width="16.140625" style="67" bestFit="1" customWidth="1"/>
    <col min="10245" max="10245" width="14.7109375" style="67" bestFit="1" customWidth="1"/>
    <col min="10246" max="10246" width="14" style="67" bestFit="1" customWidth="1"/>
    <col min="10247" max="10247" width="13" style="67" customWidth="1"/>
    <col min="10248" max="10248" width="12.85546875" style="67" bestFit="1" customWidth="1"/>
    <col min="10249" max="10249" width="15.28515625" style="67" customWidth="1"/>
    <col min="10250" max="10250" width="13.28515625" style="67" customWidth="1"/>
    <col min="10251" max="10251" width="14" style="67" bestFit="1" customWidth="1"/>
    <col min="10252" max="10252" width="13.7109375" style="67" customWidth="1"/>
    <col min="10253" max="10253" width="12" style="67" bestFit="1" customWidth="1"/>
    <col min="10254" max="10254" width="22.42578125" style="67" bestFit="1" customWidth="1"/>
    <col min="10255" max="10495" width="9.140625" style="67"/>
    <col min="10496" max="10496" width="7.42578125" style="67" bestFit="1" customWidth="1"/>
    <col min="10497" max="10498" width="14.7109375" style="67" bestFit="1" customWidth="1"/>
    <col min="10499" max="10499" width="16.5703125" style="67" bestFit="1" customWidth="1"/>
    <col min="10500" max="10500" width="16.140625" style="67" bestFit="1" customWidth="1"/>
    <col min="10501" max="10501" width="14.7109375" style="67" bestFit="1" customWidth="1"/>
    <col min="10502" max="10502" width="14" style="67" bestFit="1" customWidth="1"/>
    <col min="10503" max="10503" width="13" style="67" customWidth="1"/>
    <col min="10504" max="10504" width="12.85546875" style="67" bestFit="1" customWidth="1"/>
    <col min="10505" max="10505" width="15.28515625" style="67" customWidth="1"/>
    <col min="10506" max="10506" width="13.28515625" style="67" customWidth="1"/>
    <col min="10507" max="10507" width="14" style="67" bestFit="1" customWidth="1"/>
    <col min="10508" max="10508" width="13.7109375" style="67" customWidth="1"/>
    <col min="10509" max="10509" width="12" style="67" bestFit="1" customWidth="1"/>
    <col min="10510" max="10510" width="22.42578125" style="67" bestFit="1" customWidth="1"/>
    <col min="10511" max="10751" width="9.140625" style="67"/>
    <col min="10752" max="10752" width="7.42578125" style="67" bestFit="1" customWidth="1"/>
    <col min="10753" max="10754" width="14.7109375" style="67" bestFit="1" customWidth="1"/>
    <col min="10755" max="10755" width="16.5703125" style="67" bestFit="1" customWidth="1"/>
    <col min="10756" max="10756" width="16.140625" style="67" bestFit="1" customWidth="1"/>
    <col min="10757" max="10757" width="14.7109375" style="67" bestFit="1" customWidth="1"/>
    <col min="10758" max="10758" width="14" style="67" bestFit="1" customWidth="1"/>
    <col min="10759" max="10759" width="13" style="67" customWidth="1"/>
    <col min="10760" max="10760" width="12.85546875" style="67" bestFit="1" customWidth="1"/>
    <col min="10761" max="10761" width="15.28515625" style="67" customWidth="1"/>
    <col min="10762" max="10762" width="13.28515625" style="67" customWidth="1"/>
    <col min="10763" max="10763" width="14" style="67" bestFit="1" customWidth="1"/>
    <col min="10764" max="10764" width="13.7109375" style="67" customWidth="1"/>
    <col min="10765" max="10765" width="12" style="67" bestFit="1" customWidth="1"/>
    <col min="10766" max="10766" width="22.42578125" style="67" bestFit="1" customWidth="1"/>
    <col min="10767" max="11007" width="9.140625" style="67"/>
    <col min="11008" max="11008" width="7.42578125" style="67" bestFit="1" customWidth="1"/>
    <col min="11009" max="11010" width="14.7109375" style="67" bestFit="1" customWidth="1"/>
    <col min="11011" max="11011" width="16.5703125" style="67" bestFit="1" customWidth="1"/>
    <col min="11012" max="11012" width="16.140625" style="67" bestFit="1" customWidth="1"/>
    <col min="11013" max="11013" width="14.7109375" style="67" bestFit="1" customWidth="1"/>
    <col min="11014" max="11014" width="14" style="67" bestFit="1" customWidth="1"/>
    <col min="11015" max="11015" width="13" style="67" customWidth="1"/>
    <col min="11016" max="11016" width="12.85546875" style="67" bestFit="1" customWidth="1"/>
    <col min="11017" max="11017" width="15.28515625" style="67" customWidth="1"/>
    <col min="11018" max="11018" width="13.28515625" style="67" customWidth="1"/>
    <col min="11019" max="11019" width="14" style="67" bestFit="1" customWidth="1"/>
    <col min="11020" max="11020" width="13.7109375" style="67" customWidth="1"/>
    <col min="11021" max="11021" width="12" style="67" bestFit="1" customWidth="1"/>
    <col min="11022" max="11022" width="22.42578125" style="67" bestFit="1" customWidth="1"/>
    <col min="11023" max="11263" width="9.140625" style="67"/>
    <col min="11264" max="11264" width="7.42578125" style="67" bestFit="1" customWidth="1"/>
    <col min="11265" max="11266" width="14.7109375" style="67" bestFit="1" customWidth="1"/>
    <col min="11267" max="11267" width="16.5703125" style="67" bestFit="1" customWidth="1"/>
    <col min="11268" max="11268" width="16.140625" style="67" bestFit="1" customWidth="1"/>
    <col min="11269" max="11269" width="14.7109375" style="67" bestFit="1" customWidth="1"/>
    <col min="11270" max="11270" width="14" style="67" bestFit="1" customWidth="1"/>
    <col min="11271" max="11271" width="13" style="67" customWidth="1"/>
    <col min="11272" max="11272" width="12.85546875" style="67" bestFit="1" customWidth="1"/>
    <col min="11273" max="11273" width="15.28515625" style="67" customWidth="1"/>
    <col min="11274" max="11274" width="13.28515625" style="67" customWidth="1"/>
    <col min="11275" max="11275" width="14" style="67" bestFit="1" customWidth="1"/>
    <col min="11276" max="11276" width="13.7109375" style="67" customWidth="1"/>
    <col min="11277" max="11277" width="12" style="67" bestFit="1" customWidth="1"/>
    <col min="11278" max="11278" width="22.42578125" style="67" bestFit="1" customWidth="1"/>
    <col min="11279" max="11519" width="9.140625" style="67"/>
    <col min="11520" max="11520" width="7.42578125" style="67" bestFit="1" customWidth="1"/>
    <col min="11521" max="11522" width="14.7109375" style="67" bestFit="1" customWidth="1"/>
    <col min="11523" max="11523" width="16.5703125" style="67" bestFit="1" customWidth="1"/>
    <col min="11524" max="11524" width="16.140625" style="67" bestFit="1" customWidth="1"/>
    <col min="11525" max="11525" width="14.7109375" style="67" bestFit="1" customWidth="1"/>
    <col min="11526" max="11526" width="14" style="67" bestFit="1" customWidth="1"/>
    <col min="11527" max="11527" width="13" style="67" customWidth="1"/>
    <col min="11528" max="11528" width="12.85546875" style="67" bestFit="1" customWidth="1"/>
    <col min="11529" max="11529" width="15.28515625" style="67" customWidth="1"/>
    <col min="11530" max="11530" width="13.28515625" style="67" customWidth="1"/>
    <col min="11531" max="11531" width="14" style="67" bestFit="1" customWidth="1"/>
    <col min="11532" max="11532" width="13.7109375" style="67" customWidth="1"/>
    <col min="11533" max="11533" width="12" style="67" bestFit="1" customWidth="1"/>
    <col min="11534" max="11534" width="22.42578125" style="67" bestFit="1" customWidth="1"/>
    <col min="11535" max="11775" width="9.140625" style="67"/>
    <col min="11776" max="11776" width="7.42578125" style="67" bestFit="1" customWidth="1"/>
    <col min="11777" max="11778" width="14.7109375" style="67" bestFit="1" customWidth="1"/>
    <col min="11779" max="11779" width="16.5703125" style="67" bestFit="1" customWidth="1"/>
    <col min="11780" max="11780" width="16.140625" style="67" bestFit="1" customWidth="1"/>
    <col min="11781" max="11781" width="14.7109375" style="67" bestFit="1" customWidth="1"/>
    <col min="11782" max="11782" width="14" style="67" bestFit="1" customWidth="1"/>
    <col min="11783" max="11783" width="13" style="67" customWidth="1"/>
    <col min="11784" max="11784" width="12.85546875" style="67" bestFit="1" customWidth="1"/>
    <col min="11785" max="11785" width="15.28515625" style="67" customWidth="1"/>
    <col min="11786" max="11786" width="13.28515625" style="67" customWidth="1"/>
    <col min="11787" max="11787" width="14" style="67" bestFit="1" customWidth="1"/>
    <col min="11788" max="11788" width="13.7109375" style="67" customWidth="1"/>
    <col min="11789" max="11789" width="12" style="67" bestFit="1" customWidth="1"/>
    <col min="11790" max="11790" width="22.42578125" style="67" bestFit="1" customWidth="1"/>
    <col min="11791" max="12031" width="9.140625" style="67"/>
    <col min="12032" max="12032" width="7.42578125" style="67" bestFit="1" customWidth="1"/>
    <col min="12033" max="12034" width="14.7109375" style="67" bestFit="1" customWidth="1"/>
    <col min="12035" max="12035" width="16.5703125" style="67" bestFit="1" customWidth="1"/>
    <col min="12036" max="12036" width="16.140625" style="67" bestFit="1" customWidth="1"/>
    <col min="12037" max="12037" width="14.7109375" style="67" bestFit="1" customWidth="1"/>
    <col min="12038" max="12038" width="14" style="67" bestFit="1" customWidth="1"/>
    <col min="12039" max="12039" width="13" style="67" customWidth="1"/>
    <col min="12040" max="12040" width="12.85546875" style="67" bestFit="1" customWidth="1"/>
    <col min="12041" max="12041" width="15.28515625" style="67" customWidth="1"/>
    <col min="12042" max="12042" width="13.28515625" style="67" customWidth="1"/>
    <col min="12043" max="12043" width="14" style="67" bestFit="1" customWidth="1"/>
    <col min="12044" max="12044" width="13.7109375" style="67" customWidth="1"/>
    <col min="12045" max="12045" width="12" style="67" bestFit="1" customWidth="1"/>
    <col min="12046" max="12046" width="22.42578125" style="67" bestFit="1" customWidth="1"/>
    <col min="12047" max="12287" width="9.140625" style="67"/>
    <col min="12288" max="12288" width="7.42578125" style="67" bestFit="1" customWidth="1"/>
    <col min="12289" max="12290" width="14.7109375" style="67" bestFit="1" customWidth="1"/>
    <col min="12291" max="12291" width="16.5703125" style="67" bestFit="1" customWidth="1"/>
    <col min="12292" max="12292" width="16.140625" style="67" bestFit="1" customWidth="1"/>
    <col min="12293" max="12293" width="14.7109375" style="67" bestFit="1" customWidth="1"/>
    <col min="12294" max="12294" width="14" style="67" bestFit="1" customWidth="1"/>
    <col min="12295" max="12295" width="13" style="67" customWidth="1"/>
    <col min="12296" max="12296" width="12.85546875" style="67" bestFit="1" customWidth="1"/>
    <col min="12297" max="12297" width="15.28515625" style="67" customWidth="1"/>
    <col min="12298" max="12298" width="13.28515625" style="67" customWidth="1"/>
    <col min="12299" max="12299" width="14" style="67" bestFit="1" customWidth="1"/>
    <col min="12300" max="12300" width="13.7109375" style="67" customWidth="1"/>
    <col min="12301" max="12301" width="12" style="67" bestFit="1" customWidth="1"/>
    <col min="12302" max="12302" width="22.42578125" style="67" bestFit="1" customWidth="1"/>
    <col min="12303" max="12543" width="9.140625" style="67"/>
    <col min="12544" max="12544" width="7.42578125" style="67" bestFit="1" customWidth="1"/>
    <col min="12545" max="12546" width="14.7109375" style="67" bestFit="1" customWidth="1"/>
    <col min="12547" max="12547" width="16.5703125" style="67" bestFit="1" customWidth="1"/>
    <col min="12548" max="12548" width="16.140625" style="67" bestFit="1" customWidth="1"/>
    <col min="12549" max="12549" width="14.7109375" style="67" bestFit="1" customWidth="1"/>
    <col min="12550" max="12550" width="14" style="67" bestFit="1" customWidth="1"/>
    <col min="12551" max="12551" width="13" style="67" customWidth="1"/>
    <col min="12552" max="12552" width="12.85546875" style="67" bestFit="1" customWidth="1"/>
    <col min="12553" max="12553" width="15.28515625" style="67" customWidth="1"/>
    <col min="12554" max="12554" width="13.28515625" style="67" customWidth="1"/>
    <col min="12555" max="12555" width="14" style="67" bestFit="1" customWidth="1"/>
    <col min="12556" max="12556" width="13.7109375" style="67" customWidth="1"/>
    <col min="12557" max="12557" width="12" style="67" bestFit="1" customWidth="1"/>
    <col min="12558" max="12558" width="22.42578125" style="67" bestFit="1" customWidth="1"/>
    <col min="12559" max="12799" width="9.140625" style="67"/>
    <col min="12800" max="12800" width="7.42578125" style="67" bestFit="1" customWidth="1"/>
    <col min="12801" max="12802" width="14.7109375" style="67" bestFit="1" customWidth="1"/>
    <col min="12803" max="12803" width="16.5703125" style="67" bestFit="1" customWidth="1"/>
    <col min="12804" max="12804" width="16.140625" style="67" bestFit="1" customWidth="1"/>
    <col min="12805" max="12805" width="14.7109375" style="67" bestFit="1" customWidth="1"/>
    <col min="12806" max="12806" width="14" style="67" bestFit="1" customWidth="1"/>
    <col min="12807" max="12807" width="13" style="67" customWidth="1"/>
    <col min="12808" max="12808" width="12.85546875" style="67" bestFit="1" customWidth="1"/>
    <col min="12809" max="12809" width="15.28515625" style="67" customWidth="1"/>
    <col min="12810" max="12810" width="13.28515625" style="67" customWidth="1"/>
    <col min="12811" max="12811" width="14" style="67" bestFit="1" customWidth="1"/>
    <col min="12812" max="12812" width="13.7109375" style="67" customWidth="1"/>
    <col min="12813" max="12813" width="12" style="67" bestFit="1" customWidth="1"/>
    <col min="12814" max="12814" width="22.42578125" style="67" bestFit="1" customWidth="1"/>
    <col min="12815" max="13055" width="9.140625" style="67"/>
    <col min="13056" max="13056" width="7.42578125" style="67" bestFit="1" customWidth="1"/>
    <col min="13057" max="13058" width="14.7109375" style="67" bestFit="1" customWidth="1"/>
    <col min="13059" max="13059" width="16.5703125" style="67" bestFit="1" customWidth="1"/>
    <col min="13060" max="13060" width="16.140625" style="67" bestFit="1" customWidth="1"/>
    <col min="13061" max="13061" width="14.7109375" style="67" bestFit="1" customWidth="1"/>
    <col min="13062" max="13062" width="14" style="67" bestFit="1" customWidth="1"/>
    <col min="13063" max="13063" width="13" style="67" customWidth="1"/>
    <col min="13064" max="13064" width="12.85546875" style="67" bestFit="1" customWidth="1"/>
    <col min="13065" max="13065" width="15.28515625" style="67" customWidth="1"/>
    <col min="13066" max="13066" width="13.28515625" style="67" customWidth="1"/>
    <col min="13067" max="13067" width="14" style="67" bestFit="1" customWidth="1"/>
    <col min="13068" max="13068" width="13.7109375" style="67" customWidth="1"/>
    <col min="13069" max="13069" width="12" style="67" bestFit="1" customWidth="1"/>
    <col min="13070" max="13070" width="22.42578125" style="67" bestFit="1" customWidth="1"/>
    <col min="13071" max="13311" width="9.140625" style="67"/>
    <col min="13312" max="13312" width="7.42578125" style="67" bestFit="1" customWidth="1"/>
    <col min="13313" max="13314" width="14.7109375" style="67" bestFit="1" customWidth="1"/>
    <col min="13315" max="13315" width="16.5703125" style="67" bestFit="1" customWidth="1"/>
    <col min="13316" max="13316" width="16.140625" style="67" bestFit="1" customWidth="1"/>
    <col min="13317" max="13317" width="14.7109375" style="67" bestFit="1" customWidth="1"/>
    <col min="13318" max="13318" width="14" style="67" bestFit="1" customWidth="1"/>
    <col min="13319" max="13319" width="13" style="67" customWidth="1"/>
    <col min="13320" max="13320" width="12.85546875" style="67" bestFit="1" customWidth="1"/>
    <col min="13321" max="13321" width="15.28515625" style="67" customWidth="1"/>
    <col min="13322" max="13322" width="13.28515625" style="67" customWidth="1"/>
    <col min="13323" max="13323" width="14" style="67" bestFit="1" customWidth="1"/>
    <col min="13324" max="13324" width="13.7109375" style="67" customWidth="1"/>
    <col min="13325" max="13325" width="12" style="67" bestFit="1" customWidth="1"/>
    <col min="13326" max="13326" width="22.42578125" style="67" bestFit="1" customWidth="1"/>
    <col min="13327" max="13567" width="9.140625" style="67"/>
    <col min="13568" max="13568" width="7.42578125" style="67" bestFit="1" customWidth="1"/>
    <col min="13569" max="13570" width="14.7109375" style="67" bestFit="1" customWidth="1"/>
    <col min="13571" max="13571" width="16.5703125" style="67" bestFit="1" customWidth="1"/>
    <col min="13572" max="13572" width="16.140625" style="67" bestFit="1" customWidth="1"/>
    <col min="13573" max="13573" width="14.7109375" style="67" bestFit="1" customWidth="1"/>
    <col min="13574" max="13574" width="14" style="67" bestFit="1" customWidth="1"/>
    <col min="13575" max="13575" width="13" style="67" customWidth="1"/>
    <col min="13576" max="13576" width="12.85546875" style="67" bestFit="1" customWidth="1"/>
    <col min="13577" max="13577" width="15.28515625" style="67" customWidth="1"/>
    <col min="13578" max="13578" width="13.28515625" style="67" customWidth="1"/>
    <col min="13579" max="13579" width="14" style="67" bestFit="1" customWidth="1"/>
    <col min="13580" max="13580" width="13.7109375" style="67" customWidth="1"/>
    <col min="13581" max="13581" width="12" style="67" bestFit="1" customWidth="1"/>
    <col min="13582" max="13582" width="22.42578125" style="67" bestFit="1" customWidth="1"/>
    <col min="13583" max="13823" width="9.140625" style="67"/>
    <col min="13824" max="13824" width="7.42578125" style="67" bestFit="1" customWidth="1"/>
    <col min="13825" max="13826" width="14.7109375" style="67" bestFit="1" customWidth="1"/>
    <col min="13827" max="13827" width="16.5703125" style="67" bestFit="1" customWidth="1"/>
    <col min="13828" max="13828" width="16.140625" style="67" bestFit="1" customWidth="1"/>
    <col min="13829" max="13829" width="14.7109375" style="67" bestFit="1" customWidth="1"/>
    <col min="13830" max="13830" width="14" style="67" bestFit="1" customWidth="1"/>
    <col min="13831" max="13831" width="13" style="67" customWidth="1"/>
    <col min="13832" max="13832" width="12.85546875" style="67" bestFit="1" customWidth="1"/>
    <col min="13833" max="13833" width="15.28515625" style="67" customWidth="1"/>
    <col min="13834" max="13834" width="13.28515625" style="67" customWidth="1"/>
    <col min="13835" max="13835" width="14" style="67" bestFit="1" customWidth="1"/>
    <col min="13836" max="13836" width="13.7109375" style="67" customWidth="1"/>
    <col min="13837" max="13837" width="12" style="67" bestFit="1" customWidth="1"/>
    <col min="13838" max="13838" width="22.42578125" style="67" bestFit="1" customWidth="1"/>
    <col min="13839" max="14079" width="9.140625" style="67"/>
    <col min="14080" max="14080" width="7.42578125" style="67" bestFit="1" customWidth="1"/>
    <col min="14081" max="14082" width="14.7109375" style="67" bestFit="1" customWidth="1"/>
    <col min="14083" max="14083" width="16.5703125" style="67" bestFit="1" customWidth="1"/>
    <col min="14084" max="14084" width="16.140625" style="67" bestFit="1" customWidth="1"/>
    <col min="14085" max="14085" width="14.7109375" style="67" bestFit="1" customWidth="1"/>
    <col min="14086" max="14086" width="14" style="67" bestFit="1" customWidth="1"/>
    <col min="14087" max="14087" width="13" style="67" customWidth="1"/>
    <col min="14088" max="14088" width="12.85546875" style="67" bestFit="1" customWidth="1"/>
    <col min="14089" max="14089" width="15.28515625" style="67" customWidth="1"/>
    <col min="14090" max="14090" width="13.28515625" style="67" customWidth="1"/>
    <col min="14091" max="14091" width="14" style="67" bestFit="1" customWidth="1"/>
    <col min="14092" max="14092" width="13.7109375" style="67" customWidth="1"/>
    <col min="14093" max="14093" width="12" style="67" bestFit="1" customWidth="1"/>
    <col min="14094" max="14094" width="22.42578125" style="67" bestFit="1" customWidth="1"/>
    <col min="14095" max="14335" width="9.140625" style="67"/>
    <col min="14336" max="14336" width="7.42578125" style="67" bestFit="1" customWidth="1"/>
    <col min="14337" max="14338" width="14.7109375" style="67" bestFit="1" customWidth="1"/>
    <col min="14339" max="14339" width="16.5703125" style="67" bestFit="1" customWidth="1"/>
    <col min="14340" max="14340" width="16.140625" style="67" bestFit="1" customWidth="1"/>
    <col min="14341" max="14341" width="14.7109375" style="67" bestFit="1" customWidth="1"/>
    <col min="14342" max="14342" width="14" style="67" bestFit="1" customWidth="1"/>
    <col min="14343" max="14343" width="13" style="67" customWidth="1"/>
    <col min="14344" max="14344" width="12.85546875" style="67" bestFit="1" customWidth="1"/>
    <col min="14345" max="14345" width="15.28515625" style="67" customWidth="1"/>
    <col min="14346" max="14346" width="13.28515625" style="67" customWidth="1"/>
    <col min="14347" max="14347" width="14" style="67" bestFit="1" customWidth="1"/>
    <col min="14348" max="14348" width="13.7109375" style="67" customWidth="1"/>
    <col min="14349" max="14349" width="12" style="67" bestFit="1" customWidth="1"/>
    <col min="14350" max="14350" width="22.42578125" style="67" bestFit="1" customWidth="1"/>
    <col min="14351" max="14591" width="9.140625" style="67"/>
    <col min="14592" max="14592" width="7.42578125" style="67" bestFit="1" customWidth="1"/>
    <col min="14593" max="14594" width="14.7109375" style="67" bestFit="1" customWidth="1"/>
    <col min="14595" max="14595" width="16.5703125" style="67" bestFit="1" customWidth="1"/>
    <col min="14596" max="14596" width="16.140625" style="67" bestFit="1" customWidth="1"/>
    <col min="14597" max="14597" width="14.7109375" style="67" bestFit="1" customWidth="1"/>
    <col min="14598" max="14598" width="14" style="67" bestFit="1" customWidth="1"/>
    <col min="14599" max="14599" width="13" style="67" customWidth="1"/>
    <col min="14600" max="14600" width="12.85546875" style="67" bestFit="1" customWidth="1"/>
    <col min="14601" max="14601" width="15.28515625" style="67" customWidth="1"/>
    <col min="14602" max="14602" width="13.28515625" style="67" customWidth="1"/>
    <col min="14603" max="14603" width="14" style="67" bestFit="1" customWidth="1"/>
    <col min="14604" max="14604" width="13.7109375" style="67" customWidth="1"/>
    <col min="14605" max="14605" width="12" style="67" bestFit="1" customWidth="1"/>
    <col min="14606" max="14606" width="22.42578125" style="67" bestFit="1" customWidth="1"/>
    <col min="14607" max="14847" width="9.140625" style="67"/>
    <col min="14848" max="14848" width="7.42578125" style="67" bestFit="1" customWidth="1"/>
    <col min="14849" max="14850" width="14.7109375" style="67" bestFit="1" customWidth="1"/>
    <col min="14851" max="14851" width="16.5703125" style="67" bestFit="1" customWidth="1"/>
    <col min="14852" max="14852" width="16.140625" style="67" bestFit="1" customWidth="1"/>
    <col min="14853" max="14853" width="14.7109375" style="67" bestFit="1" customWidth="1"/>
    <col min="14854" max="14854" width="14" style="67" bestFit="1" customWidth="1"/>
    <col min="14855" max="14855" width="13" style="67" customWidth="1"/>
    <col min="14856" max="14856" width="12.85546875" style="67" bestFit="1" customWidth="1"/>
    <col min="14857" max="14857" width="15.28515625" style="67" customWidth="1"/>
    <col min="14858" max="14858" width="13.28515625" style="67" customWidth="1"/>
    <col min="14859" max="14859" width="14" style="67" bestFit="1" customWidth="1"/>
    <col min="14860" max="14860" width="13.7109375" style="67" customWidth="1"/>
    <col min="14861" max="14861" width="12" style="67" bestFit="1" customWidth="1"/>
    <col min="14862" max="14862" width="22.42578125" style="67" bestFit="1" customWidth="1"/>
    <col min="14863" max="15103" width="9.140625" style="67"/>
    <col min="15104" max="15104" width="7.42578125" style="67" bestFit="1" customWidth="1"/>
    <col min="15105" max="15106" width="14.7109375" style="67" bestFit="1" customWidth="1"/>
    <col min="15107" max="15107" width="16.5703125" style="67" bestFit="1" customWidth="1"/>
    <col min="15108" max="15108" width="16.140625" style="67" bestFit="1" customWidth="1"/>
    <col min="15109" max="15109" width="14.7109375" style="67" bestFit="1" customWidth="1"/>
    <col min="15110" max="15110" width="14" style="67" bestFit="1" customWidth="1"/>
    <col min="15111" max="15111" width="13" style="67" customWidth="1"/>
    <col min="15112" max="15112" width="12.85546875" style="67" bestFit="1" customWidth="1"/>
    <col min="15113" max="15113" width="15.28515625" style="67" customWidth="1"/>
    <col min="15114" max="15114" width="13.28515625" style="67" customWidth="1"/>
    <col min="15115" max="15115" width="14" style="67" bestFit="1" customWidth="1"/>
    <col min="15116" max="15116" width="13.7109375" style="67" customWidth="1"/>
    <col min="15117" max="15117" width="12" style="67" bestFit="1" customWidth="1"/>
    <col min="15118" max="15118" width="22.42578125" style="67" bestFit="1" customWidth="1"/>
    <col min="15119" max="15359" width="9.140625" style="67"/>
    <col min="15360" max="15360" width="7.42578125" style="67" bestFit="1" customWidth="1"/>
    <col min="15361" max="15362" width="14.7109375" style="67" bestFit="1" customWidth="1"/>
    <col min="15363" max="15363" width="16.5703125" style="67" bestFit="1" customWidth="1"/>
    <col min="15364" max="15364" width="16.140625" style="67" bestFit="1" customWidth="1"/>
    <col min="15365" max="15365" width="14.7109375" style="67" bestFit="1" customWidth="1"/>
    <col min="15366" max="15366" width="14" style="67" bestFit="1" customWidth="1"/>
    <col min="15367" max="15367" width="13" style="67" customWidth="1"/>
    <col min="15368" max="15368" width="12.85546875" style="67" bestFit="1" customWidth="1"/>
    <col min="15369" max="15369" width="15.28515625" style="67" customWidth="1"/>
    <col min="15370" max="15370" width="13.28515625" style="67" customWidth="1"/>
    <col min="15371" max="15371" width="14" style="67" bestFit="1" customWidth="1"/>
    <col min="15372" max="15372" width="13.7109375" style="67" customWidth="1"/>
    <col min="15373" max="15373" width="12" style="67" bestFit="1" customWidth="1"/>
    <col min="15374" max="15374" width="22.42578125" style="67" bestFit="1" customWidth="1"/>
    <col min="15375" max="15615" width="9.140625" style="67"/>
    <col min="15616" max="15616" width="7.42578125" style="67" bestFit="1" customWidth="1"/>
    <col min="15617" max="15618" width="14.7109375" style="67" bestFit="1" customWidth="1"/>
    <col min="15619" max="15619" width="16.5703125" style="67" bestFit="1" customWidth="1"/>
    <col min="15620" max="15620" width="16.140625" style="67" bestFit="1" customWidth="1"/>
    <col min="15621" max="15621" width="14.7109375" style="67" bestFit="1" customWidth="1"/>
    <col min="15622" max="15622" width="14" style="67" bestFit="1" customWidth="1"/>
    <col min="15623" max="15623" width="13" style="67" customWidth="1"/>
    <col min="15624" max="15624" width="12.85546875" style="67" bestFit="1" customWidth="1"/>
    <col min="15625" max="15625" width="15.28515625" style="67" customWidth="1"/>
    <col min="15626" max="15626" width="13.28515625" style="67" customWidth="1"/>
    <col min="15627" max="15627" width="14" style="67" bestFit="1" customWidth="1"/>
    <col min="15628" max="15628" width="13.7109375" style="67" customWidth="1"/>
    <col min="15629" max="15629" width="12" style="67" bestFit="1" customWidth="1"/>
    <col min="15630" max="15630" width="22.42578125" style="67" bestFit="1" customWidth="1"/>
    <col min="15631" max="15871" width="9.140625" style="67"/>
    <col min="15872" max="15872" width="7.42578125" style="67" bestFit="1" customWidth="1"/>
    <col min="15873" max="15874" width="14.7109375" style="67" bestFit="1" customWidth="1"/>
    <col min="15875" max="15875" width="16.5703125" style="67" bestFit="1" customWidth="1"/>
    <col min="15876" max="15876" width="16.140625" style="67" bestFit="1" customWidth="1"/>
    <col min="15877" max="15877" width="14.7109375" style="67" bestFit="1" customWidth="1"/>
    <col min="15878" max="15878" width="14" style="67" bestFit="1" customWidth="1"/>
    <col min="15879" max="15879" width="13" style="67" customWidth="1"/>
    <col min="15880" max="15880" width="12.85546875" style="67" bestFit="1" customWidth="1"/>
    <col min="15881" max="15881" width="15.28515625" style="67" customWidth="1"/>
    <col min="15882" max="15882" width="13.28515625" style="67" customWidth="1"/>
    <col min="15883" max="15883" width="14" style="67" bestFit="1" customWidth="1"/>
    <col min="15884" max="15884" width="13.7109375" style="67" customWidth="1"/>
    <col min="15885" max="15885" width="12" style="67" bestFit="1" customWidth="1"/>
    <col min="15886" max="15886" width="22.42578125" style="67" bestFit="1" customWidth="1"/>
    <col min="15887" max="16127" width="9.140625" style="67"/>
    <col min="16128" max="16128" width="7.42578125" style="67" bestFit="1" customWidth="1"/>
    <col min="16129" max="16130" width="14.7109375" style="67" bestFit="1" customWidth="1"/>
    <col min="16131" max="16131" width="16.5703125" style="67" bestFit="1" customWidth="1"/>
    <col min="16132" max="16132" width="16.140625" style="67" bestFit="1" customWidth="1"/>
    <col min="16133" max="16133" width="14.7109375" style="67" bestFit="1" customWidth="1"/>
    <col min="16134" max="16134" width="14" style="67" bestFit="1" customWidth="1"/>
    <col min="16135" max="16135" width="13" style="67" customWidth="1"/>
    <col min="16136" max="16136" width="12.85546875" style="67" bestFit="1" customWidth="1"/>
    <col min="16137" max="16137" width="15.28515625" style="67" customWidth="1"/>
    <col min="16138" max="16138" width="13.28515625" style="67" customWidth="1"/>
    <col min="16139" max="16139" width="14" style="67" bestFit="1" customWidth="1"/>
    <col min="16140" max="16140" width="13.7109375" style="67" customWidth="1"/>
    <col min="16141" max="16141" width="12" style="67" bestFit="1" customWidth="1"/>
    <col min="16142" max="16142" width="22.42578125" style="67" bestFit="1" customWidth="1"/>
    <col min="16143" max="16384" width="9.140625" style="67"/>
  </cols>
  <sheetData>
    <row r="1" spans="1:13" s="66" customFormat="1" ht="34.5" customHeight="1" x14ac:dyDescent="0.25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</row>
    <row r="2" spans="1:13" s="66" customFormat="1" ht="34.5" customHeight="1" thickBot="1" x14ac:dyDescent="0.3">
      <c r="A2" s="207" t="s">
        <v>1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</row>
    <row r="3" spans="1:13" ht="34.5" customHeight="1" thickBot="1" x14ac:dyDescent="0.3">
      <c r="A3" s="119" t="s">
        <v>2</v>
      </c>
      <c r="B3" s="120" t="s">
        <v>3</v>
      </c>
      <c r="C3" s="120" t="s">
        <v>4</v>
      </c>
      <c r="D3" s="120" t="s">
        <v>5</v>
      </c>
      <c r="E3" s="120" t="s">
        <v>6</v>
      </c>
      <c r="F3" s="120" t="s">
        <v>7</v>
      </c>
      <c r="G3" s="120" t="s">
        <v>8</v>
      </c>
      <c r="H3" s="120" t="s">
        <v>9</v>
      </c>
      <c r="I3" s="120" t="s">
        <v>10</v>
      </c>
      <c r="J3" s="120" t="s">
        <v>11</v>
      </c>
      <c r="K3" s="120" t="s">
        <v>12</v>
      </c>
      <c r="L3" s="120" t="s">
        <v>13</v>
      </c>
      <c r="M3" s="120" t="s">
        <v>14</v>
      </c>
    </row>
    <row r="4" spans="1:13" s="122" customFormat="1" ht="34.5" customHeight="1" x14ac:dyDescent="0.25">
      <c r="A4" s="121">
        <v>1</v>
      </c>
      <c r="B4" s="70"/>
      <c r="C4" s="70">
        <v>1943</v>
      </c>
      <c r="D4" s="70">
        <v>1956</v>
      </c>
      <c r="E4" s="70">
        <v>1919</v>
      </c>
      <c r="F4" s="69">
        <v>1917</v>
      </c>
      <c r="G4" s="70">
        <v>1774</v>
      </c>
      <c r="H4" s="70">
        <v>1752</v>
      </c>
      <c r="I4" s="70"/>
      <c r="J4" s="70">
        <v>1997</v>
      </c>
      <c r="K4" s="70">
        <v>1998</v>
      </c>
      <c r="L4" s="70">
        <v>2015</v>
      </c>
      <c r="M4" s="70">
        <v>2081</v>
      </c>
    </row>
    <row r="5" spans="1:13" s="122" customFormat="1" ht="34.5" customHeight="1" x14ac:dyDescent="0.25">
      <c r="A5" s="123">
        <v>2</v>
      </c>
      <c r="B5" s="124"/>
      <c r="C5" s="124">
        <v>1965</v>
      </c>
      <c r="D5" s="124">
        <v>1959</v>
      </c>
      <c r="E5" s="124">
        <v>1912</v>
      </c>
      <c r="F5" s="125">
        <v>1916</v>
      </c>
      <c r="G5" s="124">
        <v>1764</v>
      </c>
      <c r="H5" s="124">
        <v>1759</v>
      </c>
      <c r="I5" s="124">
        <v>1870</v>
      </c>
      <c r="J5" s="124">
        <v>1986</v>
      </c>
      <c r="K5" s="124">
        <v>2000</v>
      </c>
      <c r="L5" s="124">
        <v>2005</v>
      </c>
      <c r="M5" s="124">
        <v>2078</v>
      </c>
    </row>
    <row r="6" spans="1:13" s="122" customFormat="1" ht="34.5" customHeight="1" x14ac:dyDescent="0.25">
      <c r="A6" s="123">
        <v>3</v>
      </c>
      <c r="B6" s="124"/>
      <c r="C6" s="124">
        <v>1956</v>
      </c>
      <c r="D6" s="124">
        <v>1958</v>
      </c>
      <c r="E6" s="124">
        <v>1917</v>
      </c>
      <c r="F6" s="125">
        <v>1928</v>
      </c>
      <c r="G6" s="124">
        <v>1783</v>
      </c>
      <c r="H6" s="124">
        <v>1749</v>
      </c>
      <c r="I6" s="124">
        <v>1877</v>
      </c>
      <c r="J6" s="124">
        <v>1959</v>
      </c>
      <c r="K6" s="124">
        <v>2006</v>
      </c>
      <c r="L6" s="124">
        <v>2030</v>
      </c>
      <c r="M6" s="124">
        <v>2080</v>
      </c>
    </row>
    <row r="7" spans="1:13" s="122" customFormat="1" ht="34.5" customHeight="1" x14ac:dyDescent="0.25">
      <c r="A7" s="123">
        <v>4</v>
      </c>
      <c r="B7" s="124"/>
      <c r="C7" s="124">
        <v>1962</v>
      </c>
      <c r="D7" s="124">
        <v>1955</v>
      </c>
      <c r="E7" s="124">
        <v>1916</v>
      </c>
      <c r="F7" s="125">
        <v>1937</v>
      </c>
      <c r="G7" s="124">
        <v>1805</v>
      </c>
      <c r="H7" s="124">
        <v>1760</v>
      </c>
      <c r="I7" s="124">
        <v>1916</v>
      </c>
      <c r="J7" s="124">
        <v>1976</v>
      </c>
      <c r="K7" s="124">
        <v>2005</v>
      </c>
      <c r="L7" s="124">
        <v>2034</v>
      </c>
      <c r="M7" s="124">
        <v>2073</v>
      </c>
    </row>
    <row r="8" spans="1:13" s="122" customFormat="1" ht="34.5" customHeight="1" x14ac:dyDescent="0.25">
      <c r="A8" s="123">
        <v>5</v>
      </c>
      <c r="B8" s="124"/>
      <c r="C8" s="124">
        <v>1943</v>
      </c>
      <c r="D8" s="124">
        <v>1957</v>
      </c>
      <c r="E8" s="124">
        <v>1918</v>
      </c>
      <c r="F8" s="125">
        <v>1931</v>
      </c>
      <c r="G8" s="124">
        <v>1785</v>
      </c>
      <c r="H8" s="124">
        <v>1765</v>
      </c>
      <c r="I8" s="124">
        <v>1913</v>
      </c>
      <c r="J8" s="124">
        <v>1985</v>
      </c>
      <c r="K8" s="124">
        <v>2009</v>
      </c>
      <c r="L8" s="124">
        <v>2021</v>
      </c>
      <c r="M8" s="124">
        <v>2075</v>
      </c>
    </row>
    <row r="9" spans="1:13" s="122" customFormat="1" ht="34.5" customHeight="1" x14ac:dyDescent="0.25">
      <c r="A9" s="123">
        <v>6</v>
      </c>
      <c r="B9" s="124"/>
      <c r="C9" s="124">
        <v>1941</v>
      </c>
      <c r="D9" s="124">
        <v>1953</v>
      </c>
      <c r="E9" s="124">
        <v>1918</v>
      </c>
      <c r="F9" s="125">
        <v>1927</v>
      </c>
      <c r="G9" s="124">
        <v>1774</v>
      </c>
      <c r="H9" s="124">
        <v>1813</v>
      </c>
      <c r="I9" s="124">
        <v>1918</v>
      </c>
      <c r="J9" s="124">
        <v>1985</v>
      </c>
      <c r="K9" s="124">
        <v>2014</v>
      </c>
      <c r="L9" s="124">
        <v>2030</v>
      </c>
      <c r="M9" s="124">
        <v>2075</v>
      </c>
    </row>
    <row r="10" spans="1:13" s="122" customFormat="1" ht="34.5" customHeight="1" x14ac:dyDescent="0.25">
      <c r="A10" s="123">
        <v>7</v>
      </c>
      <c r="B10" s="126">
        <v>2035</v>
      </c>
      <c r="C10" s="124">
        <v>1945</v>
      </c>
      <c r="D10" s="124">
        <v>1946</v>
      </c>
      <c r="E10" s="124">
        <v>1924</v>
      </c>
      <c r="F10" s="125">
        <v>1934</v>
      </c>
      <c r="G10" s="124">
        <v>1779</v>
      </c>
      <c r="H10" s="124">
        <v>1807</v>
      </c>
      <c r="I10" s="124">
        <v>1913</v>
      </c>
      <c r="J10" s="124">
        <v>1988</v>
      </c>
      <c r="K10" s="124">
        <v>2008</v>
      </c>
      <c r="L10" s="124">
        <v>2035</v>
      </c>
      <c r="M10" s="124">
        <v>2080</v>
      </c>
    </row>
    <row r="11" spans="1:13" s="122" customFormat="1" ht="34.5" customHeight="1" x14ac:dyDescent="0.25">
      <c r="A11" s="123">
        <v>8</v>
      </c>
      <c r="B11" s="126">
        <v>2036</v>
      </c>
      <c r="C11" s="124">
        <v>1945</v>
      </c>
      <c r="D11" s="124">
        <v>1950</v>
      </c>
      <c r="E11" s="124">
        <v>1929</v>
      </c>
      <c r="F11" s="125">
        <v>1934</v>
      </c>
      <c r="G11" s="124">
        <v>1783</v>
      </c>
      <c r="H11" s="124">
        <v>1810</v>
      </c>
      <c r="I11" s="124">
        <v>1919</v>
      </c>
      <c r="J11" s="124">
        <v>1993</v>
      </c>
      <c r="K11" s="124">
        <v>2013</v>
      </c>
      <c r="L11" s="124">
        <v>2020</v>
      </c>
      <c r="M11" s="124">
        <v>2085</v>
      </c>
    </row>
    <row r="12" spans="1:13" s="122" customFormat="1" ht="34.5" customHeight="1" x14ac:dyDescent="0.25">
      <c r="A12" s="123">
        <v>9</v>
      </c>
      <c r="B12" s="126">
        <v>2029</v>
      </c>
      <c r="C12" s="124">
        <v>1956</v>
      </c>
      <c r="D12" s="124">
        <v>1961</v>
      </c>
      <c r="E12" s="124">
        <v>1941</v>
      </c>
      <c r="F12" s="125">
        <v>1927</v>
      </c>
      <c r="G12" s="124">
        <v>1784</v>
      </c>
      <c r="H12" s="124">
        <v>1834</v>
      </c>
      <c r="I12" s="124">
        <v>1920</v>
      </c>
      <c r="J12" s="124">
        <v>1999</v>
      </c>
      <c r="K12" s="124">
        <v>2006</v>
      </c>
      <c r="L12" s="124">
        <v>2016</v>
      </c>
      <c r="M12" s="124">
        <v>2101</v>
      </c>
    </row>
    <row r="13" spans="1:13" s="122" customFormat="1" ht="34.5" customHeight="1" x14ac:dyDescent="0.25">
      <c r="A13" s="123">
        <v>10</v>
      </c>
      <c r="B13" s="126">
        <v>2021</v>
      </c>
      <c r="C13" s="124">
        <v>1952</v>
      </c>
      <c r="D13" s="124">
        <v>1961</v>
      </c>
      <c r="E13" s="124">
        <v>1938</v>
      </c>
      <c r="F13" s="125">
        <v>1931</v>
      </c>
      <c r="G13" s="124">
        <v>1769</v>
      </c>
      <c r="H13" s="124">
        <v>1876</v>
      </c>
      <c r="I13" s="124">
        <v>1920</v>
      </c>
      <c r="J13" s="124">
        <v>2001</v>
      </c>
      <c r="K13" s="124">
        <v>2009</v>
      </c>
      <c r="L13" s="124">
        <v>2019</v>
      </c>
      <c r="M13" s="124">
        <v>2150</v>
      </c>
    </row>
    <row r="14" spans="1:13" s="122" customFormat="1" ht="34.5" customHeight="1" x14ac:dyDescent="0.25">
      <c r="A14" s="123">
        <v>11</v>
      </c>
      <c r="B14" s="126">
        <v>2021</v>
      </c>
      <c r="C14" s="124">
        <v>1947</v>
      </c>
      <c r="D14" s="124">
        <v>1964</v>
      </c>
      <c r="E14" s="124">
        <v>1941</v>
      </c>
      <c r="F14" s="125">
        <v>1930</v>
      </c>
      <c r="G14" s="124">
        <v>1759</v>
      </c>
      <c r="H14" s="124">
        <v>1848</v>
      </c>
      <c r="I14" s="124">
        <v>1914</v>
      </c>
      <c r="J14" s="124">
        <v>2008</v>
      </c>
      <c r="K14" s="124">
        <v>2014</v>
      </c>
      <c r="L14" s="124">
        <v>1998</v>
      </c>
      <c r="M14" s="124">
        <v>2155</v>
      </c>
    </row>
    <row r="15" spans="1:13" s="122" customFormat="1" ht="34.5" customHeight="1" x14ac:dyDescent="0.25">
      <c r="A15" s="123">
        <v>12</v>
      </c>
      <c r="B15" s="126">
        <v>1983</v>
      </c>
      <c r="C15" s="124">
        <v>1943</v>
      </c>
      <c r="D15" s="124">
        <v>1959</v>
      </c>
      <c r="E15" s="124">
        <v>1940</v>
      </c>
      <c r="F15" s="125">
        <v>1929</v>
      </c>
      <c r="G15" s="124">
        <v>1739</v>
      </c>
      <c r="H15" s="124">
        <v>1848</v>
      </c>
      <c r="I15" s="124">
        <v>1917</v>
      </c>
      <c r="J15" s="124">
        <v>2022</v>
      </c>
      <c r="K15" s="124">
        <v>2024</v>
      </c>
      <c r="L15" s="124">
        <v>1993</v>
      </c>
      <c r="M15" s="124">
        <v>2168</v>
      </c>
    </row>
    <row r="16" spans="1:13" s="122" customFormat="1" ht="34.5" customHeight="1" x14ac:dyDescent="0.25">
      <c r="A16" s="123">
        <v>13</v>
      </c>
      <c r="B16" s="126">
        <v>1949</v>
      </c>
      <c r="C16" s="124">
        <v>1948</v>
      </c>
      <c r="D16" s="124">
        <v>1965</v>
      </c>
      <c r="E16" s="124">
        <v>1947</v>
      </c>
      <c r="F16" s="125">
        <v>1929</v>
      </c>
      <c r="G16" s="124">
        <v>1661</v>
      </c>
      <c r="H16" s="124">
        <v>1859</v>
      </c>
      <c r="I16" s="124">
        <v>1928</v>
      </c>
      <c r="J16" s="124">
        <v>1998</v>
      </c>
      <c r="K16" s="124">
        <v>2031</v>
      </c>
      <c r="L16" s="124">
        <v>1993</v>
      </c>
      <c r="M16" s="124">
        <v>2170</v>
      </c>
    </row>
    <row r="17" spans="1:13" s="122" customFormat="1" ht="34.5" customHeight="1" x14ac:dyDescent="0.25">
      <c r="A17" s="123">
        <v>14</v>
      </c>
      <c r="B17" s="126">
        <v>1920</v>
      </c>
      <c r="C17" s="124">
        <v>1951</v>
      </c>
      <c r="D17" s="124">
        <v>1964</v>
      </c>
      <c r="E17" s="124">
        <v>1944</v>
      </c>
      <c r="F17" s="125">
        <v>1931</v>
      </c>
      <c r="G17" s="124">
        <v>1575</v>
      </c>
      <c r="H17" s="124">
        <v>1888</v>
      </c>
      <c r="I17" s="124">
        <v>1938</v>
      </c>
      <c r="J17" s="124">
        <v>2000</v>
      </c>
      <c r="K17" s="124">
        <v>2050</v>
      </c>
      <c r="L17" s="124">
        <v>1960</v>
      </c>
      <c r="M17" s="124">
        <v>2180</v>
      </c>
    </row>
    <row r="18" spans="1:13" s="122" customFormat="1" ht="34.5" customHeight="1" x14ac:dyDescent="0.25">
      <c r="A18" s="123">
        <v>15</v>
      </c>
      <c r="B18" s="126">
        <v>1920</v>
      </c>
      <c r="C18" s="124">
        <v>1951</v>
      </c>
      <c r="D18" s="124">
        <v>1968</v>
      </c>
      <c r="E18" s="124">
        <v>1947</v>
      </c>
      <c r="F18" s="125">
        <v>1921</v>
      </c>
      <c r="G18" s="124">
        <v>1613</v>
      </c>
      <c r="H18" s="124">
        <v>1883</v>
      </c>
      <c r="I18" s="124">
        <v>1942</v>
      </c>
      <c r="J18" s="124">
        <v>1986</v>
      </c>
      <c r="K18" s="124">
        <v>2036</v>
      </c>
      <c r="L18" s="124">
        <v>1988</v>
      </c>
      <c r="M18" s="124">
        <v>2203</v>
      </c>
    </row>
    <row r="19" spans="1:13" s="122" customFormat="1" ht="34.5" customHeight="1" x14ac:dyDescent="0.25">
      <c r="A19" s="123">
        <v>16</v>
      </c>
      <c r="B19" s="126">
        <v>1941</v>
      </c>
      <c r="C19" s="124">
        <v>1965</v>
      </c>
      <c r="D19" s="124">
        <v>1971</v>
      </c>
      <c r="E19" s="124">
        <v>1940</v>
      </c>
      <c r="F19" s="125">
        <v>1921</v>
      </c>
      <c r="G19" s="124">
        <v>1589</v>
      </c>
      <c r="H19" s="124">
        <v>1886</v>
      </c>
      <c r="I19" s="124">
        <v>1950</v>
      </c>
      <c r="J19" s="124">
        <v>1998</v>
      </c>
      <c r="K19" s="124">
        <v>2021</v>
      </c>
      <c r="L19" s="124">
        <v>1994</v>
      </c>
      <c r="M19" s="124">
        <v>2350</v>
      </c>
    </row>
    <row r="20" spans="1:13" s="122" customFormat="1" ht="34.5" customHeight="1" x14ac:dyDescent="0.25">
      <c r="A20" s="123">
        <v>17</v>
      </c>
      <c r="B20" s="126">
        <v>1944</v>
      </c>
      <c r="C20" s="124">
        <v>1961</v>
      </c>
      <c r="D20" s="124">
        <v>1965</v>
      </c>
      <c r="E20" s="124">
        <v>1944</v>
      </c>
      <c r="F20" s="125">
        <v>1870</v>
      </c>
      <c r="G20" s="124">
        <v>1672</v>
      </c>
      <c r="H20" s="124">
        <v>1900</v>
      </c>
      <c r="I20" s="124">
        <v>1954</v>
      </c>
      <c r="J20" s="124">
        <v>1955</v>
      </c>
      <c r="K20" s="124">
        <v>2023</v>
      </c>
      <c r="L20" s="124">
        <v>2009</v>
      </c>
      <c r="M20" s="124">
        <v>2255</v>
      </c>
    </row>
    <row r="21" spans="1:13" s="122" customFormat="1" ht="34.5" customHeight="1" x14ac:dyDescent="0.25">
      <c r="A21" s="123">
        <v>18</v>
      </c>
      <c r="B21" s="126">
        <v>1944</v>
      </c>
      <c r="C21" s="124">
        <v>1956</v>
      </c>
      <c r="D21" s="124">
        <v>1967</v>
      </c>
      <c r="E21" s="124">
        <v>1943</v>
      </c>
      <c r="F21" s="125">
        <v>1890</v>
      </c>
      <c r="G21" s="124">
        <v>1754</v>
      </c>
      <c r="H21" s="124">
        <v>1895</v>
      </c>
      <c r="I21" s="124">
        <v>1983</v>
      </c>
      <c r="J21" s="124">
        <v>1949</v>
      </c>
      <c r="K21" s="124">
        <v>2020</v>
      </c>
      <c r="L21" s="124">
        <v>1995</v>
      </c>
      <c r="M21" s="124">
        <v>2218</v>
      </c>
    </row>
    <row r="22" spans="1:13" s="122" customFormat="1" ht="34.5" customHeight="1" x14ac:dyDescent="0.25">
      <c r="A22" s="123">
        <v>19</v>
      </c>
      <c r="B22" s="126">
        <v>1931</v>
      </c>
      <c r="C22" s="124">
        <v>1955</v>
      </c>
      <c r="D22" s="124">
        <v>1972</v>
      </c>
      <c r="E22" s="124">
        <v>1943</v>
      </c>
      <c r="F22" s="125">
        <v>1879</v>
      </c>
      <c r="G22" s="124">
        <v>1731</v>
      </c>
      <c r="H22" s="124">
        <v>1885</v>
      </c>
      <c r="I22" s="124">
        <v>1964</v>
      </c>
      <c r="J22" s="124">
        <v>1970</v>
      </c>
      <c r="K22" s="124">
        <v>2024</v>
      </c>
      <c r="L22" s="124">
        <v>2022</v>
      </c>
      <c r="M22" s="124">
        <v>2245</v>
      </c>
    </row>
    <row r="23" spans="1:13" s="122" customFormat="1" ht="34.5" customHeight="1" x14ac:dyDescent="0.25">
      <c r="A23" s="123">
        <v>20</v>
      </c>
      <c r="B23" s="126">
        <v>1953</v>
      </c>
      <c r="C23" s="124">
        <v>1951</v>
      </c>
      <c r="D23" s="124">
        <v>1962</v>
      </c>
      <c r="E23" s="124">
        <v>1945</v>
      </c>
      <c r="F23" s="125">
        <v>1799</v>
      </c>
      <c r="G23" s="124">
        <v>1693</v>
      </c>
      <c r="H23" s="124">
        <v>1884</v>
      </c>
      <c r="I23" s="124">
        <v>1953</v>
      </c>
      <c r="J23" s="124">
        <v>1981</v>
      </c>
      <c r="K23" s="124">
        <v>2022</v>
      </c>
      <c r="L23" s="124">
        <v>2022</v>
      </c>
      <c r="M23" s="124">
        <v>2250</v>
      </c>
    </row>
    <row r="24" spans="1:13" s="122" customFormat="1" ht="34.5" customHeight="1" x14ac:dyDescent="0.25">
      <c r="A24" s="123">
        <v>21</v>
      </c>
      <c r="B24" s="126">
        <v>1965</v>
      </c>
      <c r="C24" s="124">
        <v>1957</v>
      </c>
      <c r="D24" s="124">
        <v>1964</v>
      </c>
      <c r="E24" s="124">
        <v>1946</v>
      </c>
      <c r="F24" s="125">
        <v>1830</v>
      </c>
      <c r="G24" s="124">
        <v>1715</v>
      </c>
      <c r="H24" s="124">
        <v>1868</v>
      </c>
      <c r="I24" s="124">
        <v>1975</v>
      </c>
      <c r="J24" s="124">
        <v>1981</v>
      </c>
      <c r="K24" s="124">
        <v>2003</v>
      </c>
      <c r="L24" s="124">
        <v>2039</v>
      </c>
      <c r="M24" s="124">
        <v>2260</v>
      </c>
    </row>
    <row r="25" spans="1:13" s="122" customFormat="1" ht="34.5" customHeight="1" x14ac:dyDescent="0.25">
      <c r="A25" s="123">
        <v>22</v>
      </c>
      <c r="B25" s="126">
        <v>1951</v>
      </c>
      <c r="C25" s="124">
        <v>1957</v>
      </c>
      <c r="D25" s="124">
        <v>1968</v>
      </c>
      <c r="E25" s="124">
        <v>1940</v>
      </c>
      <c r="F25" s="125">
        <v>1824</v>
      </c>
      <c r="G25" s="124">
        <v>1720</v>
      </c>
      <c r="H25" s="124">
        <v>1858</v>
      </c>
      <c r="I25" s="124">
        <v>1969</v>
      </c>
      <c r="J25" s="124">
        <v>2002</v>
      </c>
      <c r="K25" s="124">
        <v>2005</v>
      </c>
      <c r="L25" s="124">
        <v>2040</v>
      </c>
      <c r="M25" s="124">
        <v>2260</v>
      </c>
    </row>
    <row r="26" spans="1:13" s="122" customFormat="1" ht="34.5" customHeight="1" x14ac:dyDescent="0.25">
      <c r="A26" s="123">
        <v>23</v>
      </c>
      <c r="B26" s="126">
        <v>1948</v>
      </c>
      <c r="C26" s="124">
        <v>1957</v>
      </c>
      <c r="D26" s="124">
        <v>1964</v>
      </c>
      <c r="E26" s="124">
        <v>1943</v>
      </c>
      <c r="F26" s="125">
        <v>1851</v>
      </c>
      <c r="G26" s="124">
        <v>1726</v>
      </c>
      <c r="H26" s="124">
        <v>1878</v>
      </c>
      <c r="I26" s="124">
        <v>1968</v>
      </c>
      <c r="J26" s="124">
        <v>1999</v>
      </c>
      <c r="K26" s="124">
        <v>2011</v>
      </c>
      <c r="L26" s="124">
        <v>2039</v>
      </c>
      <c r="M26" s="124">
        <v>2298</v>
      </c>
    </row>
    <row r="27" spans="1:13" s="122" customFormat="1" ht="34.5" customHeight="1" x14ac:dyDescent="0.25">
      <c r="A27" s="123">
        <v>24</v>
      </c>
      <c r="B27" s="126">
        <v>1946</v>
      </c>
      <c r="C27" s="124">
        <v>1957</v>
      </c>
      <c r="D27" s="124">
        <v>1964</v>
      </c>
      <c r="E27" s="124">
        <v>1941</v>
      </c>
      <c r="F27" s="125">
        <v>1856</v>
      </c>
      <c r="G27" s="124">
        <v>1754</v>
      </c>
      <c r="H27" s="124">
        <v>1880</v>
      </c>
      <c r="I27" s="124">
        <v>1975</v>
      </c>
      <c r="J27" s="124">
        <v>2003</v>
      </c>
      <c r="K27" s="126">
        <v>2013</v>
      </c>
      <c r="L27" s="124">
        <v>2043</v>
      </c>
      <c r="M27" s="124">
        <v>2285</v>
      </c>
    </row>
    <row r="28" spans="1:13" s="122" customFormat="1" ht="34.5" customHeight="1" x14ac:dyDescent="0.25">
      <c r="A28" s="123">
        <v>25</v>
      </c>
      <c r="B28" s="126">
        <v>1946</v>
      </c>
      <c r="C28" s="124">
        <v>1957</v>
      </c>
      <c r="D28" s="124">
        <v>1963</v>
      </c>
      <c r="E28" s="124">
        <v>1948</v>
      </c>
      <c r="F28" s="125">
        <v>1849</v>
      </c>
      <c r="G28" s="124">
        <v>1748</v>
      </c>
      <c r="H28" s="124">
        <v>1884</v>
      </c>
      <c r="I28" s="124">
        <v>1994</v>
      </c>
      <c r="J28" s="124">
        <v>2003</v>
      </c>
      <c r="K28" s="124">
        <v>2015</v>
      </c>
      <c r="L28" s="124">
        <v>2064</v>
      </c>
      <c r="M28" s="124">
        <v>2321</v>
      </c>
    </row>
    <row r="29" spans="1:13" s="122" customFormat="1" ht="34.5" customHeight="1" x14ac:dyDescent="0.25">
      <c r="A29" s="123">
        <v>26</v>
      </c>
      <c r="B29" s="126">
        <v>1947</v>
      </c>
      <c r="C29" s="124">
        <v>1955</v>
      </c>
      <c r="D29" s="124">
        <v>1957</v>
      </c>
      <c r="E29" s="124">
        <v>1943</v>
      </c>
      <c r="F29" s="125">
        <v>1800</v>
      </c>
      <c r="G29" s="124">
        <v>1743</v>
      </c>
      <c r="H29" s="124">
        <v>1884</v>
      </c>
      <c r="I29" s="124">
        <v>1974</v>
      </c>
      <c r="J29" s="124">
        <v>1997</v>
      </c>
      <c r="K29" s="124">
        <v>2018</v>
      </c>
      <c r="L29" s="124">
        <v>2057</v>
      </c>
      <c r="M29" s="124">
        <v>2354</v>
      </c>
    </row>
    <row r="30" spans="1:13" s="122" customFormat="1" ht="34.5" customHeight="1" x14ac:dyDescent="0.25">
      <c r="A30" s="123">
        <v>27</v>
      </c>
      <c r="B30" s="126">
        <v>1941</v>
      </c>
      <c r="C30" s="124">
        <v>1952</v>
      </c>
      <c r="D30" s="124">
        <v>1969</v>
      </c>
      <c r="E30" s="124">
        <v>1945</v>
      </c>
      <c r="F30" s="125">
        <v>1821</v>
      </c>
      <c r="G30" s="124">
        <v>1751</v>
      </c>
      <c r="H30" s="124">
        <v>1887</v>
      </c>
      <c r="I30" s="124">
        <v>1969</v>
      </c>
      <c r="J30" s="124">
        <v>1999</v>
      </c>
      <c r="K30" s="124">
        <v>2014</v>
      </c>
      <c r="L30" s="124">
        <v>2059</v>
      </c>
      <c r="M30" s="124">
        <v>2349</v>
      </c>
    </row>
    <row r="31" spans="1:13" s="122" customFormat="1" ht="34.5" customHeight="1" x14ac:dyDescent="0.25">
      <c r="A31" s="123">
        <v>28</v>
      </c>
      <c r="B31" s="126">
        <v>1933</v>
      </c>
      <c r="C31" s="124">
        <v>1953</v>
      </c>
      <c r="D31" s="124">
        <v>1959</v>
      </c>
      <c r="E31" s="124">
        <v>1946</v>
      </c>
      <c r="F31" s="125">
        <v>1796</v>
      </c>
      <c r="G31" s="124">
        <v>1750</v>
      </c>
      <c r="H31" s="124">
        <v>1899</v>
      </c>
      <c r="I31" s="124">
        <v>1981</v>
      </c>
      <c r="J31" s="124">
        <v>1999</v>
      </c>
      <c r="K31" s="124">
        <v>2020</v>
      </c>
      <c r="L31" s="124">
        <v>2065</v>
      </c>
      <c r="M31" s="124">
        <v>2357</v>
      </c>
    </row>
    <row r="32" spans="1:13" s="122" customFormat="1" ht="34.5" customHeight="1" x14ac:dyDescent="0.25">
      <c r="A32" s="123">
        <v>29</v>
      </c>
      <c r="B32" s="126">
        <v>1946</v>
      </c>
      <c r="C32" s="124"/>
      <c r="D32" s="124">
        <v>1850</v>
      </c>
      <c r="E32" s="124">
        <v>1937</v>
      </c>
      <c r="F32" s="125">
        <v>1803</v>
      </c>
      <c r="G32" s="124">
        <v>1745</v>
      </c>
      <c r="H32" s="124">
        <v>1903</v>
      </c>
      <c r="I32" s="124">
        <v>1984</v>
      </c>
      <c r="J32" s="124">
        <v>2002</v>
      </c>
      <c r="K32" s="124">
        <v>2024</v>
      </c>
      <c r="L32" s="124">
        <v>2084</v>
      </c>
      <c r="M32" s="124">
        <v>2373</v>
      </c>
    </row>
    <row r="33" spans="1:14" s="122" customFormat="1" ht="34.5" customHeight="1" x14ac:dyDescent="0.25">
      <c r="A33" s="123">
        <v>30</v>
      </c>
      <c r="B33" s="126">
        <v>1937</v>
      </c>
      <c r="C33" s="124"/>
      <c r="D33" s="124">
        <v>1917</v>
      </c>
      <c r="E33" s="124">
        <v>1936</v>
      </c>
      <c r="F33" s="125">
        <v>1798</v>
      </c>
      <c r="G33" s="124">
        <v>1740</v>
      </c>
      <c r="H33" s="124">
        <v>1913</v>
      </c>
      <c r="I33" s="124">
        <v>1992</v>
      </c>
      <c r="J33" s="124">
        <v>1997</v>
      </c>
      <c r="K33" s="124">
        <v>2023</v>
      </c>
      <c r="L33" s="124">
        <v>2084</v>
      </c>
      <c r="M33" s="124">
        <v>2358</v>
      </c>
    </row>
    <row r="34" spans="1:14" s="122" customFormat="1" ht="34.5" customHeight="1" thickBot="1" x14ac:dyDescent="0.3">
      <c r="A34" s="127">
        <v>31</v>
      </c>
      <c r="B34" s="128">
        <v>1943</v>
      </c>
      <c r="C34" s="129"/>
      <c r="D34" s="129">
        <v>1931</v>
      </c>
      <c r="E34" s="129"/>
      <c r="F34" s="130">
        <v>1797</v>
      </c>
      <c r="G34" s="129"/>
      <c r="H34" s="129">
        <v>1924</v>
      </c>
      <c r="I34" s="129">
        <v>1994</v>
      </c>
      <c r="J34" s="129"/>
      <c r="K34" s="129">
        <v>2013</v>
      </c>
      <c r="L34" s="129"/>
      <c r="M34" s="129">
        <v>2333</v>
      </c>
    </row>
    <row r="35" spans="1:14" s="122" customFormat="1" ht="34.5" customHeight="1" thickBot="1" x14ac:dyDescent="0.3">
      <c r="A35" s="161" t="s">
        <v>15</v>
      </c>
      <c r="B35" s="162">
        <f>AVERAGE(B10:B34)</f>
        <v>1961.2</v>
      </c>
      <c r="C35" s="162">
        <f>AVERAGE(C4:C34)</f>
        <v>1952.8928571428571</v>
      </c>
      <c r="D35" s="162">
        <f t="shared" ref="D35:M35" si="0">AVERAGE(D4:D34)</f>
        <v>1955.4516129032259</v>
      </c>
      <c r="E35" s="162">
        <f t="shared" si="0"/>
        <v>1936.3666666666666</v>
      </c>
      <c r="F35" s="162">
        <f t="shared" si="0"/>
        <v>1880.8387096774193</v>
      </c>
      <c r="G35" s="162">
        <f t="shared" si="0"/>
        <v>1732.6</v>
      </c>
      <c r="H35" s="162">
        <f t="shared" si="0"/>
        <v>1854.1612903225807</v>
      </c>
      <c r="I35" s="162">
        <f t="shared" si="0"/>
        <v>1946.1333333333334</v>
      </c>
      <c r="J35" s="162">
        <f t="shared" si="0"/>
        <v>1990.6</v>
      </c>
      <c r="K35" s="162">
        <f t="shared" si="0"/>
        <v>2015.8709677419354</v>
      </c>
      <c r="L35" s="162">
        <f t="shared" si="0"/>
        <v>2025.7666666666667</v>
      </c>
      <c r="M35" s="162">
        <f t="shared" si="0"/>
        <v>2213.5483870967741</v>
      </c>
    </row>
    <row r="36" spans="1:14" s="66" customFormat="1" ht="34.5" customHeight="1" x14ac:dyDescent="0.25">
      <c r="A36" s="206" t="s">
        <v>16</v>
      </c>
      <c r="B36" s="206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</row>
    <row r="37" spans="1:14" s="66" customFormat="1" ht="34.5" customHeight="1" thickBot="1" x14ac:dyDescent="0.3">
      <c r="A37" s="207" t="s">
        <v>1</v>
      </c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</row>
    <row r="38" spans="1:14" ht="34.5" customHeight="1" thickBot="1" x14ac:dyDescent="0.3">
      <c r="A38" s="119" t="s">
        <v>2</v>
      </c>
      <c r="B38" s="120" t="s">
        <v>3</v>
      </c>
      <c r="C38" s="120" t="s">
        <v>4</v>
      </c>
      <c r="D38" s="120" t="s">
        <v>5</v>
      </c>
      <c r="E38" s="120" t="s">
        <v>6</v>
      </c>
      <c r="F38" s="120" t="s">
        <v>7</v>
      </c>
      <c r="G38" s="120" t="s">
        <v>8</v>
      </c>
      <c r="H38" s="120" t="s">
        <v>9</v>
      </c>
      <c r="I38" s="120" t="s">
        <v>10</v>
      </c>
      <c r="J38" s="120" t="s">
        <v>11</v>
      </c>
      <c r="K38" s="120" t="s">
        <v>12</v>
      </c>
      <c r="L38" s="120" t="s">
        <v>13</v>
      </c>
      <c r="M38" s="120" t="s">
        <v>14</v>
      </c>
      <c r="N38" s="78"/>
    </row>
    <row r="39" spans="1:14" s="122" customFormat="1" ht="34.5" customHeight="1" x14ac:dyDescent="0.25">
      <c r="A39" s="123">
        <v>1</v>
      </c>
      <c r="B39" s="70"/>
      <c r="C39" s="70"/>
      <c r="D39" s="70"/>
      <c r="E39" s="70"/>
      <c r="F39" s="131"/>
      <c r="G39" s="70">
        <v>1430</v>
      </c>
      <c r="H39" s="70">
        <v>1332</v>
      </c>
      <c r="I39" s="70">
        <v>1676</v>
      </c>
      <c r="J39" s="70">
        <v>1940</v>
      </c>
      <c r="K39" s="70">
        <v>2180</v>
      </c>
      <c r="L39" s="70">
        <v>2010</v>
      </c>
      <c r="M39" s="70">
        <v>1965</v>
      </c>
    </row>
    <row r="40" spans="1:14" s="122" customFormat="1" ht="34.5" customHeight="1" x14ac:dyDescent="0.25">
      <c r="A40" s="123">
        <v>2</v>
      </c>
      <c r="B40" s="124"/>
      <c r="C40" s="124"/>
      <c r="D40" s="124"/>
      <c r="E40" s="124"/>
      <c r="F40" s="132"/>
      <c r="G40" s="124">
        <v>1430</v>
      </c>
      <c r="H40" s="124">
        <v>1330</v>
      </c>
      <c r="I40" s="124">
        <v>1665</v>
      </c>
      <c r="J40" s="126">
        <v>1950</v>
      </c>
      <c r="K40" s="124">
        <v>2160</v>
      </c>
      <c r="L40" s="124">
        <v>2050</v>
      </c>
      <c r="M40" s="124">
        <v>1960</v>
      </c>
    </row>
    <row r="41" spans="1:14" s="122" customFormat="1" ht="34.5" customHeight="1" x14ac:dyDescent="0.25">
      <c r="A41" s="123">
        <v>3</v>
      </c>
      <c r="B41" s="124"/>
      <c r="C41" s="124"/>
      <c r="D41" s="124"/>
      <c r="E41" s="124"/>
      <c r="F41" s="132"/>
      <c r="G41" s="124">
        <v>1453</v>
      </c>
      <c r="H41" s="124">
        <v>1335</v>
      </c>
      <c r="I41" s="124">
        <v>1627</v>
      </c>
      <c r="J41" s="124">
        <v>2060</v>
      </c>
      <c r="K41" s="124">
        <v>2160</v>
      </c>
      <c r="L41" s="124">
        <v>2045</v>
      </c>
      <c r="M41" s="124">
        <v>1950</v>
      </c>
    </row>
    <row r="42" spans="1:14" s="122" customFormat="1" ht="34.5" customHeight="1" x14ac:dyDescent="0.25">
      <c r="A42" s="123">
        <v>4</v>
      </c>
      <c r="B42" s="124"/>
      <c r="C42" s="124"/>
      <c r="D42" s="124"/>
      <c r="E42" s="124"/>
      <c r="F42" s="132"/>
      <c r="G42" s="124">
        <v>1435</v>
      </c>
      <c r="H42" s="124">
        <v>1335</v>
      </c>
      <c r="I42" s="124">
        <v>1630</v>
      </c>
      <c r="J42" s="124">
        <v>2100</v>
      </c>
      <c r="K42" s="124">
        <v>1973</v>
      </c>
      <c r="L42" s="124">
        <v>1995</v>
      </c>
      <c r="M42" s="124">
        <v>1940</v>
      </c>
    </row>
    <row r="43" spans="1:14" s="122" customFormat="1" ht="34.5" customHeight="1" x14ac:dyDescent="0.25">
      <c r="A43" s="123">
        <v>5</v>
      </c>
      <c r="B43" s="124"/>
      <c r="C43" s="124"/>
      <c r="D43" s="124"/>
      <c r="E43" s="124"/>
      <c r="F43" s="132"/>
      <c r="G43" s="124">
        <v>1420</v>
      </c>
      <c r="H43" s="124">
        <v>1413</v>
      </c>
      <c r="I43" s="124">
        <v>1677</v>
      </c>
      <c r="J43" s="124">
        <v>2300</v>
      </c>
      <c r="K43" s="124">
        <v>2095</v>
      </c>
      <c r="L43" s="124">
        <v>2030</v>
      </c>
      <c r="M43" s="124">
        <v>1935</v>
      </c>
    </row>
    <row r="44" spans="1:14" s="122" customFormat="1" ht="34.5" customHeight="1" x14ac:dyDescent="0.25">
      <c r="A44" s="123">
        <v>6</v>
      </c>
      <c r="B44" s="124"/>
      <c r="C44" s="124"/>
      <c r="D44" s="124"/>
      <c r="E44" s="124"/>
      <c r="F44" s="132"/>
      <c r="G44" s="124">
        <v>1420</v>
      </c>
      <c r="H44" s="124">
        <v>1410</v>
      </c>
      <c r="I44" s="124">
        <v>1728</v>
      </c>
      <c r="J44" s="124">
        <v>2200</v>
      </c>
      <c r="K44" s="124">
        <v>2070</v>
      </c>
      <c r="L44" s="124">
        <v>2010</v>
      </c>
      <c r="M44" s="124">
        <v>1925</v>
      </c>
    </row>
    <row r="45" spans="1:14" s="122" customFormat="1" ht="34.5" customHeight="1" x14ac:dyDescent="0.25">
      <c r="A45" s="123">
        <v>7</v>
      </c>
      <c r="B45" s="124"/>
      <c r="C45" s="124"/>
      <c r="D45" s="124"/>
      <c r="E45" s="124"/>
      <c r="F45" s="132"/>
      <c r="G45" s="124">
        <v>1442</v>
      </c>
      <c r="H45" s="124">
        <v>1480</v>
      </c>
      <c r="I45" s="124">
        <v>1700</v>
      </c>
      <c r="J45" s="124">
        <v>2100</v>
      </c>
      <c r="K45" s="124">
        <v>2065</v>
      </c>
      <c r="L45" s="124">
        <v>2020</v>
      </c>
      <c r="M45" s="124">
        <v>1865</v>
      </c>
    </row>
    <row r="46" spans="1:14" s="122" customFormat="1" ht="34.5" customHeight="1" x14ac:dyDescent="0.25">
      <c r="A46" s="123">
        <v>8</v>
      </c>
      <c r="B46" s="124"/>
      <c r="C46" s="124"/>
      <c r="D46" s="124"/>
      <c r="E46" s="124"/>
      <c r="F46" s="132"/>
      <c r="G46" s="124">
        <v>1400</v>
      </c>
      <c r="H46" s="124">
        <v>1457</v>
      </c>
      <c r="I46" s="124">
        <v>1700</v>
      </c>
      <c r="J46" s="124">
        <v>2120</v>
      </c>
      <c r="K46" s="124">
        <v>2070</v>
      </c>
      <c r="L46" s="124">
        <v>2025</v>
      </c>
      <c r="M46" s="124">
        <v>1750</v>
      </c>
    </row>
    <row r="47" spans="1:14" s="122" customFormat="1" ht="34.5" customHeight="1" x14ac:dyDescent="0.25">
      <c r="A47" s="123">
        <v>9</v>
      </c>
      <c r="B47" s="124"/>
      <c r="C47" s="124"/>
      <c r="D47" s="124"/>
      <c r="E47" s="124"/>
      <c r="F47" s="132"/>
      <c r="G47" s="124">
        <v>1420</v>
      </c>
      <c r="H47" s="124">
        <v>1320</v>
      </c>
      <c r="I47" s="124">
        <v>1690</v>
      </c>
      <c r="J47" s="124">
        <v>2200</v>
      </c>
      <c r="K47" s="124">
        <v>2040</v>
      </c>
      <c r="L47" s="124">
        <v>2020</v>
      </c>
      <c r="M47" s="124">
        <v>1790</v>
      </c>
    </row>
    <row r="48" spans="1:14" s="122" customFormat="1" ht="34.5" customHeight="1" x14ac:dyDescent="0.25">
      <c r="A48" s="123">
        <v>10</v>
      </c>
      <c r="B48" s="124"/>
      <c r="C48" s="124"/>
      <c r="D48" s="124"/>
      <c r="E48" s="124"/>
      <c r="F48" s="132"/>
      <c r="G48" s="124">
        <v>1605</v>
      </c>
      <c r="H48" s="124">
        <v>1524</v>
      </c>
      <c r="I48" s="124">
        <v>1667</v>
      </c>
      <c r="J48" s="124">
        <v>2150</v>
      </c>
      <c r="K48" s="124">
        <v>2000</v>
      </c>
      <c r="L48" s="124">
        <v>2040</v>
      </c>
      <c r="M48" s="124">
        <v>1820</v>
      </c>
    </row>
    <row r="49" spans="1:13" s="122" customFormat="1" ht="34.5" customHeight="1" x14ac:dyDescent="0.25">
      <c r="A49" s="123">
        <v>11</v>
      </c>
      <c r="B49" s="124"/>
      <c r="C49" s="124"/>
      <c r="D49" s="124"/>
      <c r="E49" s="124"/>
      <c r="F49" s="132"/>
      <c r="G49" s="124">
        <v>1795</v>
      </c>
      <c r="H49" s="124">
        <v>1524</v>
      </c>
      <c r="I49" s="124">
        <v>1653</v>
      </c>
      <c r="J49" s="124">
        <v>2150</v>
      </c>
      <c r="K49" s="124">
        <v>2005</v>
      </c>
      <c r="L49" s="124">
        <v>2030</v>
      </c>
      <c r="M49" s="124">
        <v>1835</v>
      </c>
    </row>
    <row r="50" spans="1:13" s="122" customFormat="1" ht="34.5" customHeight="1" x14ac:dyDescent="0.25">
      <c r="A50" s="123">
        <v>12</v>
      </c>
      <c r="B50" s="124"/>
      <c r="C50" s="124"/>
      <c r="D50" s="124"/>
      <c r="E50" s="124"/>
      <c r="F50" s="132"/>
      <c r="G50" s="124">
        <v>1600</v>
      </c>
      <c r="H50" s="124">
        <v>1513</v>
      </c>
      <c r="I50" s="124">
        <v>1667</v>
      </c>
      <c r="J50" s="124">
        <v>2150</v>
      </c>
      <c r="K50" s="124">
        <v>2035</v>
      </c>
      <c r="L50" s="124">
        <v>2015</v>
      </c>
      <c r="M50" s="124">
        <v>1840</v>
      </c>
    </row>
    <row r="51" spans="1:13" s="122" customFormat="1" ht="34.5" customHeight="1" x14ac:dyDescent="0.25">
      <c r="A51" s="123">
        <v>13</v>
      </c>
      <c r="B51" s="124"/>
      <c r="C51" s="124"/>
      <c r="D51" s="124"/>
      <c r="E51" s="124"/>
      <c r="F51" s="132"/>
      <c r="G51" s="124">
        <v>1600</v>
      </c>
      <c r="H51" s="124">
        <v>1465</v>
      </c>
      <c r="I51" s="124">
        <v>1778</v>
      </c>
      <c r="J51" s="124">
        <v>2130</v>
      </c>
      <c r="K51" s="124">
        <v>2030</v>
      </c>
      <c r="L51" s="124">
        <v>1985</v>
      </c>
      <c r="M51" s="124">
        <v>1835</v>
      </c>
    </row>
    <row r="52" spans="1:13" s="122" customFormat="1" ht="34.5" customHeight="1" x14ac:dyDescent="0.25">
      <c r="A52" s="123">
        <v>14</v>
      </c>
      <c r="B52" s="124"/>
      <c r="C52" s="124"/>
      <c r="D52" s="124"/>
      <c r="E52" s="124"/>
      <c r="F52" s="132"/>
      <c r="G52" s="124">
        <v>1600</v>
      </c>
      <c r="H52" s="124">
        <v>1465</v>
      </c>
      <c r="I52" s="124">
        <v>1500</v>
      </c>
      <c r="J52" s="124">
        <v>2160</v>
      </c>
      <c r="K52" s="124">
        <v>2040</v>
      </c>
      <c r="L52" s="124">
        <v>1985</v>
      </c>
      <c r="M52" s="124">
        <v>1820</v>
      </c>
    </row>
    <row r="53" spans="1:13" s="122" customFormat="1" ht="34.5" customHeight="1" x14ac:dyDescent="0.25">
      <c r="A53" s="123">
        <v>15</v>
      </c>
      <c r="B53" s="124"/>
      <c r="C53" s="124"/>
      <c r="D53" s="124"/>
      <c r="E53" s="124"/>
      <c r="F53" s="132"/>
      <c r="G53" s="124">
        <v>1478</v>
      </c>
      <c r="H53" s="124">
        <v>1505</v>
      </c>
      <c r="I53" s="124">
        <v>1500</v>
      </c>
      <c r="J53" s="124">
        <v>2160</v>
      </c>
      <c r="K53" s="124">
        <v>2100</v>
      </c>
      <c r="L53" s="124">
        <v>1975</v>
      </c>
      <c r="M53" s="124">
        <v>1785</v>
      </c>
    </row>
    <row r="54" spans="1:13" s="122" customFormat="1" ht="34.5" customHeight="1" x14ac:dyDescent="0.25">
      <c r="A54" s="123">
        <v>16</v>
      </c>
      <c r="B54" s="124"/>
      <c r="C54" s="124"/>
      <c r="D54" s="124"/>
      <c r="E54" s="124"/>
      <c r="F54" s="132"/>
      <c r="G54" s="124">
        <v>1520</v>
      </c>
      <c r="H54" s="124">
        <v>1565</v>
      </c>
      <c r="I54" s="124">
        <v>1850</v>
      </c>
      <c r="J54" s="124">
        <v>2180</v>
      </c>
      <c r="K54" s="124">
        <v>1930</v>
      </c>
      <c r="L54" s="124">
        <v>1985</v>
      </c>
      <c r="M54" s="124">
        <v>1740</v>
      </c>
    </row>
    <row r="55" spans="1:13" s="122" customFormat="1" ht="34.5" customHeight="1" x14ac:dyDescent="0.25">
      <c r="A55" s="123">
        <v>17</v>
      </c>
      <c r="B55" s="124"/>
      <c r="C55" s="124"/>
      <c r="D55" s="124"/>
      <c r="E55" s="124"/>
      <c r="F55" s="132"/>
      <c r="G55" s="124">
        <v>1500</v>
      </c>
      <c r="H55" s="124">
        <v>1520</v>
      </c>
      <c r="I55" s="124">
        <v>1800</v>
      </c>
      <c r="J55" s="124">
        <v>2160</v>
      </c>
      <c r="K55" s="124">
        <v>1880</v>
      </c>
      <c r="L55" s="124">
        <v>1990</v>
      </c>
      <c r="M55" s="124">
        <v>1728</v>
      </c>
    </row>
    <row r="56" spans="1:13" s="122" customFormat="1" ht="34.5" customHeight="1" x14ac:dyDescent="0.25">
      <c r="A56" s="123">
        <v>18</v>
      </c>
      <c r="B56" s="124"/>
      <c r="C56" s="124"/>
      <c r="D56" s="124"/>
      <c r="E56" s="124"/>
      <c r="F56" s="132"/>
      <c r="G56" s="124">
        <v>1570</v>
      </c>
      <c r="H56" s="124">
        <v>1520</v>
      </c>
      <c r="I56" s="124">
        <v>1755</v>
      </c>
      <c r="J56" s="124">
        <v>2220</v>
      </c>
      <c r="K56" s="124">
        <v>1850</v>
      </c>
      <c r="L56" s="124">
        <v>2000</v>
      </c>
      <c r="M56" s="124">
        <v>1655</v>
      </c>
    </row>
    <row r="57" spans="1:13" s="122" customFormat="1" ht="34.5" customHeight="1" x14ac:dyDescent="0.25">
      <c r="A57" s="123">
        <v>19</v>
      </c>
      <c r="B57" s="124"/>
      <c r="C57" s="124"/>
      <c r="D57" s="124"/>
      <c r="E57" s="126"/>
      <c r="F57" s="132"/>
      <c r="G57" s="124">
        <v>1500</v>
      </c>
      <c r="H57" s="124">
        <v>1547</v>
      </c>
      <c r="I57" s="124">
        <v>1760</v>
      </c>
      <c r="J57" s="124">
        <v>2220</v>
      </c>
      <c r="K57" s="124">
        <v>1950</v>
      </c>
      <c r="L57" s="124">
        <v>1985</v>
      </c>
      <c r="M57" s="124">
        <v>1580</v>
      </c>
    </row>
    <row r="58" spans="1:13" s="122" customFormat="1" ht="34.5" customHeight="1" x14ac:dyDescent="0.25">
      <c r="A58" s="123">
        <v>20</v>
      </c>
      <c r="B58" s="124"/>
      <c r="C58" s="124"/>
      <c r="D58" s="124"/>
      <c r="E58" s="126"/>
      <c r="F58" s="132"/>
      <c r="G58" s="124">
        <v>1500</v>
      </c>
      <c r="H58" s="124">
        <v>1600</v>
      </c>
      <c r="I58" s="124">
        <v>1825</v>
      </c>
      <c r="J58" s="124">
        <v>2250</v>
      </c>
      <c r="K58" s="124">
        <v>1890</v>
      </c>
      <c r="L58" s="124">
        <v>1975</v>
      </c>
      <c r="M58" s="124">
        <v>1655</v>
      </c>
    </row>
    <row r="59" spans="1:13" s="122" customFormat="1" ht="34.5" customHeight="1" x14ac:dyDescent="0.25">
      <c r="A59" s="123">
        <v>21</v>
      </c>
      <c r="B59" s="124"/>
      <c r="C59" s="124"/>
      <c r="D59" s="124"/>
      <c r="E59" s="126"/>
      <c r="F59" s="132"/>
      <c r="G59" s="124">
        <v>1520</v>
      </c>
      <c r="H59" s="124">
        <v>1600</v>
      </c>
      <c r="I59" s="124">
        <v>1825</v>
      </c>
      <c r="J59" s="124">
        <v>2300</v>
      </c>
      <c r="K59" s="124">
        <v>1920</v>
      </c>
      <c r="L59" s="124">
        <v>1985</v>
      </c>
      <c r="M59" s="124">
        <v>1680</v>
      </c>
    </row>
    <row r="60" spans="1:13" s="122" customFormat="1" ht="34.5" customHeight="1" x14ac:dyDescent="0.25">
      <c r="A60" s="123">
        <v>22</v>
      </c>
      <c r="B60" s="124"/>
      <c r="C60" s="124"/>
      <c r="D60" s="124"/>
      <c r="E60" s="124"/>
      <c r="F60" s="132"/>
      <c r="G60" s="124">
        <v>1495</v>
      </c>
      <c r="H60" s="124">
        <v>1675</v>
      </c>
      <c r="I60" s="124">
        <v>1825</v>
      </c>
      <c r="J60" s="124">
        <v>2400</v>
      </c>
      <c r="K60" s="124">
        <v>1950</v>
      </c>
      <c r="L60" s="124">
        <v>1985</v>
      </c>
      <c r="M60" s="124">
        <v>1685</v>
      </c>
    </row>
    <row r="61" spans="1:13" s="122" customFormat="1" ht="34.5" customHeight="1" x14ac:dyDescent="0.25">
      <c r="A61" s="123">
        <v>23</v>
      </c>
      <c r="B61" s="124"/>
      <c r="C61" s="124"/>
      <c r="D61" s="124"/>
      <c r="E61" s="126"/>
      <c r="F61" s="132"/>
      <c r="G61" s="124">
        <v>1320</v>
      </c>
      <c r="H61" s="124">
        <v>1645</v>
      </c>
      <c r="I61" s="124">
        <v>1802</v>
      </c>
      <c r="J61" s="124">
        <v>2320</v>
      </c>
      <c r="K61" s="124">
        <v>1955</v>
      </c>
      <c r="L61" s="124">
        <v>1985</v>
      </c>
      <c r="M61" s="124">
        <v>1669</v>
      </c>
    </row>
    <row r="62" spans="1:13" s="122" customFormat="1" ht="34.5" customHeight="1" x14ac:dyDescent="0.25">
      <c r="A62" s="123">
        <v>24</v>
      </c>
      <c r="B62" s="124"/>
      <c r="C62" s="124"/>
      <c r="D62" s="124"/>
      <c r="E62" s="126"/>
      <c r="F62" s="132"/>
      <c r="G62" s="124">
        <v>1408</v>
      </c>
      <c r="H62" s="124">
        <v>1632</v>
      </c>
      <c r="I62" s="124">
        <v>1841</v>
      </c>
      <c r="J62" s="124">
        <v>2230</v>
      </c>
      <c r="K62" s="124">
        <v>1985</v>
      </c>
      <c r="L62" s="124">
        <v>1975</v>
      </c>
      <c r="M62" s="124">
        <v>1670</v>
      </c>
    </row>
    <row r="63" spans="1:13" s="122" customFormat="1" ht="34.5" customHeight="1" x14ac:dyDescent="0.25">
      <c r="A63" s="123">
        <v>25</v>
      </c>
      <c r="B63" s="124"/>
      <c r="C63" s="124"/>
      <c r="D63" s="124"/>
      <c r="E63" s="126"/>
      <c r="F63" s="132"/>
      <c r="G63" s="124">
        <v>1373</v>
      </c>
      <c r="H63" s="124">
        <v>1632</v>
      </c>
      <c r="I63" s="124">
        <v>1870</v>
      </c>
      <c r="J63" s="124">
        <v>2230</v>
      </c>
      <c r="K63" s="124">
        <v>2015</v>
      </c>
      <c r="L63" s="124">
        <v>1975</v>
      </c>
      <c r="M63" s="124">
        <v>1685</v>
      </c>
    </row>
    <row r="64" spans="1:13" s="122" customFormat="1" ht="34.5" customHeight="1" x14ac:dyDescent="0.25">
      <c r="A64" s="123">
        <v>26</v>
      </c>
      <c r="B64" s="124"/>
      <c r="C64" s="124"/>
      <c r="D64" s="124"/>
      <c r="E64" s="126"/>
      <c r="F64" s="125"/>
      <c r="G64" s="124">
        <v>1360</v>
      </c>
      <c r="H64" s="124">
        <v>1520</v>
      </c>
      <c r="I64" s="124">
        <v>1875</v>
      </c>
      <c r="J64" s="124">
        <v>2230</v>
      </c>
      <c r="K64" s="124">
        <v>2005</v>
      </c>
      <c r="L64" s="124">
        <v>1975</v>
      </c>
      <c r="M64" s="124">
        <v>1685</v>
      </c>
    </row>
    <row r="65" spans="1:14" s="122" customFormat="1" ht="34.5" customHeight="1" x14ac:dyDescent="0.25">
      <c r="A65" s="123">
        <v>27</v>
      </c>
      <c r="B65" s="124"/>
      <c r="C65" s="124"/>
      <c r="D65" s="124"/>
      <c r="E65" s="124"/>
      <c r="F65" s="125"/>
      <c r="G65" s="124">
        <v>1360</v>
      </c>
      <c r="H65" s="124">
        <v>1575</v>
      </c>
      <c r="I65" s="124">
        <v>1880</v>
      </c>
      <c r="J65" s="124">
        <v>2250</v>
      </c>
      <c r="K65" s="124">
        <v>2005</v>
      </c>
      <c r="L65" s="124">
        <v>1975</v>
      </c>
      <c r="M65" s="124">
        <v>1685</v>
      </c>
    </row>
    <row r="66" spans="1:14" s="122" customFormat="1" ht="34.5" customHeight="1" x14ac:dyDescent="0.25">
      <c r="A66" s="123">
        <v>28</v>
      </c>
      <c r="B66" s="124"/>
      <c r="C66" s="124"/>
      <c r="D66" s="124"/>
      <c r="E66" s="124"/>
      <c r="F66" s="125"/>
      <c r="G66" s="124">
        <v>1383</v>
      </c>
      <c r="H66" s="124">
        <v>1570</v>
      </c>
      <c r="I66" s="124">
        <v>1885</v>
      </c>
      <c r="J66" s="124">
        <v>2230</v>
      </c>
      <c r="K66" s="124">
        <v>2000</v>
      </c>
      <c r="L66" s="124">
        <v>1975</v>
      </c>
      <c r="M66" s="124">
        <v>1705</v>
      </c>
    </row>
    <row r="67" spans="1:14" s="122" customFormat="1" ht="34.5" customHeight="1" x14ac:dyDescent="0.25">
      <c r="A67" s="123">
        <v>29</v>
      </c>
      <c r="B67" s="124"/>
      <c r="C67" s="124"/>
      <c r="D67" s="124"/>
      <c r="E67" s="124"/>
      <c r="F67" s="125"/>
      <c r="G67" s="124">
        <v>1395</v>
      </c>
      <c r="H67" s="124">
        <v>1570</v>
      </c>
      <c r="I67" s="124">
        <v>1895</v>
      </c>
      <c r="J67" s="124">
        <v>2220</v>
      </c>
      <c r="K67" s="124">
        <v>1990</v>
      </c>
      <c r="L67" s="124">
        <v>1970</v>
      </c>
      <c r="M67" s="124">
        <v>1695</v>
      </c>
    </row>
    <row r="68" spans="1:14" s="122" customFormat="1" ht="34.5" customHeight="1" x14ac:dyDescent="0.25">
      <c r="A68" s="123">
        <v>30</v>
      </c>
      <c r="B68" s="124"/>
      <c r="C68" s="124"/>
      <c r="D68" s="124"/>
      <c r="E68" s="124"/>
      <c r="F68" s="125"/>
      <c r="G68" s="124">
        <v>1382</v>
      </c>
      <c r="H68" s="124">
        <v>1400</v>
      </c>
      <c r="I68" s="124">
        <v>1913</v>
      </c>
      <c r="J68" s="124">
        <v>2230</v>
      </c>
      <c r="K68" s="124">
        <v>1980</v>
      </c>
      <c r="L68" s="124">
        <v>1970</v>
      </c>
      <c r="M68" s="124">
        <v>1695</v>
      </c>
    </row>
    <row r="69" spans="1:14" s="122" customFormat="1" ht="34.5" customHeight="1" thickBot="1" x14ac:dyDescent="0.3">
      <c r="A69" s="123">
        <v>31</v>
      </c>
      <c r="B69" s="129"/>
      <c r="C69" s="129"/>
      <c r="D69" s="129"/>
      <c r="E69" s="129"/>
      <c r="F69" s="130"/>
      <c r="G69" s="133" t="s">
        <v>17</v>
      </c>
      <c r="H69" s="129">
        <v>1676</v>
      </c>
      <c r="I69" s="129">
        <v>1940</v>
      </c>
      <c r="J69" s="133" t="s">
        <v>17</v>
      </c>
      <c r="K69" s="129">
        <v>1995</v>
      </c>
      <c r="L69" s="133" t="s">
        <v>17</v>
      </c>
      <c r="M69" s="129">
        <v>1715</v>
      </c>
    </row>
    <row r="70" spans="1:14" s="122" customFormat="1" ht="34.5" customHeight="1" thickBot="1" x14ac:dyDescent="0.3">
      <c r="A70" s="161" t="s">
        <v>15</v>
      </c>
      <c r="B70" s="163">
        <v>2219</v>
      </c>
      <c r="C70" s="163">
        <v>2354</v>
      </c>
      <c r="D70" s="163">
        <v>2354</v>
      </c>
      <c r="E70" s="163">
        <v>2354</v>
      </c>
      <c r="F70" s="163">
        <v>1211</v>
      </c>
      <c r="G70" s="162">
        <f>AVERAGE(G39:G69)</f>
        <v>1470.4666666666667</v>
      </c>
      <c r="H70" s="162">
        <f t="shared" ref="H70:M70" si="1">AVERAGE(H39:H69)</f>
        <v>1505</v>
      </c>
      <c r="I70" s="162">
        <f t="shared" si="1"/>
        <v>1754.8064516129032</v>
      </c>
      <c r="J70" s="162">
        <f t="shared" si="1"/>
        <v>2184.6666666666665</v>
      </c>
      <c r="K70" s="162">
        <f>AVERAGE(K39:K69)</f>
        <v>2010.4193548387098</v>
      </c>
      <c r="L70" s="162">
        <f t="shared" si="1"/>
        <v>1998</v>
      </c>
      <c r="M70" s="162">
        <f t="shared" si="1"/>
        <v>1772.3225806451612</v>
      </c>
    </row>
    <row r="71" spans="1:14" s="66" customFormat="1" ht="34.5" customHeight="1" x14ac:dyDescent="0.25">
      <c r="A71" s="206" t="s">
        <v>18</v>
      </c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</row>
    <row r="72" spans="1:14" s="66" customFormat="1" ht="34.5" customHeight="1" thickBot="1" x14ac:dyDescent="0.3">
      <c r="A72" s="207" t="s">
        <v>1</v>
      </c>
      <c r="B72" s="207"/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</row>
    <row r="73" spans="1:14" ht="34.5" customHeight="1" thickBot="1" x14ac:dyDescent="0.3">
      <c r="A73" s="119" t="s">
        <v>2</v>
      </c>
      <c r="B73" s="120" t="s">
        <v>3</v>
      </c>
      <c r="C73" s="120" t="s">
        <v>4</v>
      </c>
      <c r="D73" s="120" t="s">
        <v>5</v>
      </c>
      <c r="E73" s="120" t="s">
        <v>6</v>
      </c>
      <c r="F73" s="120" t="s">
        <v>7</v>
      </c>
      <c r="G73" s="120" t="s">
        <v>8</v>
      </c>
      <c r="H73" s="120" t="s">
        <v>9</v>
      </c>
      <c r="I73" s="120" t="s">
        <v>10</v>
      </c>
      <c r="J73" s="120" t="s">
        <v>11</v>
      </c>
      <c r="K73" s="120" t="s">
        <v>12</v>
      </c>
      <c r="L73" s="120" t="s">
        <v>13</v>
      </c>
      <c r="M73" s="120" t="s">
        <v>14</v>
      </c>
      <c r="N73" s="78"/>
    </row>
    <row r="74" spans="1:14" s="122" customFormat="1" ht="34.5" customHeight="1" x14ac:dyDescent="0.25">
      <c r="A74" s="121">
        <v>1</v>
      </c>
      <c r="B74" s="70">
        <v>1695</v>
      </c>
      <c r="C74" s="70"/>
      <c r="D74" s="70">
        <v>1429</v>
      </c>
      <c r="E74" s="70">
        <v>1427</v>
      </c>
      <c r="F74" s="131"/>
      <c r="G74" s="70">
        <v>1460</v>
      </c>
      <c r="H74" s="70"/>
      <c r="I74" s="70">
        <v>1463</v>
      </c>
      <c r="J74" s="70">
        <v>1463</v>
      </c>
      <c r="K74" s="70"/>
      <c r="L74" s="70">
        <v>1462</v>
      </c>
      <c r="M74" s="70">
        <v>1462</v>
      </c>
    </row>
    <row r="75" spans="1:14" s="122" customFormat="1" ht="34.5" customHeight="1" x14ac:dyDescent="0.25">
      <c r="A75" s="123">
        <v>2</v>
      </c>
      <c r="B75" s="124"/>
      <c r="C75" s="124"/>
      <c r="D75" s="124"/>
      <c r="E75" s="124"/>
      <c r="F75" s="132"/>
      <c r="G75" s="124">
        <v>1460</v>
      </c>
      <c r="H75" s="124"/>
      <c r="I75" s="124">
        <v>1463</v>
      </c>
      <c r="J75" s="124">
        <v>1463</v>
      </c>
      <c r="K75" s="124">
        <v>1467</v>
      </c>
      <c r="L75" s="124">
        <v>1462</v>
      </c>
      <c r="M75" s="124">
        <v>1462</v>
      </c>
    </row>
    <row r="76" spans="1:14" s="122" customFormat="1" ht="34.5" customHeight="1" x14ac:dyDescent="0.25">
      <c r="A76" s="123">
        <v>3</v>
      </c>
      <c r="B76" s="124">
        <v>1675</v>
      </c>
      <c r="C76" s="124"/>
      <c r="D76" s="124"/>
      <c r="E76" s="124">
        <v>1427</v>
      </c>
      <c r="F76" s="132">
        <v>1456</v>
      </c>
      <c r="G76" s="124">
        <v>1460</v>
      </c>
      <c r="H76" s="124">
        <v>1463</v>
      </c>
      <c r="I76" s="124">
        <v>1463</v>
      </c>
      <c r="J76" s="124"/>
      <c r="K76" s="124">
        <v>1464</v>
      </c>
      <c r="L76" s="124">
        <v>1462</v>
      </c>
      <c r="M76" s="124"/>
    </row>
    <row r="77" spans="1:14" s="122" customFormat="1" ht="34.5" customHeight="1" x14ac:dyDescent="0.25">
      <c r="A77" s="123">
        <v>4</v>
      </c>
      <c r="B77" s="124">
        <v>1675</v>
      </c>
      <c r="C77" s="124"/>
      <c r="D77" s="124">
        <v>1435</v>
      </c>
      <c r="E77" s="124">
        <v>1424</v>
      </c>
      <c r="F77" s="132">
        <v>1456</v>
      </c>
      <c r="G77" s="124"/>
      <c r="H77" s="124">
        <v>1463</v>
      </c>
      <c r="I77" s="124">
        <v>1463</v>
      </c>
      <c r="J77" s="124">
        <v>1463</v>
      </c>
      <c r="K77" s="124">
        <v>1463</v>
      </c>
      <c r="L77" s="124">
        <v>1462</v>
      </c>
      <c r="M77" s="124">
        <v>1462</v>
      </c>
    </row>
    <row r="78" spans="1:14" s="122" customFormat="1" ht="34.5" customHeight="1" x14ac:dyDescent="0.25">
      <c r="A78" s="123">
        <v>5</v>
      </c>
      <c r="B78" s="124">
        <v>1645</v>
      </c>
      <c r="C78" s="124"/>
      <c r="D78" s="124"/>
      <c r="E78" s="124">
        <v>1423</v>
      </c>
      <c r="F78" s="132">
        <v>1463</v>
      </c>
      <c r="G78" s="124">
        <v>1460</v>
      </c>
      <c r="H78" s="124">
        <v>1463</v>
      </c>
      <c r="I78" s="124">
        <v>1463</v>
      </c>
      <c r="J78" s="124">
        <v>1463</v>
      </c>
      <c r="K78" s="124">
        <v>1463</v>
      </c>
      <c r="L78" s="124"/>
      <c r="M78" s="124">
        <v>1462</v>
      </c>
    </row>
    <row r="79" spans="1:14" s="122" customFormat="1" ht="34.5" customHeight="1" x14ac:dyDescent="0.25">
      <c r="A79" s="123">
        <v>6</v>
      </c>
      <c r="B79" s="124">
        <v>1645</v>
      </c>
      <c r="C79" s="124"/>
      <c r="D79" s="124">
        <v>1433</v>
      </c>
      <c r="E79" s="124">
        <v>1424</v>
      </c>
      <c r="F79" s="132">
        <v>1462</v>
      </c>
      <c r="G79" s="124">
        <v>1458</v>
      </c>
      <c r="H79" s="124">
        <v>1463</v>
      </c>
      <c r="I79" s="124"/>
      <c r="J79" s="124">
        <v>1463</v>
      </c>
      <c r="K79" s="124">
        <v>1463</v>
      </c>
      <c r="L79" s="124">
        <v>1462</v>
      </c>
      <c r="M79" s="124">
        <v>1462</v>
      </c>
    </row>
    <row r="80" spans="1:14" s="122" customFormat="1" ht="34.5" customHeight="1" x14ac:dyDescent="0.25">
      <c r="A80" s="123">
        <v>7</v>
      </c>
      <c r="B80" s="124">
        <v>1635</v>
      </c>
      <c r="C80" s="124">
        <v>1360</v>
      </c>
      <c r="D80" s="124">
        <v>1430</v>
      </c>
      <c r="E80" s="124">
        <v>1426</v>
      </c>
      <c r="F80" s="132"/>
      <c r="G80" s="124">
        <v>1455</v>
      </c>
      <c r="H80" s="124">
        <v>1463</v>
      </c>
      <c r="I80" s="124">
        <v>1463</v>
      </c>
      <c r="J80" s="124">
        <v>1463</v>
      </c>
      <c r="K80" s="124">
        <v>1463</v>
      </c>
      <c r="L80" s="124">
        <v>1463</v>
      </c>
      <c r="M80" s="124">
        <v>1462</v>
      </c>
    </row>
    <row r="81" spans="1:13" s="122" customFormat="1" ht="34.5" customHeight="1" x14ac:dyDescent="0.25">
      <c r="A81" s="123">
        <v>8</v>
      </c>
      <c r="B81" s="124">
        <v>1595</v>
      </c>
      <c r="C81" s="124">
        <v>1375</v>
      </c>
      <c r="D81" s="124">
        <v>1421</v>
      </c>
      <c r="E81" s="124">
        <v>1431</v>
      </c>
      <c r="F81" s="132">
        <v>1461</v>
      </c>
      <c r="G81" s="124">
        <v>1455</v>
      </c>
      <c r="H81" s="124">
        <v>1463</v>
      </c>
      <c r="I81" s="124">
        <v>1463</v>
      </c>
      <c r="J81" s="124">
        <v>1463</v>
      </c>
      <c r="K81" s="124"/>
      <c r="L81" s="124">
        <v>1463</v>
      </c>
      <c r="M81" s="124">
        <v>1462</v>
      </c>
    </row>
    <row r="82" spans="1:13" s="122" customFormat="1" ht="34.5" customHeight="1" x14ac:dyDescent="0.25">
      <c r="A82" s="123">
        <v>9</v>
      </c>
      <c r="B82" s="124"/>
      <c r="C82" s="124">
        <v>1407</v>
      </c>
      <c r="D82" s="124">
        <v>1409</v>
      </c>
      <c r="E82" s="124"/>
      <c r="F82" s="132">
        <v>1462</v>
      </c>
      <c r="G82" s="124">
        <v>1456</v>
      </c>
      <c r="H82" s="124"/>
      <c r="I82" s="124">
        <v>1463</v>
      </c>
      <c r="J82" s="124">
        <v>1463</v>
      </c>
      <c r="K82" s="124">
        <v>1463</v>
      </c>
      <c r="L82" s="124">
        <v>1463</v>
      </c>
      <c r="M82" s="124">
        <v>1462</v>
      </c>
    </row>
    <row r="83" spans="1:13" s="122" customFormat="1" ht="34.5" customHeight="1" x14ac:dyDescent="0.25">
      <c r="A83" s="123">
        <v>10</v>
      </c>
      <c r="B83" s="124">
        <v>1520</v>
      </c>
      <c r="C83" s="124">
        <v>1407</v>
      </c>
      <c r="D83" s="124">
        <v>1409</v>
      </c>
      <c r="E83" s="124"/>
      <c r="F83" s="132">
        <v>1462</v>
      </c>
      <c r="G83" s="124">
        <v>1456</v>
      </c>
      <c r="H83" s="124">
        <v>1463</v>
      </c>
      <c r="I83" s="124">
        <v>1463</v>
      </c>
      <c r="J83" s="124"/>
      <c r="K83" s="124">
        <v>1463</v>
      </c>
      <c r="L83" s="124">
        <v>1463</v>
      </c>
      <c r="M83" s="124"/>
    </row>
    <row r="84" spans="1:13" s="122" customFormat="1" ht="34.5" customHeight="1" x14ac:dyDescent="0.25">
      <c r="A84" s="123">
        <v>11</v>
      </c>
      <c r="B84" s="124">
        <v>1505</v>
      </c>
      <c r="C84" s="124">
        <v>1411</v>
      </c>
      <c r="D84" s="124">
        <v>1418</v>
      </c>
      <c r="E84" s="124"/>
      <c r="F84" s="132">
        <v>1462</v>
      </c>
      <c r="G84" s="124"/>
      <c r="H84" s="124">
        <v>1463</v>
      </c>
      <c r="I84" s="124">
        <v>1463</v>
      </c>
      <c r="J84" s="124">
        <v>1463</v>
      </c>
      <c r="K84" s="124">
        <v>1463</v>
      </c>
      <c r="L84" s="124">
        <v>1463</v>
      </c>
      <c r="M84" s="124">
        <v>1462</v>
      </c>
    </row>
    <row r="85" spans="1:13" s="122" customFormat="1" ht="34.5" customHeight="1" x14ac:dyDescent="0.25">
      <c r="A85" s="123">
        <v>12</v>
      </c>
      <c r="B85" s="124">
        <v>1515</v>
      </c>
      <c r="C85" s="124">
        <v>1405</v>
      </c>
      <c r="D85" s="124"/>
      <c r="E85" s="124">
        <v>1438</v>
      </c>
      <c r="F85" s="132">
        <v>1464</v>
      </c>
      <c r="G85" s="124">
        <v>1456</v>
      </c>
      <c r="H85" s="124">
        <v>1463</v>
      </c>
      <c r="I85" s="124">
        <v>1463</v>
      </c>
      <c r="J85" s="124">
        <v>1466</v>
      </c>
      <c r="K85" s="124">
        <v>1463</v>
      </c>
      <c r="L85" s="124"/>
      <c r="M85" s="124">
        <v>1462</v>
      </c>
    </row>
    <row r="86" spans="1:13" s="122" customFormat="1" ht="34.5" customHeight="1" x14ac:dyDescent="0.25">
      <c r="A86" s="123">
        <v>13</v>
      </c>
      <c r="B86" s="124">
        <v>1440</v>
      </c>
      <c r="C86" s="124"/>
      <c r="D86" s="124">
        <v>1420</v>
      </c>
      <c r="E86" s="124">
        <v>1449</v>
      </c>
      <c r="F86" s="132">
        <v>1464</v>
      </c>
      <c r="G86" s="124">
        <v>1456</v>
      </c>
      <c r="H86" s="124">
        <v>1463</v>
      </c>
      <c r="I86" s="124"/>
      <c r="J86" s="124">
        <v>1463</v>
      </c>
      <c r="K86" s="124">
        <v>1463</v>
      </c>
      <c r="L86" s="124">
        <v>1463</v>
      </c>
      <c r="M86" s="124">
        <v>1462</v>
      </c>
    </row>
    <row r="87" spans="1:13" s="122" customFormat="1" ht="34.5" customHeight="1" x14ac:dyDescent="0.25">
      <c r="A87" s="123">
        <v>14</v>
      </c>
      <c r="B87" s="124">
        <v>1288</v>
      </c>
      <c r="C87" s="124">
        <v>1407</v>
      </c>
      <c r="D87" s="124">
        <v>1417</v>
      </c>
      <c r="E87" s="124">
        <v>1453</v>
      </c>
      <c r="F87" s="132"/>
      <c r="G87" s="124">
        <v>1456</v>
      </c>
      <c r="H87" s="124"/>
      <c r="I87" s="124">
        <v>1463</v>
      </c>
      <c r="J87" s="124">
        <v>1462</v>
      </c>
      <c r="K87" s="124">
        <v>1463</v>
      </c>
      <c r="L87" s="124"/>
      <c r="M87" s="124">
        <v>1462</v>
      </c>
    </row>
    <row r="88" spans="1:13" s="122" customFormat="1" ht="34.5" customHeight="1" x14ac:dyDescent="0.25">
      <c r="A88" s="123">
        <v>15</v>
      </c>
      <c r="B88" s="124"/>
      <c r="C88" s="124">
        <v>1412</v>
      </c>
      <c r="D88" s="124">
        <v>1418</v>
      </c>
      <c r="E88" s="124">
        <v>1448</v>
      </c>
      <c r="F88" s="132">
        <v>1461</v>
      </c>
      <c r="G88" s="124">
        <v>1457</v>
      </c>
      <c r="H88" s="124">
        <v>1464</v>
      </c>
      <c r="I88" s="124">
        <v>1463</v>
      </c>
      <c r="J88" s="124">
        <v>1462</v>
      </c>
      <c r="K88" s="124"/>
      <c r="L88" s="124"/>
      <c r="M88" s="124">
        <v>1462</v>
      </c>
    </row>
    <row r="89" spans="1:13" s="122" customFormat="1" ht="34.5" customHeight="1" x14ac:dyDescent="0.25">
      <c r="A89" s="123">
        <v>16</v>
      </c>
      <c r="B89" s="124"/>
      <c r="C89" s="124">
        <v>1418</v>
      </c>
      <c r="D89" s="124">
        <v>1416</v>
      </c>
      <c r="E89" s="124"/>
      <c r="F89" s="132">
        <v>1463</v>
      </c>
      <c r="G89" s="124">
        <v>1457</v>
      </c>
      <c r="H89" s="124"/>
      <c r="I89" s="124">
        <v>1463</v>
      </c>
      <c r="J89" s="124">
        <v>1462</v>
      </c>
      <c r="K89" s="124">
        <v>1463</v>
      </c>
      <c r="L89" s="124"/>
      <c r="M89" s="124">
        <v>1462</v>
      </c>
    </row>
    <row r="90" spans="1:13" s="122" customFormat="1" ht="34.5" customHeight="1" x14ac:dyDescent="0.25">
      <c r="A90" s="123">
        <v>17</v>
      </c>
      <c r="B90" s="124">
        <v>1415</v>
      </c>
      <c r="C90" s="124">
        <v>1417</v>
      </c>
      <c r="D90" s="124">
        <v>1413</v>
      </c>
      <c r="E90" s="124">
        <v>1458</v>
      </c>
      <c r="F90" s="132">
        <v>1460</v>
      </c>
      <c r="G90" s="124">
        <v>1461</v>
      </c>
      <c r="H90" s="124">
        <v>1463</v>
      </c>
      <c r="I90" s="124">
        <v>1463</v>
      </c>
      <c r="J90" s="124"/>
      <c r="K90" s="124">
        <v>1463</v>
      </c>
      <c r="L90" s="124">
        <v>1464</v>
      </c>
      <c r="M90" s="124"/>
    </row>
    <row r="91" spans="1:13" s="122" customFormat="1" ht="34.5" customHeight="1" x14ac:dyDescent="0.25">
      <c r="A91" s="123">
        <v>18</v>
      </c>
      <c r="B91" s="124">
        <v>1490</v>
      </c>
      <c r="C91" s="124">
        <v>1418</v>
      </c>
      <c r="D91" s="124">
        <v>1413</v>
      </c>
      <c r="E91" s="124">
        <v>1464</v>
      </c>
      <c r="F91" s="132">
        <v>1466</v>
      </c>
      <c r="G91" s="124"/>
      <c r="H91" s="124">
        <v>1463</v>
      </c>
      <c r="I91" s="124">
        <v>1463</v>
      </c>
      <c r="J91" s="124">
        <v>1464</v>
      </c>
      <c r="K91" s="124">
        <v>1463</v>
      </c>
      <c r="L91" s="124">
        <v>1464</v>
      </c>
      <c r="M91" s="124">
        <v>1462</v>
      </c>
    </row>
    <row r="92" spans="1:13" s="122" customFormat="1" ht="34.5" customHeight="1" x14ac:dyDescent="0.25">
      <c r="A92" s="123">
        <v>19</v>
      </c>
      <c r="B92" s="124">
        <v>1390</v>
      </c>
      <c r="C92" s="124">
        <v>1418</v>
      </c>
      <c r="D92" s="124"/>
      <c r="E92" s="126">
        <v>1463</v>
      </c>
      <c r="F92" s="132">
        <v>1465</v>
      </c>
      <c r="G92" s="124">
        <v>1463</v>
      </c>
      <c r="H92" s="124">
        <v>1463</v>
      </c>
      <c r="I92" s="124">
        <v>1463</v>
      </c>
      <c r="J92" s="124">
        <v>1463</v>
      </c>
      <c r="K92" s="124">
        <v>1463</v>
      </c>
      <c r="L92" s="124"/>
      <c r="M92" s="124">
        <v>1462</v>
      </c>
    </row>
    <row r="93" spans="1:13" s="122" customFormat="1" ht="34.5" customHeight="1" x14ac:dyDescent="0.25">
      <c r="A93" s="123">
        <v>20</v>
      </c>
      <c r="B93" s="124">
        <v>1375</v>
      </c>
      <c r="C93" s="124"/>
      <c r="D93" s="124">
        <v>1418</v>
      </c>
      <c r="E93" s="126">
        <v>1454</v>
      </c>
      <c r="F93" s="132">
        <v>1466</v>
      </c>
      <c r="G93" s="124">
        <v>1463</v>
      </c>
      <c r="H93" s="124">
        <v>1463</v>
      </c>
      <c r="I93" s="124"/>
      <c r="J93" s="124">
        <v>1463</v>
      </c>
      <c r="K93" s="124">
        <v>1463</v>
      </c>
      <c r="L93" s="124">
        <v>1464</v>
      </c>
      <c r="M93" s="124">
        <v>1462</v>
      </c>
    </row>
    <row r="94" spans="1:13" s="122" customFormat="1" ht="34.5" customHeight="1" x14ac:dyDescent="0.25">
      <c r="A94" s="123">
        <v>21</v>
      </c>
      <c r="B94" s="124">
        <v>1390</v>
      </c>
      <c r="C94" s="124"/>
      <c r="D94" s="124"/>
      <c r="E94" s="126">
        <v>1447</v>
      </c>
      <c r="F94" s="132"/>
      <c r="G94" s="124">
        <v>1463</v>
      </c>
      <c r="H94" s="124">
        <v>1463</v>
      </c>
      <c r="I94" s="124">
        <v>1463</v>
      </c>
      <c r="J94" s="124">
        <v>1463</v>
      </c>
      <c r="K94" s="124">
        <v>1463</v>
      </c>
      <c r="L94" s="124">
        <v>1464</v>
      </c>
      <c r="M94" s="124">
        <v>1462</v>
      </c>
    </row>
    <row r="95" spans="1:13" s="122" customFormat="1" ht="34.5" customHeight="1" x14ac:dyDescent="0.25">
      <c r="A95" s="123">
        <v>22</v>
      </c>
      <c r="B95" s="124">
        <v>1410</v>
      </c>
      <c r="C95" s="124"/>
      <c r="D95" s="124">
        <v>1418</v>
      </c>
      <c r="E95" s="124">
        <v>1448</v>
      </c>
      <c r="F95" s="132">
        <v>1468</v>
      </c>
      <c r="G95" s="124">
        <v>1462</v>
      </c>
      <c r="H95" s="124">
        <v>1463</v>
      </c>
      <c r="I95" s="124">
        <v>1463</v>
      </c>
      <c r="J95" s="124">
        <v>1463</v>
      </c>
      <c r="K95" s="124"/>
      <c r="L95" s="124">
        <v>1464</v>
      </c>
      <c r="M95" s="124">
        <v>1462</v>
      </c>
    </row>
    <row r="96" spans="1:13" s="122" customFormat="1" ht="34.5" customHeight="1" x14ac:dyDescent="0.25">
      <c r="A96" s="123">
        <v>23</v>
      </c>
      <c r="B96" s="124"/>
      <c r="C96" s="124">
        <v>1418</v>
      </c>
      <c r="D96" s="124">
        <v>1419</v>
      </c>
      <c r="E96" s="126"/>
      <c r="F96" s="132">
        <v>1466</v>
      </c>
      <c r="G96" s="124">
        <v>1462</v>
      </c>
      <c r="H96" s="124"/>
      <c r="I96" s="124">
        <v>1463</v>
      </c>
      <c r="J96" s="124">
        <v>1462</v>
      </c>
      <c r="K96" s="124">
        <v>1463</v>
      </c>
      <c r="L96" s="124">
        <v>1462</v>
      </c>
      <c r="M96" s="124">
        <v>1462</v>
      </c>
    </row>
    <row r="97" spans="1:14" s="122" customFormat="1" ht="34.5" customHeight="1" x14ac:dyDescent="0.25">
      <c r="A97" s="123">
        <v>24</v>
      </c>
      <c r="B97" s="124">
        <v>1390</v>
      </c>
      <c r="C97" s="124">
        <v>1418</v>
      </c>
      <c r="D97" s="124">
        <v>1423</v>
      </c>
      <c r="E97" s="126">
        <v>1446</v>
      </c>
      <c r="F97" s="132">
        <v>1467</v>
      </c>
      <c r="G97" s="124">
        <v>1463</v>
      </c>
      <c r="H97" s="124">
        <v>1463</v>
      </c>
      <c r="I97" s="124">
        <v>1463</v>
      </c>
      <c r="J97" s="124"/>
      <c r="K97" s="124">
        <v>1463</v>
      </c>
      <c r="L97" s="124">
        <v>1462</v>
      </c>
      <c r="M97" s="124"/>
    </row>
    <row r="98" spans="1:14" s="122" customFormat="1" ht="34.5" customHeight="1" x14ac:dyDescent="0.25">
      <c r="A98" s="123">
        <v>25</v>
      </c>
      <c r="B98" s="124">
        <v>1375</v>
      </c>
      <c r="C98" s="124">
        <v>1418</v>
      </c>
      <c r="D98" s="124">
        <v>1430</v>
      </c>
      <c r="E98" s="126">
        <v>1440</v>
      </c>
      <c r="F98" s="132">
        <v>1464</v>
      </c>
      <c r="G98" s="124"/>
      <c r="H98" s="124">
        <v>1463</v>
      </c>
      <c r="I98" s="124">
        <v>1463</v>
      </c>
      <c r="J98" s="124">
        <v>1464</v>
      </c>
      <c r="K98" s="124">
        <v>1463</v>
      </c>
      <c r="L98" s="124">
        <v>1462</v>
      </c>
      <c r="M98" s="124">
        <v>1462</v>
      </c>
    </row>
    <row r="99" spans="1:14" s="122" customFormat="1" ht="34.5" customHeight="1" x14ac:dyDescent="0.25">
      <c r="A99" s="123">
        <v>26</v>
      </c>
      <c r="B99" s="124">
        <v>1350</v>
      </c>
      <c r="C99" s="124">
        <v>1418</v>
      </c>
      <c r="D99" s="124"/>
      <c r="E99" s="126">
        <v>1439</v>
      </c>
      <c r="F99" s="125">
        <v>1460</v>
      </c>
      <c r="G99" s="124">
        <v>1463</v>
      </c>
      <c r="H99" s="124">
        <v>1463</v>
      </c>
      <c r="I99" s="124">
        <v>1463</v>
      </c>
      <c r="J99" s="124">
        <v>1462</v>
      </c>
      <c r="K99" s="124">
        <v>1463</v>
      </c>
      <c r="L99" s="124"/>
      <c r="M99" s="124">
        <v>1462</v>
      </c>
    </row>
    <row r="100" spans="1:14" s="122" customFormat="1" ht="34.5" customHeight="1" x14ac:dyDescent="0.25">
      <c r="A100" s="123">
        <v>27</v>
      </c>
      <c r="B100" s="124">
        <v>1360</v>
      </c>
      <c r="C100" s="124"/>
      <c r="D100" s="124">
        <v>1430</v>
      </c>
      <c r="E100" s="124">
        <v>1441</v>
      </c>
      <c r="F100" s="125">
        <v>1461</v>
      </c>
      <c r="G100" s="124">
        <v>1463</v>
      </c>
      <c r="H100" s="124">
        <v>1463</v>
      </c>
      <c r="I100" s="124"/>
      <c r="J100" s="124">
        <v>1462</v>
      </c>
      <c r="K100" s="124">
        <v>1462</v>
      </c>
      <c r="L100" s="124">
        <v>1462</v>
      </c>
      <c r="M100" s="124">
        <v>1462</v>
      </c>
    </row>
    <row r="101" spans="1:14" s="122" customFormat="1" ht="34.5" customHeight="1" x14ac:dyDescent="0.25">
      <c r="A101" s="123">
        <v>28</v>
      </c>
      <c r="B101" s="124">
        <v>1390</v>
      </c>
      <c r="C101" s="124">
        <v>1418</v>
      </c>
      <c r="D101" s="124">
        <v>1428</v>
      </c>
      <c r="E101" s="124">
        <v>1445</v>
      </c>
      <c r="F101" s="125"/>
      <c r="G101" s="124">
        <v>1463</v>
      </c>
      <c r="H101" s="124">
        <v>1463</v>
      </c>
      <c r="I101" s="124">
        <v>1463</v>
      </c>
      <c r="J101" s="124">
        <v>1467</v>
      </c>
      <c r="K101" s="124">
        <v>1462</v>
      </c>
      <c r="L101" s="124">
        <v>1462</v>
      </c>
      <c r="M101" s="124">
        <v>1462</v>
      </c>
    </row>
    <row r="102" spans="1:14" s="122" customFormat="1" ht="34.5" customHeight="1" x14ac:dyDescent="0.25">
      <c r="A102" s="123">
        <v>29</v>
      </c>
      <c r="B102" s="124">
        <v>1360</v>
      </c>
      <c r="C102" s="124">
        <v>1418</v>
      </c>
      <c r="D102" s="124">
        <v>1427</v>
      </c>
      <c r="E102" s="124">
        <v>1445</v>
      </c>
      <c r="F102" s="125">
        <v>1462</v>
      </c>
      <c r="G102" s="124">
        <v>1463</v>
      </c>
      <c r="H102" s="124">
        <v>1463</v>
      </c>
      <c r="I102" s="124">
        <v>1463</v>
      </c>
      <c r="J102" s="124">
        <v>1467</v>
      </c>
      <c r="K102" s="124"/>
      <c r="L102" s="124">
        <v>1462</v>
      </c>
      <c r="M102" s="124">
        <v>1462</v>
      </c>
    </row>
    <row r="103" spans="1:14" s="122" customFormat="1" ht="34.5" customHeight="1" x14ac:dyDescent="0.25">
      <c r="A103" s="123">
        <v>30</v>
      </c>
      <c r="B103" s="124"/>
      <c r="C103" s="135" t="s">
        <v>17</v>
      </c>
      <c r="D103" s="124">
        <v>1427</v>
      </c>
      <c r="E103" s="124"/>
      <c r="F103" s="125">
        <v>1460</v>
      </c>
      <c r="G103" s="124"/>
      <c r="H103" s="124"/>
      <c r="I103" s="124">
        <v>1463</v>
      </c>
      <c r="J103" s="124">
        <v>1467</v>
      </c>
      <c r="K103" s="124">
        <v>1462</v>
      </c>
      <c r="L103" s="124"/>
      <c r="M103" s="124">
        <v>1462</v>
      </c>
    </row>
    <row r="104" spans="1:14" s="122" customFormat="1" ht="34.5" customHeight="1" thickBot="1" x14ac:dyDescent="0.3">
      <c r="A104" s="127">
        <v>31</v>
      </c>
      <c r="B104" s="129">
        <v>1360</v>
      </c>
      <c r="C104" s="133" t="s">
        <v>17</v>
      </c>
      <c r="D104" s="129">
        <v>1427</v>
      </c>
      <c r="E104" s="133" t="s">
        <v>17</v>
      </c>
      <c r="F104" s="130">
        <v>1460</v>
      </c>
      <c r="G104" s="133" t="s">
        <v>17</v>
      </c>
      <c r="H104" s="129">
        <v>1463</v>
      </c>
      <c r="I104" s="129">
        <v>1463</v>
      </c>
      <c r="J104" s="133" t="s">
        <v>17</v>
      </c>
      <c r="K104" s="129">
        <v>1462</v>
      </c>
      <c r="L104" s="129"/>
      <c r="M104" s="129"/>
    </row>
    <row r="105" spans="1:14" s="122" customFormat="1" ht="34.5" customHeight="1" thickBot="1" x14ac:dyDescent="0.3">
      <c r="A105" s="161" t="s">
        <v>15</v>
      </c>
      <c r="B105" s="162">
        <f>AVERAGE(B74:B104)</f>
        <v>1475.52</v>
      </c>
      <c r="C105" s="162">
        <f>AVERAGE(C74:C104)</f>
        <v>1409.0555555555557</v>
      </c>
      <c r="D105" s="162">
        <f t="shared" ref="D105:M105" si="2">AVERAGE(D74:D104)</f>
        <v>1422</v>
      </c>
      <c r="E105" s="162">
        <f t="shared" si="2"/>
        <v>1441.7391304347825</v>
      </c>
      <c r="F105" s="162">
        <f t="shared" si="2"/>
        <v>1462.44</v>
      </c>
      <c r="G105" s="162">
        <f t="shared" si="2"/>
        <v>1459.64</v>
      </c>
      <c r="H105" s="162">
        <f t="shared" si="2"/>
        <v>1463.0416666666667</v>
      </c>
      <c r="I105" s="162">
        <f t="shared" si="2"/>
        <v>1463</v>
      </c>
      <c r="J105" s="162">
        <f t="shared" si="2"/>
        <v>1463.4230769230769</v>
      </c>
      <c r="K105" s="162">
        <f t="shared" si="2"/>
        <v>1463.0384615384614</v>
      </c>
      <c r="L105" s="162">
        <f t="shared" si="2"/>
        <v>1462.7272727272727</v>
      </c>
      <c r="M105" s="162">
        <f t="shared" si="2"/>
        <v>1462</v>
      </c>
    </row>
    <row r="106" spans="1:14" s="66" customFormat="1" ht="34.5" customHeight="1" x14ac:dyDescent="0.25">
      <c r="A106" s="206" t="s">
        <v>19</v>
      </c>
      <c r="B106" s="206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</row>
    <row r="107" spans="1:14" s="66" customFormat="1" ht="34.5" customHeight="1" thickBot="1" x14ac:dyDescent="0.3">
      <c r="A107" s="207" t="s">
        <v>1</v>
      </c>
      <c r="B107" s="207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</row>
    <row r="108" spans="1:14" ht="34.5" customHeight="1" thickBot="1" x14ac:dyDescent="0.3">
      <c r="A108" s="119" t="s">
        <v>2</v>
      </c>
      <c r="B108" s="120" t="s">
        <v>3</v>
      </c>
      <c r="C108" s="120" t="s">
        <v>4</v>
      </c>
      <c r="D108" s="120" t="s">
        <v>5</v>
      </c>
      <c r="E108" s="120" t="s">
        <v>6</v>
      </c>
      <c r="F108" s="120" t="s">
        <v>7</v>
      </c>
      <c r="G108" s="120" t="s">
        <v>8</v>
      </c>
      <c r="H108" s="120" t="s">
        <v>9</v>
      </c>
      <c r="I108" s="120" t="s">
        <v>10</v>
      </c>
      <c r="J108" s="120" t="s">
        <v>11</v>
      </c>
      <c r="K108" s="120" t="s">
        <v>12</v>
      </c>
      <c r="L108" s="120" t="s">
        <v>13</v>
      </c>
      <c r="M108" s="120" t="s">
        <v>14</v>
      </c>
      <c r="N108" s="78"/>
    </row>
    <row r="109" spans="1:14" s="122" customFormat="1" ht="34.5" customHeight="1" x14ac:dyDescent="0.25">
      <c r="A109" s="123">
        <v>1</v>
      </c>
      <c r="B109" s="70"/>
      <c r="C109" s="70"/>
      <c r="D109" s="70">
        <v>1463</v>
      </c>
      <c r="E109" s="70"/>
      <c r="F109" s="69"/>
      <c r="G109" s="70">
        <v>1468</v>
      </c>
      <c r="H109" s="70"/>
      <c r="I109" s="70">
        <v>1479</v>
      </c>
      <c r="J109" s="70">
        <v>1481</v>
      </c>
      <c r="K109" s="70"/>
      <c r="L109" s="70">
        <v>1474</v>
      </c>
      <c r="M109" s="70">
        <v>1476</v>
      </c>
    </row>
    <row r="110" spans="1:14" s="122" customFormat="1" ht="34.5" customHeight="1" x14ac:dyDescent="0.25">
      <c r="A110" s="123">
        <v>2</v>
      </c>
      <c r="B110" s="124"/>
      <c r="C110" s="124">
        <v>1450</v>
      </c>
      <c r="D110" s="124">
        <v>1463</v>
      </c>
      <c r="E110" s="124"/>
      <c r="F110" s="125">
        <v>1471</v>
      </c>
      <c r="G110" s="124">
        <v>1469</v>
      </c>
      <c r="H110" s="124"/>
      <c r="I110" s="124">
        <v>1479</v>
      </c>
      <c r="J110" s="124"/>
      <c r="K110" s="124">
        <v>1480</v>
      </c>
      <c r="L110" s="124">
        <v>1475</v>
      </c>
      <c r="M110" s="124"/>
    </row>
    <row r="111" spans="1:14" s="122" customFormat="1" ht="34.5" customHeight="1" x14ac:dyDescent="0.25">
      <c r="A111" s="123">
        <v>3</v>
      </c>
      <c r="B111" s="124">
        <v>1464</v>
      </c>
      <c r="C111" s="124">
        <v>1450</v>
      </c>
      <c r="D111" s="124">
        <v>1463</v>
      </c>
      <c r="E111" s="124">
        <v>1480</v>
      </c>
      <c r="F111" s="125">
        <v>1473</v>
      </c>
      <c r="G111" s="124"/>
      <c r="H111" s="124"/>
      <c r="I111" s="124">
        <v>1479</v>
      </c>
      <c r="J111" s="124"/>
      <c r="K111" s="124">
        <v>1479</v>
      </c>
      <c r="L111" s="124"/>
      <c r="M111" s="124"/>
    </row>
    <row r="112" spans="1:14" s="122" customFormat="1" ht="34.5" customHeight="1" x14ac:dyDescent="0.25">
      <c r="A112" s="123">
        <v>4</v>
      </c>
      <c r="B112" s="124">
        <v>1462</v>
      </c>
      <c r="C112" s="124"/>
      <c r="D112" s="124"/>
      <c r="E112" s="124">
        <v>1480</v>
      </c>
      <c r="F112" s="125">
        <v>1473</v>
      </c>
      <c r="G112" s="124"/>
      <c r="H112" s="124">
        <v>1467</v>
      </c>
      <c r="I112" s="124">
        <v>1479</v>
      </c>
      <c r="J112" s="124">
        <v>1485</v>
      </c>
      <c r="K112" s="124">
        <v>1479</v>
      </c>
      <c r="L112" s="124"/>
      <c r="M112" s="124">
        <v>1478</v>
      </c>
    </row>
    <row r="113" spans="1:13" s="122" customFormat="1" ht="34.5" customHeight="1" x14ac:dyDescent="0.25">
      <c r="A113" s="123">
        <v>5</v>
      </c>
      <c r="B113" s="124">
        <v>1462</v>
      </c>
      <c r="C113" s="124">
        <v>1455</v>
      </c>
      <c r="D113" s="124"/>
      <c r="E113" s="124">
        <v>1485</v>
      </c>
      <c r="F113" s="125">
        <v>1473</v>
      </c>
      <c r="G113" s="124">
        <v>1475</v>
      </c>
      <c r="H113" s="124">
        <v>1471</v>
      </c>
      <c r="I113" s="124"/>
      <c r="J113" s="124">
        <v>1483</v>
      </c>
      <c r="K113" s="124">
        <v>1479</v>
      </c>
      <c r="L113" s="124"/>
      <c r="M113" s="124">
        <v>1477</v>
      </c>
    </row>
    <row r="114" spans="1:13" s="122" customFormat="1" ht="34.5" customHeight="1" x14ac:dyDescent="0.25">
      <c r="A114" s="123">
        <v>6</v>
      </c>
      <c r="B114" s="124"/>
      <c r="C114" s="124">
        <v>1461</v>
      </c>
      <c r="D114" s="124">
        <v>1463</v>
      </c>
      <c r="E114" s="124">
        <v>1492</v>
      </c>
      <c r="F114" s="125"/>
      <c r="G114" s="124">
        <v>1470</v>
      </c>
      <c r="H114" s="124">
        <v>1471</v>
      </c>
      <c r="I114" s="124"/>
      <c r="J114" s="124">
        <v>1482</v>
      </c>
      <c r="K114" s="124">
        <v>1479</v>
      </c>
      <c r="L114" s="124"/>
      <c r="M114" s="124">
        <v>1477</v>
      </c>
    </row>
    <row r="115" spans="1:13" s="122" customFormat="1" ht="34.5" customHeight="1" x14ac:dyDescent="0.25">
      <c r="A115" s="123">
        <v>7</v>
      </c>
      <c r="B115" s="124"/>
      <c r="C115" s="124">
        <v>1462</v>
      </c>
      <c r="D115" s="124">
        <v>1463</v>
      </c>
      <c r="E115" s="124">
        <v>1492</v>
      </c>
      <c r="F115" s="125"/>
      <c r="G115" s="124">
        <v>1467</v>
      </c>
      <c r="H115" s="124">
        <v>1469</v>
      </c>
      <c r="I115" s="124">
        <v>1480</v>
      </c>
      <c r="J115" s="124">
        <v>1481</v>
      </c>
      <c r="K115" s="124"/>
      <c r="L115" s="124">
        <v>1475</v>
      </c>
      <c r="M115" s="124">
        <v>1476</v>
      </c>
    </row>
    <row r="116" spans="1:13" s="122" customFormat="1" ht="34.5" customHeight="1" x14ac:dyDescent="0.25">
      <c r="A116" s="123">
        <v>8</v>
      </c>
      <c r="B116" s="124">
        <v>1462</v>
      </c>
      <c r="C116" s="124">
        <v>1462</v>
      </c>
      <c r="D116" s="124">
        <v>1463</v>
      </c>
      <c r="E116" s="124"/>
      <c r="F116" s="125">
        <v>1473</v>
      </c>
      <c r="G116" s="124">
        <v>1467</v>
      </c>
      <c r="H116" s="124"/>
      <c r="I116" s="124">
        <v>1479</v>
      </c>
      <c r="J116" s="124">
        <v>1481</v>
      </c>
      <c r="K116" s="124"/>
      <c r="L116" s="124">
        <v>1475</v>
      </c>
      <c r="M116" s="124">
        <v>1477</v>
      </c>
    </row>
    <row r="117" spans="1:13" s="122" customFormat="1" ht="34.5" customHeight="1" x14ac:dyDescent="0.25">
      <c r="A117" s="123">
        <v>9</v>
      </c>
      <c r="B117" s="124">
        <v>1462</v>
      </c>
      <c r="C117" s="124">
        <v>1462</v>
      </c>
      <c r="D117" s="124">
        <v>1463</v>
      </c>
      <c r="E117" s="124"/>
      <c r="F117" s="125">
        <v>1470</v>
      </c>
      <c r="G117" s="124">
        <v>1467</v>
      </c>
      <c r="H117" s="124"/>
      <c r="I117" s="124">
        <v>1477</v>
      </c>
      <c r="J117" s="124"/>
      <c r="K117" s="124">
        <v>1476</v>
      </c>
      <c r="L117" s="124">
        <v>1476</v>
      </c>
      <c r="M117" s="124"/>
    </row>
    <row r="118" spans="1:13" s="122" customFormat="1" ht="34.5" customHeight="1" x14ac:dyDescent="0.25">
      <c r="A118" s="123">
        <v>10</v>
      </c>
      <c r="B118" s="124">
        <v>1462</v>
      </c>
      <c r="C118" s="124"/>
      <c r="D118" s="124">
        <v>1468</v>
      </c>
      <c r="E118" s="124">
        <v>1485</v>
      </c>
      <c r="F118" s="125">
        <v>1467</v>
      </c>
      <c r="G118" s="124"/>
      <c r="H118" s="124">
        <v>1476</v>
      </c>
      <c r="I118" s="124">
        <v>1477</v>
      </c>
      <c r="J118" s="124"/>
      <c r="K118" s="124">
        <v>1474</v>
      </c>
      <c r="L118" s="124">
        <v>1478</v>
      </c>
      <c r="M118" s="124"/>
    </row>
    <row r="119" spans="1:13" s="122" customFormat="1" ht="34.5" customHeight="1" x14ac:dyDescent="0.25">
      <c r="A119" s="123">
        <v>11</v>
      </c>
      <c r="B119" s="124">
        <v>1462</v>
      </c>
      <c r="C119" s="124"/>
      <c r="D119" s="124"/>
      <c r="E119" s="124">
        <v>1476</v>
      </c>
      <c r="F119" s="125">
        <v>1467</v>
      </c>
      <c r="G119" s="124"/>
      <c r="H119" s="124">
        <v>1478</v>
      </c>
      <c r="I119" s="124">
        <v>1477</v>
      </c>
      <c r="J119" s="124">
        <v>1485</v>
      </c>
      <c r="K119" s="124">
        <v>1474</v>
      </c>
      <c r="L119" s="124"/>
      <c r="M119" s="124">
        <v>1479</v>
      </c>
    </row>
    <row r="120" spans="1:13" s="122" customFormat="1" ht="34.5" customHeight="1" x14ac:dyDescent="0.25">
      <c r="A120" s="123">
        <v>12</v>
      </c>
      <c r="B120" s="124">
        <v>1462</v>
      </c>
      <c r="C120" s="124">
        <v>1462</v>
      </c>
      <c r="D120" s="124"/>
      <c r="E120" s="124">
        <v>1471</v>
      </c>
      <c r="F120" s="125">
        <v>1467</v>
      </c>
      <c r="G120" s="124">
        <v>1469</v>
      </c>
      <c r="H120" s="124">
        <v>1479</v>
      </c>
      <c r="I120" s="124"/>
      <c r="J120" s="124">
        <v>1483</v>
      </c>
      <c r="K120" s="124">
        <v>1474</v>
      </c>
      <c r="L120" s="124"/>
      <c r="M120" s="124"/>
    </row>
    <row r="121" spans="1:13" s="122" customFormat="1" ht="34.5" customHeight="1" x14ac:dyDescent="0.25">
      <c r="A121" s="123">
        <v>13</v>
      </c>
      <c r="B121" s="124">
        <v>1461</v>
      </c>
      <c r="C121" s="124">
        <v>1462</v>
      </c>
      <c r="D121" s="124">
        <v>1468</v>
      </c>
      <c r="E121" s="124">
        <v>1466</v>
      </c>
      <c r="F121" s="125"/>
      <c r="G121" s="124">
        <v>1467</v>
      </c>
      <c r="H121" s="124">
        <v>1477</v>
      </c>
      <c r="I121" s="124"/>
      <c r="J121" s="124">
        <v>1480</v>
      </c>
      <c r="K121" s="124"/>
      <c r="L121" s="124">
        <v>1480</v>
      </c>
      <c r="M121" s="124"/>
    </row>
    <row r="122" spans="1:13" s="122" customFormat="1" ht="34.5" customHeight="1" x14ac:dyDescent="0.25">
      <c r="A122" s="123">
        <v>14</v>
      </c>
      <c r="B122" s="124"/>
      <c r="C122" s="124">
        <v>1462</v>
      </c>
      <c r="D122" s="124">
        <v>1468</v>
      </c>
      <c r="E122" s="124">
        <v>1470</v>
      </c>
      <c r="F122" s="125"/>
      <c r="G122" s="124">
        <v>1467</v>
      </c>
      <c r="H122" s="124"/>
      <c r="I122" s="124">
        <v>1480</v>
      </c>
      <c r="J122" s="124">
        <v>1479</v>
      </c>
      <c r="K122" s="124"/>
      <c r="L122" s="124">
        <v>1479</v>
      </c>
      <c r="M122" s="124"/>
    </row>
    <row r="123" spans="1:13" s="122" customFormat="1" ht="34.5" customHeight="1" x14ac:dyDescent="0.25">
      <c r="A123" s="123">
        <v>15</v>
      </c>
      <c r="B123" s="124">
        <v>1461</v>
      </c>
      <c r="C123" s="124">
        <v>1462</v>
      </c>
      <c r="D123" s="124">
        <v>1470</v>
      </c>
      <c r="E123" s="124"/>
      <c r="F123" s="125">
        <v>1470</v>
      </c>
      <c r="G123" s="124">
        <v>1467</v>
      </c>
      <c r="H123" s="124"/>
      <c r="I123" s="124">
        <v>1479</v>
      </c>
      <c r="J123" s="124">
        <v>1480</v>
      </c>
      <c r="K123" s="124"/>
      <c r="L123" s="124">
        <v>1479</v>
      </c>
      <c r="M123" s="124"/>
    </row>
    <row r="124" spans="1:13" s="122" customFormat="1" ht="34.5" customHeight="1" x14ac:dyDescent="0.25">
      <c r="A124" s="123">
        <v>16</v>
      </c>
      <c r="B124" s="124">
        <v>1461</v>
      </c>
      <c r="C124" s="124">
        <v>1462</v>
      </c>
      <c r="D124" s="124">
        <v>1473</v>
      </c>
      <c r="E124" s="124"/>
      <c r="F124" s="125">
        <v>1473</v>
      </c>
      <c r="G124" s="124">
        <v>1467</v>
      </c>
      <c r="H124" s="124"/>
      <c r="I124" s="124">
        <v>1479</v>
      </c>
      <c r="J124" s="124"/>
      <c r="K124" s="124"/>
      <c r="L124" s="124">
        <v>1479</v>
      </c>
      <c r="M124" s="124"/>
    </row>
    <row r="125" spans="1:13" s="122" customFormat="1" ht="34.5" customHeight="1" x14ac:dyDescent="0.25">
      <c r="A125" s="123">
        <v>17</v>
      </c>
      <c r="B125" s="124">
        <v>1461</v>
      </c>
      <c r="C125" s="124">
        <v>1462</v>
      </c>
      <c r="D125" s="124">
        <v>1473</v>
      </c>
      <c r="E125" s="124">
        <v>1471</v>
      </c>
      <c r="F125" s="125">
        <v>1480</v>
      </c>
      <c r="G125" s="124"/>
      <c r="H125" s="124">
        <v>1479</v>
      </c>
      <c r="I125" s="124">
        <v>1479</v>
      </c>
      <c r="J125" s="124"/>
      <c r="K125" s="124">
        <v>1475</v>
      </c>
      <c r="L125" s="124">
        <v>1479</v>
      </c>
      <c r="M125" s="124"/>
    </row>
    <row r="126" spans="1:13" s="122" customFormat="1" ht="34.5" customHeight="1" x14ac:dyDescent="0.25">
      <c r="A126" s="123">
        <v>18</v>
      </c>
      <c r="B126" s="124">
        <v>1461</v>
      </c>
      <c r="C126" s="124"/>
      <c r="D126" s="124"/>
      <c r="E126" s="124">
        <v>1470</v>
      </c>
      <c r="F126" s="125">
        <v>1480</v>
      </c>
      <c r="G126" s="124"/>
      <c r="H126" s="124">
        <v>1475</v>
      </c>
      <c r="I126" s="124">
        <v>1479</v>
      </c>
      <c r="J126" s="124">
        <v>1480</v>
      </c>
      <c r="K126" s="124">
        <v>1474</v>
      </c>
      <c r="L126" s="124"/>
      <c r="M126" s="124">
        <v>1479</v>
      </c>
    </row>
    <row r="127" spans="1:13" s="122" customFormat="1" ht="34.5" customHeight="1" x14ac:dyDescent="0.25">
      <c r="A127" s="123">
        <v>19</v>
      </c>
      <c r="B127" s="124">
        <v>1462</v>
      </c>
      <c r="C127" s="124"/>
      <c r="D127" s="124"/>
      <c r="E127" s="124">
        <v>1469</v>
      </c>
      <c r="F127" s="125">
        <v>1478</v>
      </c>
      <c r="G127" s="124">
        <v>1468</v>
      </c>
      <c r="H127" s="124">
        <v>1473</v>
      </c>
      <c r="I127" s="124"/>
      <c r="J127" s="124">
        <v>1479</v>
      </c>
      <c r="K127" s="124">
        <v>1474</v>
      </c>
      <c r="L127" s="124"/>
      <c r="M127" s="124">
        <v>1479</v>
      </c>
    </row>
    <row r="128" spans="1:13" s="122" customFormat="1" ht="34.5" customHeight="1" x14ac:dyDescent="0.25">
      <c r="A128" s="123">
        <v>20</v>
      </c>
      <c r="B128" s="124"/>
      <c r="C128" s="124">
        <v>1462</v>
      </c>
      <c r="D128" s="124">
        <v>1475</v>
      </c>
      <c r="E128" s="124">
        <v>1467</v>
      </c>
      <c r="F128" s="125"/>
      <c r="G128" s="124">
        <v>1467</v>
      </c>
      <c r="H128" s="124">
        <v>1469</v>
      </c>
      <c r="I128" s="124"/>
      <c r="J128" s="124">
        <v>1479</v>
      </c>
      <c r="K128" s="124">
        <v>1474</v>
      </c>
      <c r="L128" s="124">
        <v>1479</v>
      </c>
      <c r="M128" s="124">
        <v>1479</v>
      </c>
    </row>
    <row r="129" spans="1:14" s="122" customFormat="1" ht="34.5" customHeight="1" x14ac:dyDescent="0.25">
      <c r="A129" s="123">
        <v>21</v>
      </c>
      <c r="B129" s="124"/>
      <c r="C129" s="124">
        <v>1462</v>
      </c>
      <c r="D129" s="124">
        <v>1475</v>
      </c>
      <c r="E129" s="124"/>
      <c r="F129" s="125"/>
      <c r="G129" s="124">
        <v>1467</v>
      </c>
      <c r="H129" s="124">
        <v>1471</v>
      </c>
      <c r="I129" s="124">
        <v>1481</v>
      </c>
      <c r="J129" s="124">
        <v>1479</v>
      </c>
      <c r="K129" s="124"/>
      <c r="L129" s="124">
        <v>1478</v>
      </c>
      <c r="M129" s="124">
        <v>1479</v>
      </c>
    </row>
    <row r="130" spans="1:14" s="122" customFormat="1" ht="34.5" customHeight="1" x14ac:dyDescent="0.25">
      <c r="A130" s="123">
        <v>22</v>
      </c>
      <c r="B130" s="124"/>
      <c r="C130" s="124">
        <v>1462</v>
      </c>
      <c r="D130" s="124">
        <v>1469</v>
      </c>
      <c r="E130" s="124"/>
      <c r="F130" s="125">
        <v>1477</v>
      </c>
      <c r="G130" s="124">
        <v>1467</v>
      </c>
      <c r="H130" s="124"/>
      <c r="I130" s="124">
        <v>1480</v>
      </c>
      <c r="J130" s="124">
        <v>1479</v>
      </c>
      <c r="K130" s="124"/>
      <c r="L130" s="124">
        <v>1477</v>
      </c>
      <c r="M130" s="124">
        <v>1479</v>
      </c>
    </row>
    <row r="131" spans="1:14" s="122" customFormat="1" ht="34.5" customHeight="1" x14ac:dyDescent="0.25">
      <c r="A131" s="123">
        <v>23</v>
      </c>
      <c r="B131" s="124"/>
      <c r="C131" s="124">
        <v>1462</v>
      </c>
      <c r="D131" s="124">
        <v>1463</v>
      </c>
      <c r="E131" s="124"/>
      <c r="F131" s="125">
        <v>1476</v>
      </c>
      <c r="G131" s="124">
        <v>1467</v>
      </c>
      <c r="H131" s="124"/>
      <c r="I131" s="124">
        <v>1480</v>
      </c>
      <c r="J131" s="124"/>
      <c r="K131" s="124">
        <v>1477</v>
      </c>
      <c r="L131" s="124">
        <v>1477</v>
      </c>
      <c r="M131" s="124"/>
    </row>
    <row r="132" spans="1:14" s="122" customFormat="1" ht="34.5" customHeight="1" x14ac:dyDescent="0.25">
      <c r="A132" s="123">
        <v>24</v>
      </c>
      <c r="B132" s="124">
        <v>1463</v>
      </c>
      <c r="C132" s="124">
        <v>1462</v>
      </c>
      <c r="D132" s="124">
        <v>1467</v>
      </c>
      <c r="E132" s="124">
        <v>1473</v>
      </c>
      <c r="F132" s="125">
        <v>1477</v>
      </c>
      <c r="G132" s="124"/>
      <c r="H132" s="124">
        <v>1474</v>
      </c>
      <c r="I132" s="124">
        <v>1482</v>
      </c>
      <c r="J132" s="124"/>
      <c r="K132" s="124">
        <v>1474</v>
      </c>
      <c r="L132" s="124">
        <v>1479</v>
      </c>
      <c r="M132" s="124"/>
    </row>
    <row r="133" spans="1:14" s="122" customFormat="1" ht="34.5" customHeight="1" x14ac:dyDescent="0.25">
      <c r="A133" s="123">
        <v>25</v>
      </c>
      <c r="B133" s="124">
        <v>1408</v>
      </c>
      <c r="C133" s="124"/>
      <c r="D133" s="124"/>
      <c r="E133" s="124">
        <v>1466</v>
      </c>
      <c r="F133" s="125">
        <v>1479</v>
      </c>
      <c r="G133" s="124"/>
      <c r="H133" s="124">
        <v>1474</v>
      </c>
      <c r="I133" s="124">
        <v>1483</v>
      </c>
      <c r="J133" s="124">
        <v>1481</v>
      </c>
      <c r="K133" s="124">
        <v>1474</v>
      </c>
      <c r="L133" s="124"/>
      <c r="M133" s="124">
        <v>1479</v>
      </c>
    </row>
    <row r="134" spans="1:14" s="122" customFormat="1" ht="34.5" customHeight="1" x14ac:dyDescent="0.25">
      <c r="A134" s="123">
        <v>26</v>
      </c>
      <c r="B134" s="124"/>
      <c r="C134" s="124"/>
      <c r="D134" s="124"/>
      <c r="E134" s="124">
        <v>1463</v>
      </c>
      <c r="F134" s="125">
        <v>1476</v>
      </c>
      <c r="G134" s="124">
        <v>1467</v>
      </c>
      <c r="H134" s="124">
        <v>1479</v>
      </c>
      <c r="I134" s="124"/>
      <c r="J134" s="124">
        <v>1479</v>
      </c>
      <c r="K134" s="124">
        <v>1474</v>
      </c>
      <c r="L134" s="124"/>
      <c r="M134" s="124">
        <v>1479</v>
      </c>
    </row>
    <row r="135" spans="1:14" s="122" customFormat="1" ht="34.5" customHeight="1" x14ac:dyDescent="0.25">
      <c r="A135" s="123">
        <v>27</v>
      </c>
      <c r="B135" s="124">
        <v>1440</v>
      </c>
      <c r="C135" s="124">
        <v>1463</v>
      </c>
      <c r="D135" s="124">
        <v>1475</v>
      </c>
      <c r="E135" s="124">
        <v>1463</v>
      </c>
      <c r="F135" s="125"/>
      <c r="G135" s="124"/>
      <c r="H135" s="124">
        <v>1478</v>
      </c>
      <c r="I135" s="124"/>
      <c r="J135" s="124">
        <v>1479</v>
      </c>
      <c r="K135" s="124">
        <v>1474</v>
      </c>
      <c r="L135" s="124">
        <v>1480</v>
      </c>
      <c r="M135" s="124">
        <v>1479</v>
      </c>
    </row>
    <row r="136" spans="1:14" s="122" customFormat="1" ht="34.5" customHeight="1" x14ac:dyDescent="0.25">
      <c r="A136" s="123">
        <v>28</v>
      </c>
      <c r="B136" s="124"/>
      <c r="C136" s="124">
        <v>1463</v>
      </c>
      <c r="D136" s="124">
        <v>1475</v>
      </c>
      <c r="E136" s="124">
        <v>1463</v>
      </c>
      <c r="F136" s="125"/>
      <c r="G136" s="124">
        <v>1470</v>
      </c>
      <c r="H136" s="124">
        <v>1478</v>
      </c>
      <c r="I136" s="124">
        <v>1484</v>
      </c>
      <c r="J136" s="124">
        <v>1479</v>
      </c>
      <c r="K136" s="124"/>
      <c r="L136" s="124">
        <v>1478</v>
      </c>
      <c r="M136" s="124">
        <v>1479</v>
      </c>
    </row>
    <row r="137" spans="1:14" s="122" customFormat="1" ht="34.5" customHeight="1" x14ac:dyDescent="0.25">
      <c r="A137" s="123">
        <v>29</v>
      </c>
      <c r="B137" s="124"/>
      <c r="C137" s="124"/>
      <c r="D137" s="124">
        <v>1475</v>
      </c>
      <c r="E137" s="124"/>
      <c r="F137" s="125">
        <v>1473</v>
      </c>
      <c r="G137" s="124">
        <v>1470</v>
      </c>
      <c r="H137" s="124"/>
      <c r="I137" s="124">
        <v>1483</v>
      </c>
      <c r="J137" s="124">
        <v>1479</v>
      </c>
      <c r="K137" s="124"/>
      <c r="L137" s="124">
        <v>1476</v>
      </c>
      <c r="M137" s="124">
        <v>1479</v>
      </c>
    </row>
    <row r="138" spans="1:14" s="122" customFormat="1" ht="34.5" customHeight="1" x14ac:dyDescent="0.25">
      <c r="A138" s="123">
        <v>30</v>
      </c>
      <c r="B138" s="124"/>
      <c r="C138" s="124"/>
      <c r="D138" s="124">
        <v>1474</v>
      </c>
      <c r="E138" s="124"/>
      <c r="F138" s="125">
        <v>1473</v>
      </c>
      <c r="G138" s="124">
        <v>1472</v>
      </c>
      <c r="H138" s="124"/>
      <c r="I138" s="124">
        <v>1480</v>
      </c>
      <c r="J138" s="124"/>
      <c r="K138" s="124">
        <v>1475</v>
      </c>
      <c r="L138" s="124">
        <v>1475</v>
      </c>
      <c r="M138" s="124"/>
    </row>
    <row r="139" spans="1:14" s="122" customFormat="1" ht="34.5" customHeight="1" thickBot="1" x14ac:dyDescent="0.3">
      <c r="A139" s="123">
        <v>31</v>
      </c>
      <c r="B139" s="136"/>
      <c r="C139" s="136"/>
      <c r="D139" s="136"/>
      <c r="E139" s="136"/>
      <c r="F139" s="137">
        <v>1468</v>
      </c>
      <c r="G139" s="136"/>
      <c r="H139" s="136">
        <v>1479</v>
      </c>
      <c r="I139" s="136">
        <v>1480</v>
      </c>
      <c r="J139" s="136"/>
      <c r="K139" s="136">
        <v>1474</v>
      </c>
      <c r="L139" s="136"/>
      <c r="M139" s="136"/>
    </row>
    <row r="140" spans="1:14" s="122" customFormat="1" ht="34.5" customHeight="1" thickBot="1" x14ac:dyDescent="0.3">
      <c r="A140" s="161" t="s">
        <v>15</v>
      </c>
      <c r="B140" s="162">
        <f>AVERAGE(B109:B139)</f>
        <v>1457.4117647058824</v>
      </c>
      <c r="C140" s="162">
        <f t="shared" ref="C140:M140" si="3">AVERAGE(C109:C139)</f>
        <v>1460.5</v>
      </c>
      <c r="D140" s="162">
        <f t="shared" si="3"/>
        <v>1468.590909090909</v>
      </c>
      <c r="E140" s="162">
        <f t="shared" si="3"/>
        <v>1473.7894736842106</v>
      </c>
      <c r="F140" s="162">
        <f t="shared" si="3"/>
        <v>1473.3636363636363</v>
      </c>
      <c r="G140" s="162">
        <f t="shared" si="3"/>
        <v>1468.3333333333333</v>
      </c>
      <c r="H140" s="162">
        <f t="shared" si="3"/>
        <v>1474.578947368421</v>
      </c>
      <c r="I140" s="162">
        <f t="shared" si="3"/>
        <v>1479.7826086956522</v>
      </c>
      <c r="J140" s="162">
        <f t="shared" si="3"/>
        <v>1480.6190476190477</v>
      </c>
      <c r="K140" s="162">
        <f t="shared" si="3"/>
        <v>1475.65</v>
      </c>
      <c r="L140" s="162">
        <f t="shared" si="3"/>
        <v>1477.4</v>
      </c>
      <c r="M140" s="162">
        <f t="shared" si="3"/>
        <v>1478.2352941176471</v>
      </c>
    </row>
    <row r="141" spans="1:14" s="66" customFormat="1" ht="34.5" customHeight="1" x14ac:dyDescent="0.25">
      <c r="A141" s="206" t="s">
        <v>20</v>
      </c>
      <c r="B141" s="206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</row>
    <row r="142" spans="1:14" s="66" customFormat="1" ht="34.5" customHeight="1" thickBot="1" x14ac:dyDescent="0.3">
      <c r="A142" s="207" t="s">
        <v>1</v>
      </c>
      <c r="B142" s="207"/>
      <c r="C142" s="207"/>
      <c r="D142" s="207"/>
      <c r="E142" s="207"/>
      <c r="F142" s="207"/>
      <c r="G142" s="207"/>
      <c r="H142" s="207"/>
      <c r="I142" s="207"/>
      <c r="J142" s="207"/>
      <c r="K142" s="207"/>
      <c r="L142" s="207"/>
      <c r="M142" s="207"/>
    </row>
    <row r="143" spans="1:14" ht="34.5" customHeight="1" thickBot="1" x14ac:dyDescent="0.3">
      <c r="A143" s="119" t="s">
        <v>2</v>
      </c>
      <c r="B143" s="120" t="s">
        <v>3</v>
      </c>
      <c r="C143" s="120" t="s">
        <v>4</v>
      </c>
      <c r="D143" s="120" t="s">
        <v>5</v>
      </c>
      <c r="E143" s="120" t="s">
        <v>6</v>
      </c>
      <c r="F143" s="120" t="s">
        <v>7</v>
      </c>
      <c r="G143" s="120" t="s">
        <v>8</v>
      </c>
      <c r="H143" s="120" t="s">
        <v>9</v>
      </c>
      <c r="I143" s="120" t="s">
        <v>10</v>
      </c>
      <c r="J143" s="120" t="s">
        <v>11</v>
      </c>
      <c r="K143" s="120" t="s">
        <v>12</v>
      </c>
      <c r="L143" s="120" t="s">
        <v>21</v>
      </c>
      <c r="M143" s="120" t="s">
        <v>14</v>
      </c>
      <c r="N143" s="78"/>
    </row>
    <row r="144" spans="1:14" s="122" customFormat="1" ht="34.5" customHeight="1" x14ac:dyDescent="0.25">
      <c r="A144" s="121">
        <v>1</v>
      </c>
      <c r="B144" s="70"/>
      <c r="C144" s="70">
        <v>1482</v>
      </c>
      <c r="D144" s="70">
        <v>1479</v>
      </c>
      <c r="E144" s="70"/>
      <c r="F144" s="69"/>
      <c r="G144" s="70">
        <v>1484</v>
      </c>
      <c r="H144" s="70"/>
      <c r="I144" s="70">
        <v>1488</v>
      </c>
      <c r="J144" s="70"/>
      <c r="K144" s="70">
        <v>1486</v>
      </c>
      <c r="L144" s="70">
        <v>1483</v>
      </c>
      <c r="M144" s="70"/>
    </row>
    <row r="145" spans="1:13" s="122" customFormat="1" ht="34.5" customHeight="1" x14ac:dyDescent="0.25">
      <c r="A145" s="123">
        <v>2</v>
      </c>
      <c r="B145" s="124"/>
      <c r="C145" s="124">
        <v>1482</v>
      </c>
      <c r="D145" s="124">
        <v>1479</v>
      </c>
      <c r="E145" s="124">
        <v>1480</v>
      </c>
      <c r="F145" s="125">
        <v>1484</v>
      </c>
      <c r="G145" s="124"/>
      <c r="H145" s="124">
        <v>1486</v>
      </c>
      <c r="I145" s="124">
        <v>1488</v>
      </c>
      <c r="J145" s="124"/>
      <c r="K145" s="124">
        <v>1485</v>
      </c>
      <c r="L145" s="124">
        <v>1485</v>
      </c>
      <c r="M145" s="124"/>
    </row>
    <row r="146" spans="1:13" s="122" customFormat="1" ht="34.5" customHeight="1" x14ac:dyDescent="0.25">
      <c r="A146" s="123">
        <v>3</v>
      </c>
      <c r="B146" s="124">
        <v>1485</v>
      </c>
      <c r="C146" s="124"/>
      <c r="D146" s="124"/>
      <c r="E146" s="124">
        <v>1479</v>
      </c>
      <c r="F146" s="125">
        <v>1486</v>
      </c>
      <c r="G146" s="124"/>
      <c r="H146" s="124">
        <v>1485</v>
      </c>
      <c r="I146" s="124">
        <v>1488</v>
      </c>
      <c r="J146" s="124">
        <v>1491</v>
      </c>
      <c r="K146" s="124">
        <v>1485</v>
      </c>
      <c r="L146" s="124"/>
      <c r="M146" s="124">
        <v>1430</v>
      </c>
    </row>
    <row r="147" spans="1:13" s="122" customFormat="1" ht="34.5" customHeight="1" x14ac:dyDescent="0.25">
      <c r="A147" s="123">
        <v>4</v>
      </c>
      <c r="B147" s="124">
        <v>1485</v>
      </c>
      <c r="C147" s="124"/>
      <c r="D147" s="124"/>
      <c r="E147" s="124">
        <v>1479</v>
      </c>
      <c r="F147" s="125">
        <v>1486</v>
      </c>
      <c r="G147" s="124">
        <v>1485</v>
      </c>
      <c r="H147" s="124">
        <v>1485</v>
      </c>
      <c r="I147" s="124"/>
      <c r="J147" s="124">
        <v>1490</v>
      </c>
      <c r="K147" s="124">
        <v>1486</v>
      </c>
      <c r="L147" s="124"/>
      <c r="M147" s="124">
        <v>1420</v>
      </c>
    </row>
    <row r="148" spans="1:13" s="122" customFormat="1" ht="34.5" customHeight="1" x14ac:dyDescent="0.25">
      <c r="A148" s="123">
        <v>5</v>
      </c>
      <c r="B148" s="124">
        <v>1487</v>
      </c>
      <c r="C148" s="124">
        <v>1480</v>
      </c>
      <c r="D148" s="124">
        <v>1480</v>
      </c>
      <c r="E148" s="124">
        <v>1479</v>
      </c>
      <c r="F148" s="125"/>
      <c r="G148" s="124">
        <v>1485</v>
      </c>
      <c r="H148" s="124">
        <v>1486</v>
      </c>
      <c r="I148" s="124"/>
      <c r="J148" s="124">
        <v>1489</v>
      </c>
      <c r="K148" s="124">
        <v>1486</v>
      </c>
      <c r="L148" s="124"/>
      <c r="M148" s="124">
        <v>1442</v>
      </c>
    </row>
    <row r="149" spans="1:13" s="122" customFormat="1" ht="34.5" customHeight="1" x14ac:dyDescent="0.25">
      <c r="A149" s="123">
        <v>6</v>
      </c>
      <c r="B149" s="124"/>
      <c r="C149" s="124">
        <v>1479</v>
      </c>
      <c r="D149" s="124">
        <v>1480</v>
      </c>
      <c r="E149" s="124">
        <v>1479</v>
      </c>
      <c r="F149" s="125"/>
      <c r="G149" s="124">
        <v>1485</v>
      </c>
      <c r="H149" s="124">
        <v>1486</v>
      </c>
      <c r="I149" s="124">
        <v>1488</v>
      </c>
      <c r="J149" s="124">
        <v>1489</v>
      </c>
      <c r="K149" s="124"/>
      <c r="L149" s="124"/>
      <c r="M149" s="124">
        <v>1441</v>
      </c>
    </row>
    <row r="150" spans="1:13" s="122" customFormat="1" ht="34.5" customHeight="1" x14ac:dyDescent="0.25">
      <c r="A150" s="123">
        <v>7</v>
      </c>
      <c r="B150" s="124"/>
      <c r="C150" s="124">
        <v>1479</v>
      </c>
      <c r="D150" s="124">
        <v>1480</v>
      </c>
      <c r="E150" s="124"/>
      <c r="F150" s="125">
        <v>1487</v>
      </c>
      <c r="G150" s="124">
        <v>1485</v>
      </c>
      <c r="H150" s="124"/>
      <c r="I150" s="124">
        <v>1488</v>
      </c>
      <c r="J150" s="124">
        <v>1489</v>
      </c>
      <c r="K150" s="124"/>
      <c r="L150" s="124">
        <v>1484</v>
      </c>
      <c r="M150" s="124">
        <v>1439</v>
      </c>
    </row>
    <row r="151" spans="1:13" s="122" customFormat="1" ht="34.5" customHeight="1" x14ac:dyDescent="0.25">
      <c r="A151" s="123">
        <v>8</v>
      </c>
      <c r="B151" s="124">
        <v>1488</v>
      </c>
      <c r="C151" s="124">
        <v>1479</v>
      </c>
      <c r="D151" s="124">
        <v>1479</v>
      </c>
      <c r="E151" s="124"/>
      <c r="F151" s="125">
        <v>1486</v>
      </c>
      <c r="G151" s="124">
        <v>1485</v>
      </c>
      <c r="H151" s="124"/>
      <c r="I151" s="124">
        <v>1488</v>
      </c>
      <c r="J151" s="124"/>
      <c r="K151" s="124">
        <v>1487</v>
      </c>
      <c r="L151" s="124">
        <v>1481</v>
      </c>
      <c r="M151" s="124"/>
    </row>
    <row r="152" spans="1:13" s="122" customFormat="1" ht="34.5" customHeight="1" x14ac:dyDescent="0.25">
      <c r="A152" s="123">
        <v>9</v>
      </c>
      <c r="B152" s="124">
        <v>1487</v>
      </c>
      <c r="C152" s="124"/>
      <c r="D152" s="124">
        <v>1480</v>
      </c>
      <c r="E152" s="124"/>
      <c r="F152" s="125">
        <v>1485</v>
      </c>
      <c r="G152" s="124"/>
      <c r="H152" s="124">
        <v>1485</v>
      </c>
      <c r="I152" s="124">
        <v>1488</v>
      </c>
      <c r="J152" s="124"/>
      <c r="K152" s="124">
        <v>1486</v>
      </c>
      <c r="L152" s="124">
        <v>1482</v>
      </c>
      <c r="M152" s="124"/>
    </row>
    <row r="153" spans="1:13" s="122" customFormat="1" ht="34.5" customHeight="1" x14ac:dyDescent="0.25">
      <c r="A153" s="123">
        <v>10</v>
      </c>
      <c r="B153" s="124"/>
      <c r="C153" s="124"/>
      <c r="D153" s="124"/>
      <c r="E153" s="124"/>
      <c r="F153" s="125">
        <v>1485</v>
      </c>
      <c r="G153" s="124"/>
      <c r="H153" s="124">
        <v>1485</v>
      </c>
      <c r="I153" s="124">
        <v>1488</v>
      </c>
      <c r="J153" s="124">
        <v>1488</v>
      </c>
      <c r="K153" s="124">
        <v>1485</v>
      </c>
      <c r="L153" s="124"/>
      <c r="M153" s="124">
        <v>1435</v>
      </c>
    </row>
    <row r="154" spans="1:13" s="122" customFormat="1" ht="34.5" customHeight="1" x14ac:dyDescent="0.25">
      <c r="A154" s="123">
        <v>11</v>
      </c>
      <c r="B154" s="124"/>
      <c r="C154" s="124"/>
      <c r="D154" s="124"/>
      <c r="E154" s="124">
        <v>1483</v>
      </c>
      <c r="F154" s="125">
        <v>1485</v>
      </c>
      <c r="G154" s="124">
        <v>1485</v>
      </c>
      <c r="H154" s="124">
        <v>1485</v>
      </c>
      <c r="I154" s="124"/>
      <c r="J154" s="124">
        <v>1488</v>
      </c>
      <c r="K154" s="124">
        <v>1484</v>
      </c>
      <c r="L154" s="124"/>
      <c r="M154" s="124">
        <v>1433</v>
      </c>
    </row>
    <row r="155" spans="1:13" s="122" customFormat="1" ht="34.5" customHeight="1" x14ac:dyDescent="0.25">
      <c r="A155" s="123">
        <v>12</v>
      </c>
      <c r="B155" s="124"/>
      <c r="C155" s="124">
        <v>1480</v>
      </c>
      <c r="D155" s="124">
        <v>1481</v>
      </c>
      <c r="E155" s="124">
        <v>1482</v>
      </c>
      <c r="F155" s="125"/>
      <c r="G155" s="124">
        <v>1485</v>
      </c>
      <c r="H155" s="124">
        <v>1485</v>
      </c>
      <c r="I155" s="124"/>
      <c r="J155" s="124">
        <v>1488</v>
      </c>
      <c r="K155" s="124">
        <v>1484</v>
      </c>
      <c r="L155" s="124">
        <v>1484</v>
      </c>
      <c r="M155" s="124">
        <v>1430</v>
      </c>
    </row>
    <row r="156" spans="1:13" s="122" customFormat="1" ht="34.5" customHeight="1" x14ac:dyDescent="0.25">
      <c r="A156" s="123">
        <v>13</v>
      </c>
      <c r="B156" s="124"/>
      <c r="C156" s="124">
        <v>1480</v>
      </c>
      <c r="D156" s="124">
        <v>1480</v>
      </c>
      <c r="E156" s="124">
        <v>1481</v>
      </c>
      <c r="F156" s="125"/>
      <c r="G156" s="124">
        <v>1485</v>
      </c>
      <c r="H156" s="124">
        <v>1485</v>
      </c>
      <c r="I156" s="124">
        <v>1488</v>
      </c>
      <c r="J156" s="124">
        <v>1488</v>
      </c>
      <c r="K156" s="124"/>
      <c r="L156" s="124">
        <v>1483</v>
      </c>
      <c r="M156" s="124">
        <v>1427</v>
      </c>
    </row>
    <row r="157" spans="1:13" s="122" customFormat="1" ht="34.5" customHeight="1" x14ac:dyDescent="0.25">
      <c r="A157" s="123">
        <v>14</v>
      </c>
      <c r="B157" s="124"/>
      <c r="C157" s="124">
        <v>1480</v>
      </c>
      <c r="D157" s="124">
        <v>1479</v>
      </c>
      <c r="E157" s="124"/>
      <c r="F157" s="125">
        <v>1486</v>
      </c>
      <c r="G157" s="124">
        <v>1484</v>
      </c>
      <c r="H157" s="124"/>
      <c r="I157" s="124">
        <v>1488</v>
      </c>
      <c r="J157" s="124">
        <v>1489</v>
      </c>
      <c r="K157" s="124"/>
      <c r="L157" s="124">
        <v>1478</v>
      </c>
      <c r="M157" s="124">
        <v>1424</v>
      </c>
    </row>
    <row r="158" spans="1:13" s="122" customFormat="1" ht="34.5" customHeight="1" x14ac:dyDescent="0.25">
      <c r="A158" s="123">
        <v>15</v>
      </c>
      <c r="B158" s="124">
        <v>1485</v>
      </c>
      <c r="C158" s="124">
        <v>1480</v>
      </c>
      <c r="D158" s="124">
        <v>1479</v>
      </c>
      <c r="E158" s="124"/>
      <c r="F158" s="125">
        <v>1486</v>
      </c>
      <c r="G158" s="124">
        <v>1484</v>
      </c>
      <c r="H158" s="124"/>
      <c r="I158" s="124">
        <v>1488</v>
      </c>
      <c r="J158" s="124"/>
      <c r="K158" s="124">
        <v>1484</v>
      </c>
      <c r="L158" s="124">
        <v>1471</v>
      </c>
      <c r="M158" s="124"/>
    </row>
    <row r="159" spans="1:13" s="122" customFormat="1" ht="34.5" customHeight="1" x14ac:dyDescent="0.25">
      <c r="A159" s="123">
        <v>16</v>
      </c>
      <c r="B159" s="124">
        <v>1482</v>
      </c>
      <c r="C159" s="124">
        <v>1480</v>
      </c>
      <c r="D159" s="124"/>
      <c r="E159" s="124">
        <v>1481</v>
      </c>
      <c r="F159" s="125">
        <v>1486</v>
      </c>
      <c r="G159" s="124"/>
      <c r="H159" s="124">
        <v>1486</v>
      </c>
      <c r="I159" s="124">
        <v>1488</v>
      </c>
      <c r="J159" s="124"/>
      <c r="K159" s="124">
        <v>1483</v>
      </c>
      <c r="L159" s="124">
        <v>1468</v>
      </c>
      <c r="M159" s="124"/>
    </row>
    <row r="160" spans="1:13" s="122" customFormat="1" ht="34.5" customHeight="1" x14ac:dyDescent="0.25">
      <c r="A160" s="123">
        <v>17</v>
      </c>
      <c r="B160" s="124">
        <v>1480</v>
      </c>
      <c r="C160" s="124"/>
      <c r="D160" s="124"/>
      <c r="E160" s="124">
        <v>1481</v>
      </c>
      <c r="F160" s="125">
        <v>1485</v>
      </c>
      <c r="G160" s="124"/>
      <c r="H160" s="124">
        <v>1485</v>
      </c>
      <c r="I160" s="124">
        <v>1488</v>
      </c>
      <c r="J160" s="124">
        <v>1489</v>
      </c>
      <c r="K160" s="124">
        <v>1483</v>
      </c>
      <c r="L160" s="124"/>
      <c r="M160" s="124">
        <v>1419</v>
      </c>
    </row>
    <row r="161" spans="1:13" s="122" customFormat="1" ht="34.5" customHeight="1" x14ac:dyDescent="0.25">
      <c r="A161" s="123">
        <v>18</v>
      </c>
      <c r="B161" s="124">
        <v>1480</v>
      </c>
      <c r="C161" s="124"/>
      <c r="D161" s="124"/>
      <c r="E161" s="124">
        <v>1481</v>
      </c>
      <c r="F161" s="125">
        <v>1485</v>
      </c>
      <c r="G161" s="124">
        <v>1484</v>
      </c>
      <c r="H161" s="124">
        <v>1485</v>
      </c>
      <c r="I161" s="124"/>
      <c r="J161" s="124">
        <v>1488</v>
      </c>
      <c r="K161" s="124">
        <v>1483</v>
      </c>
      <c r="L161" s="124"/>
      <c r="M161" s="124">
        <v>1405</v>
      </c>
    </row>
    <row r="162" spans="1:13" s="122" customFormat="1" ht="34.5" customHeight="1" x14ac:dyDescent="0.25">
      <c r="A162" s="123">
        <v>19</v>
      </c>
      <c r="B162" s="124">
        <v>1480</v>
      </c>
      <c r="C162" s="124">
        <v>1481</v>
      </c>
      <c r="D162" s="124">
        <v>1481</v>
      </c>
      <c r="E162" s="124">
        <v>1481</v>
      </c>
      <c r="F162" s="125"/>
      <c r="G162" s="124">
        <v>1484</v>
      </c>
      <c r="H162" s="124">
        <v>1485</v>
      </c>
      <c r="I162" s="124"/>
      <c r="J162" s="124">
        <v>1488</v>
      </c>
      <c r="K162" s="124">
        <v>1485</v>
      </c>
      <c r="L162" s="124">
        <v>1466</v>
      </c>
      <c r="M162" s="124">
        <v>1390</v>
      </c>
    </row>
    <row r="163" spans="1:13" s="122" customFormat="1" ht="34.5" customHeight="1" x14ac:dyDescent="0.25">
      <c r="A163" s="123">
        <v>20</v>
      </c>
      <c r="B163" s="124"/>
      <c r="C163" s="124">
        <v>1480</v>
      </c>
      <c r="D163" s="124">
        <v>1480</v>
      </c>
      <c r="E163" s="124">
        <v>1481</v>
      </c>
      <c r="F163" s="125"/>
      <c r="G163" s="124">
        <v>1485</v>
      </c>
      <c r="H163" s="124">
        <v>1485</v>
      </c>
      <c r="I163" s="124">
        <v>1488</v>
      </c>
      <c r="J163" s="124">
        <v>1488</v>
      </c>
      <c r="K163" s="124"/>
      <c r="L163" s="124">
        <v>1462</v>
      </c>
      <c r="M163" s="124">
        <v>1381</v>
      </c>
    </row>
    <row r="164" spans="1:13" s="122" customFormat="1" ht="34.5" customHeight="1" x14ac:dyDescent="0.25">
      <c r="A164" s="123">
        <v>21</v>
      </c>
      <c r="B164" s="124"/>
      <c r="C164" s="124">
        <v>1479</v>
      </c>
      <c r="D164" s="124"/>
      <c r="E164" s="124"/>
      <c r="F164" s="125">
        <v>1485</v>
      </c>
      <c r="G164" s="124">
        <v>1485</v>
      </c>
      <c r="H164" s="124"/>
      <c r="I164" s="124">
        <v>1488</v>
      </c>
      <c r="J164" s="124">
        <v>1488</v>
      </c>
      <c r="K164" s="124"/>
      <c r="L164" s="124">
        <v>1454</v>
      </c>
      <c r="M164" s="124">
        <v>1355</v>
      </c>
    </row>
    <row r="165" spans="1:13" s="122" customFormat="1" ht="34.5" customHeight="1" x14ac:dyDescent="0.25">
      <c r="A165" s="123">
        <v>22</v>
      </c>
      <c r="B165" s="124">
        <v>1480</v>
      </c>
      <c r="C165" s="124">
        <v>1479</v>
      </c>
      <c r="D165" s="124">
        <v>1479</v>
      </c>
      <c r="E165" s="124"/>
      <c r="F165" s="125">
        <v>1485</v>
      </c>
      <c r="G165" s="124">
        <v>1485</v>
      </c>
      <c r="H165" s="124"/>
      <c r="I165" s="124">
        <v>1488</v>
      </c>
      <c r="J165" s="124"/>
      <c r="K165" s="124">
        <v>1489</v>
      </c>
      <c r="L165" s="124">
        <v>1451</v>
      </c>
      <c r="M165" s="124"/>
    </row>
    <row r="166" spans="1:13" s="122" customFormat="1" ht="34.5" customHeight="1" x14ac:dyDescent="0.25">
      <c r="A166" s="123">
        <v>23</v>
      </c>
      <c r="B166" s="124">
        <v>1480</v>
      </c>
      <c r="C166" s="124"/>
      <c r="D166" s="124">
        <v>1481</v>
      </c>
      <c r="E166" s="124">
        <v>1481</v>
      </c>
      <c r="F166" s="125">
        <v>1485</v>
      </c>
      <c r="G166" s="124"/>
      <c r="H166" s="124">
        <v>1485</v>
      </c>
      <c r="I166" s="124">
        <v>1488</v>
      </c>
      <c r="J166" s="124"/>
      <c r="K166" s="124"/>
      <c r="L166" s="124">
        <v>1453</v>
      </c>
      <c r="M166" s="124"/>
    </row>
    <row r="167" spans="1:13" s="122" customFormat="1" ht="34.5" customHeight="1" x14ac:dyDescent="0.25">
      <c r="A167" s="123">
        <v>24</v>
      </c>
      <c r="B167" s="124">
        <v>1480</v>
      </c>
      <c r="C167" s="124"/>
      <c r="D167" s="124"/>
      <c r="E167" s="124">
        <v>1481</v>
      </c>
      <c r="F167" s="125">
        <v>1485</v>
      </c>
      <c r="G167" s="124"/>
      <c r="H167" s="124">
        <v>1486</v>
      </c>
      <c r="I167" s="124">
        <v>1489</v>
      </c>
      <c r="J167" s="124">
        <v>1489</v>
      </c>
      <c r="K167" s="124"/>
      <c r="L167" s="124"/>
      <c r="M167" s="124">
        <v>1323</v>
      </c>
    </row>
    <row r="168" spans="1:13" s="122" customFormat="1" ht="34.5" customHeight="1" x14ac:dyDescent="0.25">
      <c r="A168" s="123">
        <v>25</v>
      </c>
      <c r="B168" s="124">
        <v>1479</v>
      </c>
      <c r="C168" s="124"/>
      <c r="D168" s="124"/>
      <c r="E168" s="124">
        <v>1480</v>
      </c>
      <c r="F168" s="125">
        <v>1485</v>
      </c>
      <c r="G168" s="124">
        <v>1485</v>
      </c>
      <c r="H168" s="124">
        <v>1487</v>
      </c>
      <c r="I168" s="124"/>
      <c r="J168" s="124">
        <v>1488</v>
      </c>
      <c r="K168" s="124"/>
      <c r="L168" s="124"/>
      <c r="M168" s="124">
        <v>1313</v>
      </c>
    </row>
    <row r="169" spans="1:13" s="122" customFormat="1" ht="34.5" customHeight="1" x14ac:dyDescent="0.25">
      <c r="A169" s="123">
        <v>26</v>
      </c>
      <c r="B169" s="124">
        <v>1479</v>
      </c>
      <c r="C169" s="124"/>
      <c r="D169" s="124">
        <v>1481</v>
      </c>
      <c r="E169" s="124">
        <v>1480</v>
      </c>
      <c r="F169" s="125"/>
      <c r="G169" s="124">
        <v>1484</v>
      </c>
      <c r="H169" s="124">
        <v>1488</v>
      </c>
      <c r="I169" s="124"/>
      <c r="J169" s="124">
        <v>1487</v>
      </c>
      <c r="K169" s="124"/>
      <c r="L169" s="124"/>
      <c r="M169" s="124">
        <v>1323</v>
      </c>
    </row>
    <row r="170" spans="1:13" s="122" customFormat="1" ht="34.5" customHeight="1" x14ac:dyDescent="0.25">
      <c r="A170" s="123">
        <v>27</v>
      </c>
      <c r="B170" s="124"/>
      <c r="C170" s="124">
        <v>1479</v>
      </c>
      <c r="D170" s="124">
        <v>1480</v>
      </c>
      <c r="E170" s="124">
        <v>1480</v>
      </c>
      <c r="F170" s="125"/>
      <c r="G170" s="124">
        <v>1484</v>
      </c>
      <c r="H170" s="124">
        <v>1488</v>
      </c>
      <c r="I170" s="124">
        <v>1490</v>
      </c>
      <c r="J170" s="124">
        <v>1486</v>
      </c>
      <c r="K170" s="124"/>
      <c r="L170" s="124">
        <v>1447</v>
      </c>
      <c r="M170" s="124">
        <v>1339</v>
      </c>
    </row>
    <row r="171" spans="1:13" s="122" customFormat="1" ht="34.5" customHeight="1" x14ac:dyDescent="0.25">
      <c r="A171" s="123">
        <v>28</v>
      </c>
      <c r="B171" s="124"/>
      <c r="C171" s="124">
        <v>1479</v>
      </c>
      <c r="D171" s="124">
        <v>1479</v>
      </c>
      <c r="E171" s="124"/>
      <c r="F171" s="125">
        <v>1485</v>
      </c>
      <c r="G171" s="124">
        <v>1485</v>
      </c>
      <c r="H171" s="124"/>
      <c r="I171" s="124">
        <v>1490</v>
      </c>
      <c r="J171" s="124">
        <v>1487</v>
      </c>
      <c r="K171" s="124"/>
      <c r="L171" s="124">
        <v>1432</v>
      </c>
      <c r="M171" s="124">
        <v>1345</v>
      </c>
    </row>
    <row r="172" spans="1:13" s="122" customFormat="1" ht="34.5" customHeight="1" x14ac:dyDescent="0.25">
      <c r="A172" s="123">
        <v>29</v>
      </c>
      <c r="B172" s="124">
        <v>1480</v>
      </c>
      <c r="C172" s="124" t="s">
        <v>22</v>
      </c>
      <c r="D172" s="124">
        <v>1479</v>
      </c>
      <c r="E172" s="124"/>
      <c r="F172" s="125">
        <v>1485</v>
      </c>
      <c r="G172" s="124">
        <v>1485</v>
      </c>
      <c r="H172" s="124"/>
      <c r="I172" s="124">
        <v>1489</v>
      </c>
      <c r="J172" s="124"/>
      <c r="K172" s="124">
        <v>1487</v>
      </c>
      <c r="L172" s="124">
        <v>1421</v>
      </c>
      <c r="M172" s="124"/>
    </row>
    <row r="173" spans="1:13" s="122" customFormat="1" ht="34.5" customHeight="1" x14ac:dyDescent="0.25">
      <c r="A173" s="123">
        <v>30</v>
      </c>
      <c r="B173" s="124"/>
      <c r="C173" s="124" t="s">
        <v>22</v>
      </c>
      <c r="D173" s="124">
        <v>1479</v>
      </c>
      <c r="E173" s="124">
        <v>1481</v>
      </c>
      <c r="F173" s="125">
        <v>1484</v>
      </c>
      <c r="G173" s="124"/>
      <c r="H173" s="124">
        <v>1488</v>
      </c>
      <c r="I173" s="124">
        <v>1489</v>
      </c>
      <c r="J173" s="124"/>
      <c r="K173" s="124">
        <v>1484</v>
      </c>
      <c r="L173" s="124">
        <v>1420</v>
      </c>
      <c r="M173" s="124"/>
    </row>
    <row r="174" spans="1:13" s="122" customFormat="1" ht="34.5" customHeight="1" thickBot="1" x14ac:dyDescent="0.3">
      <c r="A174" s="127">
        <v>31</v>
      </c>
      <c r="B174" s="129"/>
      <c r="C174" s="129" t="s">
        <v>22</v>
      </c>
      <c r="D174" s="129"/>
      <c r="E174" s="129" t="s">
        <v>22</v>
      </c>
      <c r="F174" s="130">
        <v>1484</v>
      </c>
      <c r="G174" s="129" t="s">
        <v>22</v>
      </c>
      <c r="H174" s="129">
        <v>1488</v>
      </c>
      <c r="I174" s="129">
        <v>1489</v>
      </c>
      <c r="J174" s="129" t="s">
        <v>22</v>
      </c>
      <c r="K174" s="129">
        <v>1484</v>
      </c>
      <c r="L174" s="129" t="s">
        <v>22</v>
      </c>
      <c r="M174" s="129"/>
    </row>
    <row r="175" spans="1:13" s="122" customFormat="1" ht="34.5" customHeight="1" thickBot="1" x14ac:dyDescent="0.3">
      <c r="A175" s="161" t="s">
        <v>15</v>
      </c>
      <c r="B175" s="162">
        <f>AVERAGE(B144:B174)</f>
        <v>1482.3125</v>
      </c>
      <c r="C175" s="162">
        <f t="shared" ref="C175:K175" si="4">AVERAGE(C144:C174)</f>
        <v>1479.8823529411766</v>
      </c>
      <c r="D175" s="162">
        <f t="shared" si="4"/>
        <v>1479.75</v>
      </c>
      <c r="E175" s="162">
        <f t="shared" si="4"/>
        <v>1480.5263157894738</v>
      </c>
      <c r="F175" s="162">
        <f t="shared" si="4"/>
        <v>1485.2272727272727</v>
      </c>
      <c r="G175" s="162">
        <f t="shared" si="4"/>
        <v>1484.6666666666667</v>
      </c>
      <c r="H175" s="162">
        <f t="shared" si="4"/>
        <v>1485.8636363636363</v>
      </c>
      <c r="I175" s="162">
        <f t="shared" si="4"/>
        <v>1488.3478260869565</v>
      </c>
      <c r="J175" s="162">
        <f t="shared" si="4"/>
        <v>1488.35</v>
      </c>
      <c r="K175" s="162">
        <f t="shared" si="4"/>
        <v>1485.0526315789473</v>
      </c>
      <c r="L175" s="162">
        <f>AVERAGE(L144:L174)</f>
        <v>1463.421052631579</v>
      </c>
      <c r="M175" s="162">
        <f>AVERAGE(M144:M174)</f>
        <v>1395.7</v>
      </c>
    </row>
    <row r="176" spans="1:13" s="66" customFormat="1" ht="34.5" customHeight="1" x14ac:dyDescent="0.25">
      <c r="A176" s="206" t="s">
        <v>23</v>
      </c>
      <c r="B176" s="206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</row>
    <row r="177" spans="1:14" s="66" customFormat="1" ht="34.5" customHeight="1" thickBot="1" x14ac:dyDescent="0.3">
      <c r="A177" s="207" t="s">
        <v>1</v>
      </c>
      <c r="B177" s="207"/>
      <c r="C177" s="207"/>
      <c r="D177" s="207"/>
      <c r="E177" s="207"/>
      <c r="F177" s="207"/>
      <c r="G177" s="207"/>
      <c r="H177" s="207"/>
      <c r="I177" s="207"/>
      <c r="J177" s="207"/>
      <c r="K177" s="207"/>
      <c r="L177" s="207"/>
      <c r="M177" s="207"/>
    </row>
    <row r="178" spans="1:14" ht="34.5" customHeight="1" thickBot="1" x14ac:dyDescent="0.3">
      <c r="A178" s="119" t="s">
        <v>2</v>
      </c>
      <c r="B178" s="120" t="s">
        <v>3</v>
      </c>
      <c r="C178" s="120" t="s">
        <v>4</v>
      </c>
      <c r="D178" s="120" t="s">
        <v>5</v>
      </c>
      <c r="E178" s="120" t="s">
        <v>6</v>
      </c>
      <c r="F178" s="120" t="s">
        <v>7</v>
      </c>
      <c r="G178" s="120" t="s">
        <v>8</v>
      </c>
      <c r="H178" s="120" t="s">
        <v>9</v>
      </c>
      <c r="I178" s="120" t="s">
        <v>10</v>
      </c>
      <c r="J178" s="120" t="s">
        <v>11</v>
      </c>
      <c r="K178" s="120" t="s">
        <v>12</v>
      </c>
      <c r="L178" s="120" t="s">
        <v>21</v>
      </c>
      <c r="M178" s="120" t="s">
        <v>14</v>
      </c>
      <c r="N178" s="78"/>
    </row>
    <row r="179" spans="1:14" s="122" customFormat="1" ht="34.5" customHeight="1" x14ac:dyDescent="0.25">
      <c r="A179" s="121">
        <v>1</v>
      </c>
      <c r="B179" s="70"/>
      <c r="C179" s="70">
        <v>1304</v>
      </c>
      <c r="D179" s="70">
        <v>1292</v>
      </c>
      <c r="E179" s="70">
        <v>1285</v>
      </c>
      <c r="F179" s="69"/>
      <c r="G179" s="70"/>
      <c r="H179" s="70">
        <v>1262</v>
      </c>
      <c r="I179" s="70">
        <v>1254</v>
      </c>
      <c r="J179" s="70"/>
      <c r="K179" s="70">
        <v>1247</v>
      </c>
      <c r="L179" s="70">
        <v>1245</v>
      </c>
      <c r="M179" s="70"/>
    </row>
    <row r="180" spans="1:14" s="122" customFormat="1" ht="34.5" customHeight="1" x14ac:dyDescent="0.25">
      <c r="A180" s="123">
        <v>2</v>
      </c>
      <c r="B180" s="124"/>
      <c r="C180" s="124"/>
      <c r="D180" s="124"/>
      <c r="E180" s="124">
        <v>1285</v>
      </c>
      <c r="F180" s="125">
        <v>1282</v>
      </c>
      <c r="G180" s="124"/>
      <c r="H180" s="124">
        <v>1262</v>
      </c>
      <c r="I180" s="124">
        <v>1255</v>
      </c>
      <c r="J180" s="124">
        <v>1251</v>
      </c>
      <c r="K180" s="124">
        <v>1247</v>
      </c>
      <c r="L180" s="124"/>
      <c r="M180" s="124">
        <v>1233</v>
      </c>
    </row>
    <row r="181" spans="1:14" s="122" customFormat="1" ht="34.5" customHeight="1" x14ac:dyDescent="0.25">
      <c r="A181" s="123">
        <v>3</v>
      </c>
      <c r="B181" s="124"/>
      <c r="C181" s="124"/>
      <c r="D181" s="124"/>
      <c r="E181" s="124">
        <v>1284</v>
      </c>
      <c r="F181" s="125">
        <v>1281</v>
      </c>
      <c r="G181" s="124">
        <v>1272</v>
      </c>
      <c r="H181" s="124">
        <v>1262</v>
      </c>
      <c r="I181" s="124"/>
      <c r="J181" s="124">
        <v>1251</v>
      </c>
      <c r="K181" s="124">
        <v>1246</v>
      </c>
      <c r="L181" s="124"/>
      <c r="M181" s="124">
        <v>1232</v>
      </c>
    </row>
    <row r="182" spans="1:14" s="122" customFormat="1" ht="34.5" customHeight="1" x14ac:dyDescent="0.25">
      <c r="A182" s="123">
        <v>4</v>
      </c>
      <c r="B182" s="124"/>
      <c r="C182" s="124">
        <v>1303</v>
      </c>
      <c r="D182" s="124">
        <v>1292</v>
      </c>
      <c r="E182" s="124">
        <v>1284</v>
      </c>
      <c r="F182" s="125"/>
      <c r="G182" s="124">
        <v>1272</v>
      </c>
      <c r="H182" s="124">
        <v>1262</v>
      </c>
      <c r="I182" s="124"/>
      <c r="J182" s="124">
        <v>1251</v>
      </c>
      <c r="K182" s="124">
        <v>1246</v>
      </c>
      <c r="L182" s="124">
        <v>1245</v>
      </c>
      <c r="M182" s="124">
        <v>1231</v>
      </c>
    </row>
    <row r="183" spans="1:14" s="122" customFormat="1" ht="34.5" customHeight="1" x14ac:dyDescent="0.25">
      <c r="A183" s="123">
        <v>5</v>
      </c>
      <c r="B183" s="124"/>
      <c r="C183" s="124">
        <v>1302</v>
      </c>
      <c r="D183" s="124">
        <v>1292</v>
      </c>
      <c r="E183" s="124">
        <v>1284</v>
      </c>
      <c r="F183" s="125"/>
      <c r="G183" s="124">
        <v>1272</v>
      </c>
      <c r="H183" s="124">
        <v>1262</v>
      </c>
      <c r="I183" s="124">
        <v>1254</v>
      </c>
      <c r="J183" s="124">
        <v>1251</v>
      </c>
      <c r="K183" s="124"/>
      <c r="L183" s="124">
        <v>1245</v>
      </c>
      <c r="M183" s="124">
        <v>1231</v>
      </c>
    </row>
    <row r="184" spans="1:14" s="122" customFormat="1" ht="34.5" customHeight="1" x14ac:dyDescent="0.25">
      <c r="A184" s="123">
        <v>6</v>
      </c>
      <c r="B184" s="124"/>
      <c r="C184" s="124">
        <v>1302</v>
      </c>
      <c r="D184" s="124">
        <v>1291</v>
      </c>
      <c r="E184" s="124"/>
      <c r="F184" s="125">
        <v>1281</v>
      </c>
      <c r="G184" s="124">
        <v>1272</v>
      </c>
      <c r="H184" s="124"/>
      <c r="I184" s="124">
        <v>1254</v>
      </c>
      <c r="J184" s="124">
        <v>1251</v>
      </c>
      <c r="K184" s="124"/>
      <c r="L184" s="124">
        <v>1243</v>
      </c>
      <c r="M184" s="124">
        <v>1218</v>
      </c>
    </row>
    <row r="185" spans="1:14" s="122" customFormat="1" ht="34.5" customHeight="1" x14ac:dyDescent="0.25">
      <c r="A185" s="123">
        <v>7</v>
      </c>
      <c r="B185" s="124"/>
      <c r="C185" s="124">
        <v>1301</v>
      </c>
      <c r="D185" s="124">
        <v>1291</v>
      </c>
      <c r="E185" s="124"/>
      <c r="F185" s="125">
        <v>1280</v>
      </c>
      <c r="G185" s="124">
        <v>1272</v>
      </c>
      <c r="H185" s="124"/>
      <c r="I185" s="124">
        <v>1253</v>
      </c>
      <c r="J185" s="124"/>
      <c r="K185" s="124">
        <v>1246</v>
      </c>
      <c r="L185" s="124">
        <v>1242</v>
      </c>
      <c r="M185" s="124"/>
    </row>
    <row r="186" spans="1:14" s="122" customFormat="1" ht="34.5" customHeight="1" x14ac:dyDescent="0.25">
      <c r="A186" s="123">
        <v>8</v>
      </c>
      <c r="B186" s="124">
        <v>1335</v>
      </c>
      <c r="C186" s="124">
        <v>1301</v>
      </c>
      <c r="D186" s="124">
        <v>1290</v>
      </c>
      <c r="E186" s="124">
        <v>1284</v>
      </c>
      <c r="F186" s="125">
        <v>1277</v>
      </c>
      <c r="G186" s="124"/>
      <c r="H186" s="124">
        <v>1262</v>
      </c>
      <c r="I186" s="124">
        <v>1253</v>
      </c>
      <c r="J186" s="124"/>
      <c r="K186" s="124">
        <v>1246</v>
      </c>
      <c r="L186" s="124">
        <v>1241</v>
      </c>
      <c r="M186" s="124"/>
    </row>
    <row r="187" spans="1:14" s="122" customFormat="1" ht="34.5" customHeight="1" x14ac:dyDescent="0.25">
      <c r="A187" s="123">
        <v>9</v>
      </c>
      <c r="B187" s="124">
        <v>1332</v>
      </c>
      <c r="C187" s="124"/>
      <c r="D187" s="124"/>
      <c r="E187" s="124"/>
      <c r="F187" s="125">
        <v>1277</v>
      </c>
      <c r="G187" s="124"/>
      <c r="H187" s="124">
        <v>1262</v>
      </c>
      <c r="I187" s="124">
        <v>1253</v>
      </c>
      <c r="J187" s="124">
        <v>1250</v>
      </c>
      <c r="K187" s="124">
        <v>1245</v>
      </c>
      <c r="L187" s="124"/>
      <c r="M187" s="124">
        <v>1208</v>
      </c>
    </row>
    <row r="188" spans="1:14" s="122" customFormat="1" ht="34.5" customHeight="1" x14ac:dyDescent="0.25">
      <c r="A188" s="123">
        <v>10</v>
      </c>
      <c r="B188" s="124">
        <v>1332</v>
      </c>
      <c r="C188" s="124"/>
      <c r="D188" s="124"/>
      <c r="E188" s="124">
        <v>1284</v>
      </c>
      <c r="F188" s="125">
        <v>1275</v>
      </c>
      <c r="G188" s="124">
        <v>1272</v>
      </c>
      <c r="H188" s="124">
        <v>1261</v>
      </c>
      <c r="I188" s="124"/>
      <c r="J188" s="124">
        <v>1249</v>
      </c>
      <c r="K188" s="124">
        <v>1245</v>
      </c>
      <c r="L188" s="124"/>
      <c r="M188" s="124">
        <v>1194</v>
      </c>
    </row>
    <row r="189" spans="1:14" s="122" customFormat="1" ht="34.5" customHeight="1" x14ac:dyDescent="0.25">
      <c r="A189" s="123">
        <v>11</v>
      </c>
      <c r="B189" s="124">
        <v>1332</v>
      </c>
      <c r="C189" s="124">
        <v>1302</v>
      </c>
      <c r="D189" s="124">
        <v>1290</v>
      </c>
      <c r="E189" s="124">
        <v>1284</v>
      </c>
      <c r="F189" s="125"/>
      <c r="G189" s="124">
        <v>1272</v>
      </c>
      <c r="H189" s="124">
        <v>1261</v>
      </c>
      <c r="I189" s="124"/>
      <c r="J189" s="124">
        <v>1249</v>
      </c>
      <c r="K189" s="124">
        <v>1245</v>
      </c>
      <c r="L189" s="124">
        <v>1241</v>
      </c>
      <c r="M189" s="124">
        <v>1175</v>
      </c>
    </row>
    <row r="190" spans="1:14" s="122" customFormat="1" ht="34.5" customHeight="1" x14ac:dyDescent="0.25">
      <c r="A190" s="123">
        <v>12</v>
      </c>
      <c r="B190" s="124"/>
      <c r="C190" s="124">
        <v>1301</v>
      </c>
      <c r="D190" s="124">
        <v>1290</v>
      </c>
      <c r="E190" s="124">
        <v>1284</v>
      </c>
      <c r="F190" s="125"/>
      <c r="G190" s="124">
        <v>1272</v>
      </c>
      <c r="H190" s="124">
        <v>1261</v>
      </c>
      <c r="I190" s="124">
        <v>1253</v>
      </c>
      <c r="J190" s="124">
        <v>1249</v>
      </c>
      <c r="K190" s="124"/>
      <c r="L190" s="124">
        <v>1241</v>
      </c>
      <c r="M190" s="124">
        <v>1175</v>
      </c>
    </row>
    <row r="191" spans="1:14" s="122" customFormat="1" ht="34.5" customHeight="1" x14ac:dyDescent="0.25">
      <c r="A191" s="123">
        <v>13</v>
      </c>
      <c r="B191" s="124"/>
      <c r="C191" s="124">
        <v>1300</v>
      </c>
      <c r="D191" s="124">
        <v>1290</v>
      </c>
      <c r="E191" s="124"/>
      <c r="F191" s="125">
        <v>1275</v>
      </c>
      <c r="G191" s="124">
        <v>1270</v>
      </c>
      <c r="H191" s="124"/>
      <c r="I191" s="124">
        <v>1253</v>
      </c>
      <c r="J191" s="124">
        <v>1249</v>
      </c>
      <c r="K191" s="124"/>
      <c r="L191" s="124">
        <v>1241</v>
      </c>
      <c r="M191" s="124">
        <v>1190</v>
      </c>
    </row>
    <row r="192" spans="1:14" s="122" customFormat="1" ht="34.5" customHeight="1" x14ac:dyDescent="0.25">
      <c r="A192" s="123">
        <v>14</v>
      </c>
      <c r="B192" s="124">
        <v>1329</v>
      </c>
      <c r="C192" s="124">
        <v>1299</v>
      </c>
      <c r="D192" s="124">
        <v>1290</v>
      </c>
      <c r="E192" s="124"/>
      <c r="F192" s="125">
        <v>1274</v>
      </c>
      <c r="G192" s="124"/>
      <c r="H192" s="124"/>
      <c r="I192" s="124">
        <v>1253</v>
      </c>
      <c r="J192" s="124"/>
      <c r="K192" s="124"/>
      <c r="L192" s="124">
        <v>1240</v>
      </c>
      <c r="M192" s="124"/>
    </row>
    <row r="193" spans="1:13" s="122" customFormat="1" ht="34.5" customHeight="1" x14ac:dyDescent="0.25">
      <c r="A193" s="123">
        <v>15</v>
      </c>
      <c r="B193" s="124">
        <v>1324</v>
      </c>
      <c r="C193" s="124">
        <v>1298</v>
      </c>
      <c r="D193" s="124">
        <v>1290</v>
      </c>
      <c r="E193" s="124">
        <v>1284</v>
      </c>
      <c r="F193" s="125">
        <v>1273</v>
      </c>
      <c r="G193" s="124"/>
      <c r="H193" s="124">
        <v>1261</v>
      </c>
      <c r="I193" s="124">
        <v>1253</v>
      </c>
      <c r="J193" s="124"/>
      <c r="K193" s="124"/>
      <c r="L193" s="124">
        <v>1240</v>
      </c>
      <c r="M193" s="124"/>
    </row>
    <row r="194" spans="1:13" s="122" customFormat="1" ht="34.5" customHeight="1" x14ac:dyDescent="0.25">
      <c r="A194" s="123">
        <v>16</v>
      </c>
      <c r="B194" s="124">
        <v>1320</v>
      </c>
      <c r="C194" s="124"/>
      <c r="D194" s="124"/>
      <c r="E194" s="124">
        <v>1284</v>
      </c>
      <c r="F194" s="125">
        <v>1273</v>
      </c>
      <c r="G194" s="124"/>
      <c r="H194" s="124">
        <v>1261</v>
      </c>
      <c r="I194" s="124">
        <v>1253</v>
      </c>
      <c r="J194" s="124">
        <v>1248</v>
      </c>
      <c r="K194" s="124"/>
      <c r="L194" s="124"/>
      <c r="M194" s="124">
        <v>1219</v>
      </c>
    </row>
    <row r="195" spans="1:13" s="122" customFormat="1" ht="34.5" customHeight="1" x14ac:dyDescent="0.25">
      <c r="A195" s="123">
        <v>17</v>
      </c>
      <c r="B195" s="124">
        <v>1319</v>
      </c>
      <c r="C195" s="124"/>
      <c r="D195" s="124"/>
      <c r="E195" s="124">
        <v>1284</v>
      </c>
      <c r="F195" s="125">
        <v>1272</v>
      </c>
      <c r="G195" s="124">
        <v>1269</v>
      </c>
      <c r="H195" s="124">
        <v>1261</v>
      </c>
      <c r="I195" s="124"/>
      <c r="J195" s="124">
        <v>1248</v>
      </c>
      <c r="K195" s="124">
        <v>1245</v>
      </c>
      <c r="L195" s="124"/>
      <c r="M195" s="124">
        <v>1223</v>
      </c>
    </row>
    <row r="196" spans="1:13" s="122" customFormat="1" ht="34.5" customHeight="1" x14ac:dyDescent="0.25">
      <c r="A196" s="123">
        <v>18</v>
      </c>
      <c r="B196" s="124">
        <v>1319</v>
      </c>
      <c r="C196" s="124">
        <v>1298</v>
      </c>
      <c r="D196" s="124">
        <v>1290</v>
      </c>
      <c r="E196" s="124">
        <v>1284</v>
      </c>
      <c r="F196" s="125"/>
      <c r="G196" s="124">
        <v>1270</v>
      </c>
      <c r="H196" s="124">
        <v>1261</v>
      </c>
      <c r="I196" s="124"/>
      <c r="J196" s="124">
        <v>1248</v>
      </c>
      <c r="K196" s="124">
        <v>1245</v>
      </c>
      <c r="L196" s="124">
        <v>1240</v>
      </c>
      <c r="M196" s="124">
        <v>1223</v>
      </c>
    </row>
    <row r="197" spans="1:13" s="122" customFormat="1" ht="34.5" customHeight="1" x14ac:dyDescent="0.25">
      <c r="A197" s="123">
        <v>19</v>
      </c>
      <c r="B197" s="124"/>
      <c r="C197" s="124">
        <v>1297</v>
      </c>
      <c r="D197" s="124">
        <v>1290</v>
      </c>
      <c r="E197" s="124">
        <v>1284</v>
      </c>
      <c r="F197" s="125"/>
      <c r="G197" s="124">
        <v>1268</v>
      </c>
      <c r="H197" s="124">
        <v>1261</v>
      </c>
      <c r="I197" s="124">
        <v>1253</v>
      </c>
      <c r="J197" s="124">
        <v>1247</v>
      </c>
      <c r="K197" s="124"/>
      <c r="L197" s="124">
        <v>1239</v>
      </c>
      <c r="M197" s="124"/>
    </row>
    <row r="198" spans="1:13" s="122" customFormat="1" ht="34.5" customHeight="1" x14ac:dyDescent="0.25">
      <c r="A198" s="123">
        <v>20</v>
      </c>
      <c r="B198" s="124"/>
      <c r="C198" s="124">
        <v>1296</v>
      </c>
      <c r="D198" s="124">
        <v>1290</v>
      </c>
      <c r="E198" s="124"/>
      <c r="F198" s="125">
        <v>1272</v>
      </c>
      <c r="G198" s="124">
        <v>1269</v>
      </c>
      <c r="H198" s="124"/>
      <c r="I198" s="124">
        <v>1252</v>
      </c>
      <c r="J198" s="124">
        <v>1247</v>
      </c>
      <c r="K198" s="124"/>
      <c r="L198" s="124">
        <v>1238</v>
      </c>
      <c r="M198" s="124"/>
    </row>
    <row r="199" spans="1:13" s="122" customFormat="1" ht="34.5" customHeight="1" x14ac:dyDescent="0.25">
      <c r="A199" s="123">
        <v>21</v>
      </c>
      <c r="B199" s="124">
        <v>1314</v>
      </c>
      <c r="C199" s="124">
        <v>1295</v>
      </c>
      <c r="D199" s="124"/>
      <c r="E199" s="124"/>
      <c r="F199" s="125">
        <v>1272</v>
      </c>
      <c r="G199" s="124">
        <v>1267</v>
      </c>
      <c r="H199" s="124"/>
      <c r="I199" s="124">
        <v>1252</v>
      </c>
      <c r="J199" s="124"/>
      <c r="K199" s="124">
        <v>1245</v>
      </c>
      <c r="L199" s="124">
        <v>1238</v>
      </c>
      <c r="M199" s="124"/>
    </row>
    <row r="200" spans="1:13" s="122" customFormat="1" ht="34.5" customHeight="1" x14ac:dyDescent="0.25">
      <c r="A200" s="123">
        <v>22</v>
      </c>
      <c r="B200" s="124">
        <v>1310</v>
      </c>
      <c r="C200" s="124">
        <v>1294</v>
      </c>
      <c r="D200" s="124">
        <v>1290</v>
      </c>
      <c r="E200" s="124">
        <v>1284</v>
      </c>
      <c r="F200" s="125">
        <v>1272</v>
      </c>
      <c r="G200" s="124"/>
      <c r="H200" s="124">
        <v>1261</v>
      </c>
      <c r="I200" s="124">
        <v>1251</v>
      </c>
      <c r="J200" s="124"/>
      <c r="K200" s="124">
        <v>1245</v>
      </c>
      <c r="L200" s="124">
        <v>1238</v>
      </c>
      <c r="M200" s="124"/>
    </row>
    <row r="201" spans="1:13" s="122" customFormat="1" ht="34.5" customHeight="1" x14ac:dyDescent="0.25">
      <c r="A201" s="123">
        <v>23</v>
      </c>
      <c r="B201" s="124">
        <v>1309</v>
      </c>
      <c r="C201" s="124"/>
      <c r="D201" s="124"/>
      <c r="E201" s="124">
        <v>1283</v>
      </c>
      <c r="F201" s="125">
        <v>1272</v>
      </c>
      <c r="G201" s="124"/>
      <c r="H201" s="124">
        <v>1261</v>
      </c>
      <c r="I201" s="124">
        <v>1251</v>
      </c>
      <c r="J201" s="124">
        <v>1247</v>
      </c>
      <c r="K201" s="124">
        <v>1245</v>
      </c>
      <c r="L201" s="124"/>
      <c r="M201" s="124"/>
    </row>
    <row r="202" spans="1:13" s="122" customFormat="1" ht="34.5" customHeight="1" x14ac:dyDescent="0.25">
      <c r="A202" s="123">
        <v>24</v>
      </c>
      <c r="B202" s="124">
        <v>1308</v>
      </c>
      <c r="C202" s="124"/>
      <c r="D202" s="124"/>
      <c r="E202" s="124">
        <v>1282</v>
      </c>
      <c r="F202" s="125">
        <v>1271</v>
      </c>
      <c r="G202" s="124">
        <v>1266</v>
      </c>
      <c r="H202" s="124">
        <v>1260</v>
      </c>
      <c r="I202" s="124"/>
      <c r="J202" s="124">
        <v>1247</v>
      </c>
      <c r="K202" s="124">
        <v>1245</v>
      </c>
      <c r="L202" s="124"/>
      <c r="M202" s="124"/>
    </row>
    <row r="203" spans="1:13" s="122" customFormat="1" ht="34.5" customHeight="1" x14ac:dyDescent="0.25">
      <c r="A203" s="123">
        <v>25</v>
      </c>
      <c r="B203" s="124">
        <v>1307</v>
      </c>
      <c r="C203" s="124">
        <v>1294</v>
      </c>
      <c r="D203" s="124">
        <v>1290</v>
      </c>
      <c r="E203" s="124">
        <v>1282</v>
      </c>
      <c r="F203" s="125"/>
      <c r="G203" s="124">
        <v>1265</v>
      </c>
      <c r="H203" s="124">
        <v>1259</v>
      </c>
      <c r="I203" s="124"/>
      <c r="J203" s="124">
        <v>1247</v>
      </c>
      <c r="K203" s="124">
        <v>1245</v>
      </c>
      <c r="L203" s="124">
        <v>1237</v>
      </c>
      <c r="M203" s="124"/>
    </row>
    <row r="204" spans="1:13" s="122" customFormat="1" ht="34.5" customHeight="1" x14ac:dyDescent="0.25">
      <c r="A204" s="123">
        <v>26</v>
      </c>
      <c r="B204" s="124"/>
      <c r="C204" s="124">
        <v>1294</v>
      </c>
      <c r="D204" s="124">
        <v>1290</v>
      </c>
      <c r="E204" s="124">
        <v>1282</v>
      </c>
      <c r="F204" s="125"/>
      <c r="G204" s="124">
        <v>1263</v>
      </c>
      <c r="H204" s="124">
        <v>1259</v>
      </c>
      <c r="I204" s="124">
        <v>1251</v>
      </c>
      <c r="J204" s="124">
        <v>1247</v>
      </c>
      <c r="K204" s="124"/>
      <c r="L204" s="124">
        <v>1236</v>
      </c>
      <c r="M204" s="124">
        <v>1223</v>
      </c>
    </row>
    <row r="205" spans="1:13" s="122" customFormat="1" ht="34.5" customHeight="1" x14ac:dyDescent="0.25">
      <c r="A205" s="123">
        <v>27</v>
      </c>
      <c r="B205" s="124"/>
      <c r="C205" s="124">
        <v>1294</v>
      </c>
      <c r="D205" s="124">
        <v>1288</v>
      </c>
      <c r="E205" s="124"/>
      <c r="F205" s="125">
        <v>1271</v>
      </c>
      <c r="G205" s="124">
        <v>1263</v>
      </c>
      <c r="H205" s="124"/>
      <c r="I205" s="124">
        <v>1251</v>
      </c>
      <c r="J205" s="124">
        <v>1247</v>
      </c>
      <c r="K205" s="124"/>
      <c r="L205" s="124">
        <v>1236</v>
      </c>
      <c r="M205" s="124">
        <v>1223</v>
      </c>
    </row>
    <row r="206" spans="1:13" s="122" customFormat="1" ht="34.5" customHeight="1" x14ac:dyDescent="0.25">
      <c r="A206" s="123">
        <v>28</v>
      </c>
      <c r="B206" s="124">
        <v>1306</v>
      </c>
      <c r="C206" s="124">
        <v>1293</v>
      </c>
      <c r="D206" s="124">
        <v>1286</v>
      </c>
      <c r="E206" s="124"/>
      <c r="F206" s="125">
        <v>1271</v>
      </c>
      <c r="G206" s="124">
        <v>1263</v>
      </c>
      <c r="H206" s="124"/>
      <c r="I206" s="124">
        <v>1251</v>
      </c>
      <c r="J206" s="124"/>
      <c r="K206" s="124">
        <v>1245</v>
      </c>
      <c r="L206" s="124">
        <v>1235</v>
      </c>
      <c r="M206" s="124"/>
    </row>
    <row r="207" spans="1:13" s="122" customFormat="1" ht="34.5" customHeight="1" x14ac:dyDescent="0.25">
      <c r="A207" s="123">
        <v>29</v>
      </c>
      <c r="B207" s="124">
        <v>1307</v>
      </c>
      <c r="C207" s="124"/>
      <c r="D207" s="124">
        <v>1285</v>
      </c>
      <c r="E207" s="124">
        <v>1282</v>
      </c>
      <c r="F207" s="125">
        <v>1271</v>
      </c>
      <c r="G207" s="124"/>
      <c r="H207" s="124">
        <v>1257</v>
      </c>
      <c r="I207" s="124">
        <v>1251</v>
      </c>
      <c r="J207" s="124"/>
      <c r="K207" s="124">
        <v>1245</v>
      </c>
      <c r="L207" s="124">
        <v>1234</v>
      </c>
      <c r="M207" s="124"/>
    </row>
    <row r="208" spans="1:13" s="122" customFormat="1" ht="34.5" customHeight="1" x14ac:dyDescent="0.25">
      <c r="A208" s="123">
        <v>30</v>
      </c>
      <c r="B208" s="124"/>
      <c r="C208" s="124"/>
      <c r="D208" s="124"/>
      <c r="E208" s="124">
        <v>1282</v>
      </c>
      <c r="F208" s="125">
        <v>1271</v>
      </c>
      <c r="G208" s="124"/>
      <c r="H208" s="124">
        <v>1255</v>
      </c>
      <c r="I208" s="124">
        <v>1251</v>
      </c>
      <c r="J208" s="124">
        <v>1247</v>
      </c>
      <c r="K208" s="124">
        <v>1245</v>
      </c>
      <c r="L208" s="124"/>
      <c r="M208" s="124">
        <v>1223</v>
      </c>
    </row>
    <row r="209" spans="1:14" s="122" customFormat="1" ht="34.5" customHeight="1" thickBot="1" x14ac:dyDescent="0.3">
      <c r="A209" s="127">
        <v>31</v>
      </c>
      <c r="B209" s="129">
        <v>1304</v>
      </c>
      <c r="C209" s="129"/>
      <c r="D209" s="129"/>
      <c r="E209" s="129"/>
      <c r="F209" s="130">
        <v>1271</v>
      </c>
      <c r="G209" s="129"/>
      <c r="H209" s="129">
        <v>1257</v>
      </c>
      <c r="I209" s="129"/>
      <c r="J209" s="129"/>
      <c r="K209" s="129">
        <v>1245</v>
      </c>
      <c r="L209" s="129"/>
      <c r="M209" s="129">
        <v>1223</v>
      </c>
    </row>
    <row r="210" spans="1:14" s="122" customFormat="1" ht="34.5" customHeight="1" thickBot="1" x14ac:dyDescent="0.3">
      <c r="A210" s="161" t="s">
        <v>15</v>
      </c>
      <c r="B210" s="162">
        <f>AVERAGE(B179:B209)</f>
        <v>1318.0588235294117</v>
      </c>
      <c r="C210" s="162">
        <f t="shared" ref="C210:M210" si="5">AVERAGE(C179:C209)</f>
        <v>1298.4000000000001</v>
      </c>
      <c r="D210" s="162">
        <f t="shared" si="5"/>
        <v>1289.8499999999999</v>
      </c>
      <c r="E210" s="162">
        <f t="shared" si="5"/>
        <v>1283.5714285714287</v>
      </c>
      <c r="F210" s="162">
        <f t="shared" si="5"/>
        <v>1274.2727272727273</v>
      </c>
      <c r="G210" s="162">
        <f t="shared" si="5"/>
        <v>1268.8947368421052</v>
      </c>
      <c r="H210" s="162">
        <f>AVERAGE(H179:H209)</f>
        <v>1260.4782608695652</v>
      </c>
      <c r="I210" s="162">
        <f t="shared" si="5"/>
        <v>1252.5</v>
      </c>
      <c r="J210" s="162">
        <f t="shared" si="5"/>
        <v>1248.6190476190477</v>
      </c>
      <c r="K210" s="162">
        <f>AVERAGE(K179:K209)</f>
        <v>1245.4000000000001</v>
      </c>
      <c r="L210" s="162">
        <f>AVERAGE(L179:L209)</f>
        <v>1239.7619047619048</v>
      </c>
      <c r="M210" s="162">
        <f t="shared" si="5"/>
        <v>1214.3529411764705</v>
      </c>
    </row>
    <row r="211" spans="1:14" s="66" customFormat="1" ht="34.5" customHeight="1" x14ac:dyDescent="0.25">
      <c r="A211" s="206" t="s">
        <v>24</v>
      </c>
      <c r="B211" s="206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</row>
    <row r="212" spans="1:14" s="66" customFormat="1" ht="34.5" customHeight="1" thickBot="1" x14ac:dyDescent="0.3">
      <c r="A212" s="207" t="s">
        <v>1</v>
      </c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</row>
    <row r="213" spans="1:14" ht="34.5" customHeight="1" thickBot="1" x14ac:dyDescent="0.3">
      <c r="A213" s="119" t="s">
        <v>2</v>
      </c>
      <c r="B213" s="120" t="s">
        <v>3</v>
      </c>
      <c r="C213" s="120" t="s">
        <v>4</v>
      </c>
      <c r="D213" s="120" t="s">
        <v>5</v>
      </c>
      <c r="E213" s="120" t="s">
        <v>6</v>
      </c>
      <c r="F213" s="120" t="s">
        <v>7</v>
      </c>
      <c r="G213" s="120" t="s">
        <v>8</v>
      </c>
      <c r="H213" s="120" t="s">
        <v>9</v>
      </c>
      <c r="I213" s="120" t="s">
        <v>10</v>
      </c>
      <c r="J213" s="120" t="s">
        <v>11</v>
      </c>
      <c r="K213" s="120" t="s">
        <v>12</v>
      </c>
      <c r="L213" s="120" t="s">
        <v>21</v>
      </c>
      <c r="M213" s="120" t="s">
        <v>14</v>
      </c>
      <c r="N213" s="78"/>
    </row>
    <row r="214" spans="1:14" s="122" customFormat="1" ht="34.5" customHeight="1" x14ac:dyDescent="0.25">
      <c r="A214" s="121">
        <v>1</v>
      </c>
      <c r="B214" s="70"/>
      <c r="C214" s="70"/>
      <c r="D214" s="70"/>
      <c r="E214" s="70">
        <v>1217</v>
      </c>
      <c r="F214" s="69"/>
      <c r="G214" s="70">
        <v>1209</v>
      </c>
      <c r="H214" s="70">
        <v>1201</v>
      </c>
      <c r="I214" s="70"/>
      <c r="J214" s="70">
        <v>1191</v>
      </c>
      <c r="K214" s="70"/>
      <c r="L214" s="70"/>
      <c r="M214" s="70">
        <v>1181</v>
      </c>
    </row>
    <row r="215" spans="1:14" s="122" customFormat="1" ht="34.5" customHeight="1" x14ac:dyDescent="0.25">
      <c r="A215" s="123">
        <v>2</v>
      </c>
      <c r="B215" s="124"/>
      <c r="C215" s="124"/>
      <c r="D215" s="124">
        <v>1225</v>
      </c>
      <c r="E215" s="124">
        <v>1217</v>
      </c>
      <c r="F215" s="125"/>
      <c r="G215" s="124">
        <v>1209</v>
      </c>
      <c r="H215" s="124">
        <v>1202</v>
      </c>
      <c r="I215" s="124"/>
      <c r="J215" s="124">
        <v>1190</v>
      </c>
      <c r="K215" s="124"/>
      <c r="L215" s="124">
        <v>1185</v>
      </c>
      <c r="M215" s="124">
        <v>1181</v>
      </c>
    </row>
    <row r="216" spans="1:14" s="122" customFormat="1" ht="34.5" customHeight="1" x14ac:dyDescent="0.25">
      <c r="A216" s="123">
        <v>3</v>
      </c>
      <c r="B216" s="124">
        <v>1223</v>
      </c>
      <c r="C216" s="124">
        <v>1225</v>
      </c>
      <c r="D216" s="124">
        <v>1225</v>
      </c>
      <c r="E216" s="124">
        <v>1217</v>
      </c>
      <c r="F216" s="125"/>
      <c r="G216" s="124">
        <v>1209</v>
      </c>
      <c r="H216" s="124">
        <v>1202</v>
      </c>
      <c r="I216" s="124">
        <v>1200</v>
      </c>
      <c r="J216" s="124">
        <v>1190</v>
      </c>
      <c r="K216" s="124"/>
      <c r="L216" s="124">
        <v>1184</v>
      </c>
      <c r="M216" s="124">
        <v>1181</v>
      </c>
    </row>
    <row r="217" spans="1:14" s="122" customFormat="1" ht="34.5" customHeight="1" x14ac:dyDescent="0.25">
      <c r="A217" s="123">
        <v>4</v>
      </c>
      <c r="B217" s="124"/>
      <c r="C217" s="124">
        <v>1225</v>
      </c>
      <c r="D217" s="124">
        <v>1225</v>
      </c>
      <c r="E217" s="124"/>
      <c r="F217" s="125">
        <v>1215</v>
      </c>
      <c r="G217" s="124">
        <v>1208</v>
      </c>
      <c r="H217" s="124"/>
      <c r="I217" s="124">
        <v>1199</v>
      </c>
      <c r="J217" s="124">
        <v>1190</v>
      </c>
      <c r="K217" s="124"/>
      <c r="L217" s="124">
        <v>1184</v>
      </c>
      <c r="M217" s="124">
        <v>1180</v>
      </c>
    </row>
    <row r="218" spans="1:14" s="122" customFormat="1" ht="34.5" customHeight="1" x14ac:dyDescent="0.25">
      <c r="A218" s="123">
        <v>5</v>
      </c>
      <c r="B218" s="124"/>
      <c r="C218" s="124">
        <v>1225</v>
      </c>
      <c r="D218" s="124">
        <v>1225</v>
      </c>
      <c r="E218" s="124"/>
      <c r="F218" s="125">
        <v>1215</v>
      </c>
      <c r="G218" s="124">
        <v>1206</v>
      </c>
      <c r="H218" s="124"/>
      <c r="I218" s="124">
        <v>1199</v>
      </c>
      <c r="J218" s="124"/>
      <c r="K218" s="124">
        <v>1186</v>
      </c>
      <c r="L218" s="124">
        <v>1184</v>
      </c>
      <c r="M218" s="124"/>
    </row>
    <row r="219" spans="1:14" s="122" customFormat="1" ht="34.5" customHeight="1" x14ac:dyDescent="0.25">
      <c r="A219" s="123">
        <v>6</v>
      </c>
      <c r="B219" s="124">
        <v>1223</v>
      </c>
      <c r="C219" s="124">
        <v>1225</v>
      </c>
      <c r="D219" s="124">
        <v>1225</v>
      </c>
      <c r="E219" s="124">
        <v>1217</v>
      </c>
      <c r="F219" s="125">
        <v>1214</v>
      </c>
      <c r="G219" s="124"/>
      <c r="H219" s="124">
        <v>1202</v>
      </c>
      <c r="I219" s="124">
        <v>1198</v>
      </c>
      <c r="J219" s="124"/>
      <c r="K219" s="124">
        <v>1186</v>
      </c>
      <c r="L219" s="124">
        <v>1184</v>
      </c>
      <c r="M219" s="124"/>
    </row>
    <row r="220" spans="1:14" s="122" customFormat="1" ht="34.5" customHeight="1" x14ac:dyDescent="0.25">
      <c r="A220" s="123">
        <v>7</v>
      </c>
      <c r="B220" s="124">
        <v>1223</v>
      </c>
      <c r="C220" s="124">
        <v>1225</v>
      </c>
      <c r="D220" s="124"/>
      <c r="E220" s="124">
        <v>1217</v>
      </c>
      <c r="F220" s="125">
        <v>1214</v>
      </c>
      <c r="G220" s="124"/>
      <c r="H220" s="124">
        <v>1202</v>
      </c>
      <c r="I220" s="124">
        <v>1198</v>
      </c>
      <c r="J220" s="124">
        <v>1190</v>
      </c>
      <c r="K220" s="124">
        <v>1186</v>
      </c>
      <c r="L220" s="124"/>
      <c r="M220" s="124">
        <v>1180</v>
      </c>
    </row>
    <row r="221" spans="1:14" s="122" customFormat="1" ht="34.5" customHeight="1" x14ac:dyDescent="0.25">
      <c r="A221" s="123">
        <v>8</v>
      </c>
      <c r="B221" s="124">
        <v>1223</v>
      </c>
      <c r="C221" s="124"/>
      <c r="D221" s="124"/>
      <c r="E221" s="124">
        <v>1216</v>
      </c>
      <c r="F221" s="125">
        <v>1214</v>
      </c>
      <c r="G221" s="124">
        <v>1206</v>
      </c>
      <c r="H221" s="124">
        <v>1202</v>
      </c>
      <c r="I221" s="124"/>
      <c r="J221" s="124">
        <v>1189</v>
      </c>
      <c r="K221" s="124">
        <v>1186</v>
      </c>
      <c r="L221" s="124"/>
      <c r="M221" s="124"/>
    </row>
    <row r="222" spans="1:14" s="122" customFormat="1" ht="34.5" customHeight="1" x14ac:dyDescent="0.25">
      <c r="A222" s="123">
        <v>9</v>
      </c>
      <c r="B222" s="124">
        <v>1224</v>
      </c>
      <c r="C222" s="124"/>
      <c r="D222" s="124">
        <v>1225</v>
      </c>
      <c r="E222" s="124"/>
      <c r="F222" s="125"/>
      <c r="G222" s="124">
        <v>1206</v>
      </c>
      <c r="H222" s="124">
        <v>1202</v>
      </c>
      <c r="I222" s="124"/>
      <c r="J222" s="124">
        <v>1189</v>
      </c>
      <c r="K222" s="124">
        <v>1186</v>
      </c>
      <c r="L222" s="124">
        <v>1183</v>
      </c>
      <c r="M222" s="124"/>
    </row>
    <row r="223" spans="1:14" s="122" customFormat="1" ht="34.5" customHeight="1" x14ac:dyDescent="0.25">
      <c r="A223" s="123">
        <v>10</v>
      </c>
      <c r="B223" s="124">
        <v>1225</v>
      </c>
      <c r="C223" s="124">
        <v>1225</v>
      </c>
      <c r="D223" s="124">
        <v>1223</v>
      </c>
      <c r="E223" s="124">
        <v>1216</v>
      </c>
      <c r="F223" s="125"/>
      <c r="G223" s="124">
        <v>1206</v>
      </c>
      <c r="H223" s="124">
        <v>1202</v>
      </c>
      <c r="I223" s="124">
        <v>1198</v>
      </c>
      <c r="J223" s="124">
        <v>1188</v>
      </c>
      <c r="K223" s="124"/>
      <c r="L223" s="124">
        <v>1183</v>
      </c>
      <c r="M223" s="124"/>
    </row>
    <row r="224" spans="1:14" s="122" customFormat="1" ht="34.5" customHeight="1" x14ac:dyDescent="0.25">
      <c r="A224" s="123">
        <v>11</v>
      </c>
      <c r="B224" s="124"/>
      <c r="C224" s="124">
        <v>1225</v>
      </c>
      <c r="D224" s="124">
        <v>1222</v>
      </c>
      <c r="E224" s="124"/>
      <c r="F224" s="125">
        <v>1213</v>
      </c>
      <c r="G224" s="124">
        <v>1206</v>
      </c>
      <c r="H224" s="124"/>
      <c r="I224" s="124">
        <v>1197</v>
      </c>
      <c r="J224" s="124">
        <v>1188</v>
      </c>
      <c r="K224" s="124"/>
      <c r="L224" s="124">
        <v>1183</v>
      </c>
      <c r="M224" s="124"/>
    </row>
    <row r="225" spans="1:13" s="122" customFormat="1" ht="34.5" customHeight="1" x14ac:dyDescent="0.25">
      <c r="A225" s="123">
        <v>12</v>
      </c>
      <c r="B225" s="124"/>
      <c r="C225" s="124">
        <v>1225</v>
      </c>
      <c r="D225" s="124">
        <v>1222</v>
      </c>
      <c r="E225" s="124"/>
      <c r="F225" s="125">
        <v>1213</v>
      </c>
      <c r="G225" s="124">
        <v>1206</v>
      </c>
      <c r="H225" s="124"/>
      <c r="I225" s="124">
        <v>1197</v>
      </c>
      <c r="J225" s="124"/>
      <c r="K225" s="124">
        <v>1186</v>
      </c>
      <c r="L225" s="124">
        <v>1183</v>
      </c>
      <c r="M225" s="124"/>
    </row>
    <row r="226" spans="1:13" s="122" customFormat="1" ht="34.5" customHeight="1" x14ac:dyDescent="0.25">
      <c r="A226" s="123">
        <v>13</v>
      </c>
      <c r="B226" s="124">
        <v>1225</v>
      </c>
      <c r="C226" s="124">
        <v>1225</v>
      </c>
      <c r="D226" s="124">
        <v>1222</v>
      </c>
      <c r="E226" s="124">
        <v>1216</v>
      </c>
      <c r="F226" s="125">
        <v>1213</v>
      </c>
      <c r="G226" s="124"/>
      <c r="H226" s="124">
        <v>1202</v>
      </c>
      <c r="I226" s="124">
        <v>1196</v>
      </c>
      <c r="J226" s="124"/>
      <c r="K226" s="124">
        <v>1186</v>
      </c>
      <c r="L226" s="124">
        <v>1183</v>
      </c>
      <c r="M226" s="124"/>
    </row>
    <row r="227" spans="1:13" s="122" customFormat="1" ht="34.5" customHeight="1" x14ac:dyDescent="0.25">
      <c r="A227" s="123">
        <v>14</v>
      </c>
      <c r="B227" s="124">
        <v>1225</v>
      </c>
      <c r="C227" s="124">
        <v>1225</v>
      </c>
      <c r="D227" s="124"/>
      <c r="E227" s="124">
        <v>1216</v>
      </c>
      <c r="F227" s="125">
        <v>1213</v>
      </c>
      <c r="G227" s="124"/>
      <c r="H227" s="124"/>
      <c r="I227" s="124">
        <v>1196</v>
      </c>
      <c r="J227" s="124">
        <v>1187</v>
      </c>
      <c r="K227" s="124">
        <v>1185</v>
      </c>
      <c r="L227" s="124"/>
      <c r="M227" s="124">
        <v>1180</v>
      </c>
    </row>
    <row r="228" spans="1:13" s="122" customFormat="1" ht="34.5" customHeight="1" x14ac:dyDescent="0.25">
      <c r="A228" s="123">
        <v>15</v>
      </c>
      <c r="B228" s="124">
        <v>1225</v>
      </c>
      <c r="C228" s="124"/>
      <c r="D228" s="124"/>
      <c r="E228" s="124">
        <v>1216</v>
      </c>
      <c r="F228" s="125">
        <v>1213</v>
      </c>
      <c r="G228" s="124">
        <v>1206</v>
      </c>
      <c r="H228" s="124">
        <v>1202</v>
      </c>
      <c r="I228" s="124"/>
      <c r="J228" s="124">
        <v>1187</v>
      </c>
      <c r="K228" s="124">
        <v>1185</v>
      </c>
      <c r="L228" s="124"/>
      <c r="M228" s="124">
        <v>1180</v>
      </c>
    </row>
    <row r="229" spans="1:13" s="122" customFormat="1" ht="34.5" customHeight="1" x14ac:dyDescent="0.25">
      <c r="A229" s="123">
        <v>16</v>
      </c>
      <c r="B229" s="124">
        <v>1225</v>
      </c>
      <c r="C229" s="124"/>
      <c r="D229" s="124">
        <v>1222</v>
      </c>
      <c r="E229" s="124">
        <v>1216</v>
      </c>
      <c r="F229" s="125"/>
      <c r="G229" s="124">
        <v>1206</v>
      </c>
      <c r="H229" s="124">
        <v>1202</v>
      </c>
      <c r="I229" s="124"/>
      <c r="J229" s="124">
        <v>1187</v>
      </c>
      <c r="K229" s="124">
        <v>1185</v>
      </c>
      <c r="L229" s="124">
        <v>1183</v>
      </c>
      <c r="M229" s="124">
        <v>1180</v>
      </c>
    </row>
    <row r="230" spans="1:13" s="122" customFormat="1" ht="34.5" customHeight="1" x14ac:dyDescent="0.25">
      <c r="A230" s="123">
        <v>17</v>
      </c>
      <c r="B230" s="124">
        <v>1225</v>
      </c>
      <c r="C230" s="124">
        <v>1225</v>
      </c>
      <c r="D230" s="124">
        <v>1222</v>
      </c>
      <c r="E230" s="124">
        <v>1216</v>
      </c>
      <c r="F230" s="125"/>
      <c r="G230" s="124">
        <v>1205</v>
      </c>
      <c r="H230" s="124">
        <v>1202</v>
      </c>
      <c r="I230" s="124">
        <v>1196</v>
      </c>
      <c r="J230" s="124">
        <v>1187</v>
      </c>
      <c r="K230" s="124"/>
      <c r="L230" s="124">
        <v>1183</v>
      </c>
      <c r="M230" s="124">
        <v>1180</v>
      </c>
    </row>
    <row r="231" spans="1:13" s="122" customFormat="1" ht="34.5" customHeight="1" x14ac:dyDescent="0.25">
      <c r="A231" s="123">
        <v>18</v>
      </c>
      <c r="B231" s="124"/>
      <c r="C231" s="124">
        <v>1225</v>
      </c>
      <c r="D231" s="124">
        <v>1220</v>
      </c>
      <c r="E231" s="124"/>
      <c r="F231" s="125">
        <v>1212</v>
      </c>
      <c r="G231" s="124">
        <v>1205</v>
      </c>
      <c r="H231" s="124"/>
      <c r="I231" s="124">
        <v>1196</v>
      </c>
      <c r="J231" s="124">
        <v>1187</v>
      </c>
      <c r="K231" s="124"/>
      <c r="L231" s="124">
        <v>1183</v>
      </c>
      <c r="M231" s="124">
        <v>1180</v>
      </c>
    </row>
    <row r="232" spans="1:13" s="122" customFormat="1" ht="34.5" customHeight="1" x14ac:dyDescent="0.25">
      <c r="A232" s="123">
        <v>19</v>
      </c>
      <c r="B232" s="124"/>
      <c r="C232" s="124">
        <v>1225</v>
      </c>
      <c r="D232" s="124">
        <v>1220</v>
      </c>
      <c r="E232" s="124"/>
      <c r="F232" s="125">
        <v>1212</v>
      </c>
      <c r="G232" s="124">
        <v>1205</v>
      </c>
      <c r="H232" s="124"/>
      <c r="I232" s="124">
        <v>1196</v>
      </c>
      <c r="J232" s="124"/>
      <c r="K232" s="124">
        <v>1184</v>
      </c>
      <c r="L232" s="124">
        <v>1183</v>
      </c>
      <c r="M232" s="124"/>
    </row>
    <row r="233" spans="1:13" s="122" customFormat="1" ht="34.5" customHeight="1" x14ac:dyDescent="0.25">
      <c r="A233" s="123">
        <v>20</v>
      </c>
      <c r="B233" s="124">
        <v>1225</v>
      </c>
      <c r="C233" s="124">
        <v>1225</v>
      </c>
      <c r="D233" s="124"/>
      <c r="E233" s="124">
        <v>1216</v>
      </c>
      <c r="F233" s="125">
        <v>1212</v>
      </c>
      <c r="G233" s="124"/>
      <c r="H233" s="124">
        <v>1202</v>
      </c>
      <c r="I233" s="124">
        <v>1196</v>
      </c>
      <c r="J233" s="124"/>
      <c r="K233" s="124">
        <v>1184</v>
      </c>
      <c r="L233" s="124">
        <v>1183</v>
      </c>
      <c r="M233" s="124"/>
    </row>
    <row r="234" spans="1:13" s="122" customFormat="1" ht="34.5" customHeight="1" x14ac:dyDescent="0.25">
      <c r="A234" s="123">
        <v>21</v>
      </c>
      <c r="B234" s="124">
        <v>1225</v>
      </c>
      <c r="C234" s="124">
        <v>1225</v>
      </c>
      <c r="D234" s="124"/>
      <c r="E234" s="124">
        <v>1216</v>
      </c>
      <c r="F234" s="125">
        <v>1212</v>
      </c>
      <c r="G234" s="124"/>
      <c r="H234" s="124">
        <v>1202</v>
      </c>
      <c r="I234" s="124">
        <v>1196</v>
      </c>
      <c r="J234" s="124">
        <v>1187</v>
      </c>
      <c r="K234" s="124">
        <v>1184</v>
      </c>
      <c r="L234" s="124"/>
      <c r="M234" s="124">
        <v>1180</v>
      </c>
    </row>
    <row r="235" spans="1:13" s="122" customFormat="1" ht="34.5" customHeight="1" x14ac:dyDescent="0.25">
      <c r="A235" s="123">
        <v>22</v>
      </c>
      <c r="B235" s="124">
        <v>1225</v>
      </c>
      <c r="C235" s="124"/>
      <c r="D235" s="124"/>
      <c r="E235" s="124">
        <v>1215</v>
      </c>
      <c r="F235" s="125">
        <v>1212</v>
      </c>
      <c r="G235" s="124">
        <v>1204</v>
      </c>
      <c r="H235" s="124">
        <v>1201</v>
      </c>
      <c r="I235" s="124"/>
      <c r="J235" s="124">
        <v>1186</v>
      </c>
      <c r="K235" s="124">
        <v>1184</v>
      </c>
      <c r="L235" s="124"/>
      <c r="M235" s="124">
        <v>1180</v>
      </c>
    </row>
    <row r="236" spans="1:13" s="122" customFormat="1" ht="34.5" customHeight="1" x14ac:dyDescent="0.25">
      <c r="A236" s="123">
        <v>23</v>
      </c>
      <c r="B236" s="124">
        <v>1225</v>
      </c>
      <c r="C236" s="124"/>
      <c r="D236" s="124">
        <v>1220</v>
      </c>
      <c r="E236" s="124">
        <v>1215</v>
      </c>
      <c r="F236" s="125"/>
      <c r="G236" s="124">
        <v>1202</v>
      </c>
      <c r="H236" s="124">
        <v>1201</v>
      </c>
      <c r="I236" s="124"/>
      <c r="J236" s="124">
        <v>1186</v>
      </c>
      <c r="K236" s="124">
        <v>1184</v>
      </c>
      <c r="L236" s="124">
        <v>1182</v>
      </c>
      <c r="M236" s="124">
        <v>1180</v>
      </c>
    </row>
    <row r="237" spans="1:13" s="122" customFormat="1" ht="34.5" customHeight="1" x14ac:dyDescent="0.25">
      <c r="A237" s="123">
        <v>24</v>
      </c>
      <c r="B237" s="124">
        <v>1225</v>
      </c>
      <c r="C237" s="124">
        <v>1225</v>
      </c>
      <c r="D237" s="124">
        <v>1220</v>
      </c>
      <c r="E237" s="124">
        <v>1215</v>
      </c>
      <c r="F237" s="125"/>
      <c r="G237" s="124">
        <v>1202</v>
      </c>
      <c r="H237" s="124">
        <v>1201</v>
      </c>
      <c r="I237" s="124">
        <v>1195</v>
      </c>
      <c r="J237" s="124">
        <v>1186</v>
      </c>
      <c r="K237" s="124"/>
      <c r="L237" s="124">
        <v>1182</v>
      </c>
      <c r="M237" s="124">
        <v>1180</v>
      </c>
    </row>
    <row r="238" spans="1:13" s="122" customFormat="1" ht="34.5" customHeight="1" x14ac:dyDescent="0.25">
      <c r="A238" s="123">
        <v>25</v>
      </c>
      <c r="B238" s="124"/>
      <c r="C238" s="124">
        <v>1225</v>
      </c>
      <c r="D238" s="124">
        <v>1219</v>
      </c>
      <c r="E238" s="124"/>
      <c r="F238" s="125">
        <v>1212</v>
      </c>
      <c r="G238" s="124">
        <v>1202</v>
      </c>
      <c r="H238" s="124"/>
      <c r="I238" s="124">
        <v>1193</v>
      </c>
      <c r="J238" s="124">
        <v>1186</v>
      </c>
      <c r="K238" s="124"/>
      <c r="L238" s="124">
        <v>1182</v>
      </c>
      <c r="M238" s="124"/>
    </row>
    <row r="239" spans="1:13" s="122" customFormat="1" ht="34.5" customHeight="1" x14ac:dyDescent="0.25">
      <c r="A239" s="123">
        <v>26</v>
      </c>
      <c r="B239" s="124"/>
      <c r="C239" s="124">
        <v>1225</v>
      </c>
      <c r="D239" s="124">
        <v>1219</v>
      </c>
      <c r="E239" s="124"/>
      <c r="F239" s="125">
        <v>1211</v>
      </c>
      <c r="G239" s="124">
        <v>1202</v>
      </c>
      <c r="H239" s="124"/>
      <c r="I239" s="124">
        <v>1193</v>
      </c>
      <c r="J239" s="124"/>
      <c r="K239" s="124">
        <v>1183</v>
      </c>
      <c r="L239" s="124">
        <v>1182</v>
      </c>
      <c r="M239" s="124"/>
    </row>
    <row r="240" spans="1:13" s="122" customFormat="1" ht="34.5" customHeight="1" x14ac:dyDescent="0.25">
      <c r="A240" s="123">
        <v>27</v>
      </c>
      <c r="B240" s="124">
        <v>1225</v>
      </c>
      <c r="C240" s="124">
        <v>1225</v>
      </c>
      <c r="D240" s="124">
        <v>1219</v>
      </c>
      <c r="E240" s="124">
        <v>1215</v>
      </c>
      <c r="F240" s="125">
        <v>1209</v>
      </c>
      <c r="G240" s="124"/>
      <c r="H240" s="124">
        <v>1201</v>
      </c>
      <c r="I240" s="124">
        <v>1192</v>
      </c>
      <c r="J240" s="124"/>
      <c r="K240" s="124">
        <v>1183</v>
      </c>
      <c r="L240" s="124">
        <v>1182</v>
      </c>
      <c r="M240" s="124"/>
    </row>
    <row r="241" spans="1:14" s="122" customFormat="1" ht="34.5" customHeight="1" x14ac:dyDescent="0.25">
      <c r="A241" s="123">
        <v>28</v>
      </c>
      <c r="B241" s="124">
        <v>1225</v>
      </c>
      <c r="C241" s="124">
        <v>1225</v>
      </c>
      <c r="D241" s="124"/>
      <c r="E241" s="124">
        <v>1215</v>
      </c>
      <c r="F241" s="125">
        <v>1209</v>
      </c>
      <c r="G241" s="124"/>
      <c r="H241" s="124">
        <v>1201</v>
      </c>
      <c r="I241" s="124">
        <v>1192</v>
      </c>
      <c r="J241" s="124">
        <v>1186</v>
      </c>
      <c r="K241" s="124">
        <v>1183</v>
      </c>
      <c r="L241" s="124"/>
      <c r="M241" s="124">
        <v>1180</v>
      </c>
    </row>
    <row r="242" spans="1:14" s="122" customFormat="1" ht="34.5" customHeight="1" x14ac:dyDescent="0.25">
      <c r="A242" s="123">
        <v>29</v>
      </c>
      <c r="B242" s="124">
        <v>1226</v>
      </c>
      <c r="C242" s="124"/>
      <c r="D242" s="124"/>
      <c r="E242" s="124">
        <v>1215</v>
      </c>
      <c r="F242" s="125">
        <v>1209</v>
      </c>
      <c r="G242" s="124">
        <v>1202</v>
      </c>
      <c r="H242" s="124"/>
      <c r="I242" s="124"/>
      <c r="J242" s="124">
        <v>1186</v>
      </c>
      <c r="K242" s="124">
        <v>1183</v>
      </c>
      <c r="L242" s="124"/>
      <c r="M242" s="124"/>
    </row>
    <row r="243" spans="1:14" s="122" customFormat="1" ht="34.5" customHeight="1" x14ac:dyDescent="0.25">
      <c r="A243" s="123">
        <v>30</v>
      </c>
      <c r="B243" s="124">
        <v>1225</v>
      </c>
      <c r="C243" s="126"/>
      <c r="D243" s="124"/>
      <c r="E243" s="124">
        <v>1215</v>
      </c>
      <c r="F243" s="125"/>
      <c r="G243" s="124">
        <v>1202</v>
      </c>
      <c r="H243" s="124">
        <v>1200</v>
      </c>
      <c r="I243" s="124"/>
      <c r="J243" s="124"/>
      <c r="K243" s="124">
        <v>1184</v>
      </c>
      <c r="L243" s="124">
        <v>1181</v>
      </c>
      <c r="M243" s="124">
        <v>1180</v>
      </c>
    </row>
    <row r="244" spans="1:14" s="122" customFormat="1" ht="34.5" customHeight="1" thickBot="1" x14ac:dyDescent="0.3">
      <c r="A244" s="127">
        <v>31</v>
      </c>
      <c r="B244" s="129">
        <v>1225</v>
      </c>
      <c r="C244" s="129"/>
      <c r="D244" s="129">
        <v>1218</v>
      </c>
      <c r="E244" s="128"/>
      <c r="F244" s="130"/>
      <c r="G244" s="128"/>
      <c r="H244" s="129">
        <v>1200</v>
      </c>
      <c r="I244" s="129">
        <v>1191</v>
      </c>
      <c r="J244" s="128"/>
      <c r="K244" s="129"/>
      <c r="L244" s="128"/>
      <c r="M244" s="129">
        <v>1180</v>
      </c>
    </row>
    <row r="245" spans="1:14" s="122" customFormat="1" ht="34.5" customHeight="1" thickBot="1" x14ac:dyDescent="0.3">
      <c r="A245" s="161" t="s">
        <v>15</v>
      </c>
      <c r="B245" s="162">
        <f>AVERAGE(B214:B244)</f>
        <v>1224.6190476190477</v>
      </c>
      <c r="C245" s="162">
        <f t="shared" ref="C245:J245" si="6">AVERAGE(C214:C244)</f>
        <v>1225</v>
      </c>
      <c r="D245" s="162">
        <f t="shared" si="6"/>
        <v>1221.9000000000001</v>
      </c>
      <c r="E245" s="162">
        <f t="shared" si="6"/>
        <v>1215.9047619047619</v>
      </c>
      <c r="F245" s="162">
        <f t="shared" si="6"/>
        <v>1212.3499999999999</v>
      </c>
      <c r="G245" s="162">
        <f t="shared" si="6"/>
        <v>1205.1818181818182</v>
      </c>
      <c r="H245" s="162">
        <f t="shared" si="6"/>
        <v>1201.5238095238096</v>
      </c>
      <c r="I245" s="162">
        <f t="shared" si="6"/>
        <v>1195.9047619047619</v>
      </c>
      <c r="J245" s="162">
        <f t="shared" si="6"/>
        <v>1187.7619047619048</v>
      </c>
      <c r="K245" s="162">
        <f>AVERAGE(K214:K244)</f>
        <v>1184.6500000000001</v>
      </c>
      <c r="L245" s="162">
        <f>AVERAGE(L214:L244)</f>
        <v>1182.952380952381</v>
      </c>
      <c r="M245" s="162">
        <f>AVERAGE(M214:M244)</f>
        <v>1180.1764705882354</v>
      </c>
    </row>
    <row r="246" spans="1:14" s="66" customFormat="1" ht="34.5" customHeight="1" x14ac:dyDescent="0.25">
      <c r="A246" s="206" t="s">
        <v>25</v>
      </c>
      <c r="B246" s="206"/>
      <c r="C246" s="206"/>
      <c r="D246" s="206"/>
      <c r="E246" s="206"/>
      <c r="F246" s="206"/>
      <c r="G246" s="206"/>
      <c r="H246" s="206"/>
      <c r="I246" s="206"/>
      <c r="J246" s="206"/>
      <c r="K246" s="206"/>
      <c r="L246" s="206"/>
      <c r="M246" s="206"/>
    </row>
    <row r="247" spans="1:14" s="66" customFormat="1" ht="34.5" customHeight="1" thickBot="1" x14ac:dyDescent="0.3">
      <c r="A247" s="207" t="s">
        <v>1</v>
      </c>
      <c r="B247" s="207"/>
      <c r="C247" s="207"/>
      <c r="D247" s="207"/>
      <c r="E247" s="207"/>
      <c r="F247" s="207"/>
      <c r="G247" s="207"/>
      <c r="H247" s="207"/>
      <c r="I247" s="207"/>
      <c r="J247" s="207"/>
      <c r="K247" s="207"/>
      <c r="L247" s="207"/>
      <c r="M247" s="207"/>
    </row>
    <row r="248" spans="1:14" ht="34.5" customHeight="1" thickBot="1" x14ac:dyDescent="0.3">
      <c r="A248" s="119" t="s">
        <v>2</v>
      </c>
      <c r="B248" s="120" t="s">
        <v>3</v>
      </c>
      <c r="C248" s="120" t="s">
        <v>4</v>
      </c>
      <c r="D248" s="120" t="s">
        <v>5</v>
      </c>
      <c r="E248" s="120" t="s">
        <v>6</v>
      </c>
      <c r="F248" s="120" t="s">
        <v>7</v>
      </c>
      <c r="G248" s="120" t="s">
        <v>8</v>
      </c>
      <c r="H248" s="120" t="s">
        <v>9</v>
      </c>
      <c r="I248" s="120" t="s">
        <v>10</v>
      </c>
      <c r="J248" s="120" t="s">
        <v>11</v>
      </c>
      <c r="K248" s="120" t="s">
        <v>12</v>
      </c>
      <c r="L248" s="120" t="s">
        <v>21</v>
      </c>
      <c r="M248" s="120" t="s">
        <v>14</v>
      </c>
      <c r="N248" s="78"/>
    </row>
    <row r="249" spans="1:14" s="122" customFormat="1" ht="34.5" customHeight="1" x14ac:dyDescent="0.25">
      <c r="A249" s="121">
        <v>1</v>
      </c>
      <c r="B249" s="70"/>
      <c r="C249" s="70"/>
      <c r="D249" s="70">
        <v>1178</v>
      </c>
      <c r="E249" s="70">
        <v>1178</v>
      </c>
      <c r="F249" s="69"/>
      <c r="G249" s="70">
        <v>1179</v>
      </c>
      <c r="H249" s="70">
        <v>1184</v>
      </c>
      <c r="I249" s="70"/>
      <c r="J249" s="70">
        <v>1183</v>
      </c>
      <c r="K249" s="70">
        <v>1183</v>
      </c>
      <c r="L249" s="70">
        <v>1183</v>
      </c>
      <c r="M249" s="70">
        <v>1184</v>
      </c>
    </row>
    <row r="250" spans="1:14" s="122" customFormat="1" ht="34.5" customHeight="1" x14ac:dyDescent="0.25">
      <c r="A250" s="123">
        <v>2</v>
      </c>
      <c r="B250" s="124"/>
      <c r="C250" s="124">
        <v>1178</v>
      </c>
      <c r="D250" s="124">
        <v>1178</v>
      </c>
      <c r="E250" s="124">
        <v>1178</v>
      </c>
      <c r="F250" s="125"/>
      <c r="G250" s="124">
        <v>1179</v>
      </c>
      <c r="H250" s="124">
        <v>1184</v>
      </c>
      <c r="I250" s="124">
        <v>1184</v>
      </c>
      <c r="J250" s="124">
        <v>1183</v>
      </c>
      <c r="K250" s="124"/>
      <c r="L250" s="124">
        <v>1183</v>
      </c>
      <c r="M250" s="124">
        <v>1184</v>
      </c>
    </row>
    <row r="251" spans="1:14" s="122" customFormat="1" ht="34.5" customHeight="1" x14ac:dyDescent="0.25">
      <c r="A251" s="123">
        <v>3</v>
      </c>
      <c r="B251" s="124"/>
      <c r="C251" s="124">
        <v>1178</v>
      </c>
      <c r="D251" s="124">
        <v>1178</v>
      </c>
      <c r="E251" s="124"/>
      <c r="F251" s="125">
        <v>1187</v>
      </c>
      <c r="G251" s="124">
        <v>1179</v>
      </c>
      <c r="H251" s="124"/>
      <c r="I251" s="124">
        <v>1184</v>
      </c>
      <c r="J251" s="124">
        <v>1183</v>
      </c>
      <c r="K251" s="124"/>
      <c r="L251" s="124">
        <v>1183</v>
      </c>
      <c r="M251" s="124">
        <v>1184</v>
      </c>
    </row>
    <row r="252" spans="1:14" s="122" customFormat="1" ht="34.5" customHeight="1" x14ac:dyDescent="0.25">
      <c r="A252" s="123">
        <v>4</v>
      </c>
      <c r="B252" s="124"/>
      <c r="C252" s="124">
        <v>1178</v>
      </c>
      <c r="D252" s="124">
        <v>1178</v>
      </c>
      <c r="E252" s="124"/>
      <c r="F252" s="125">
        <v>1188</v>
      </c>
      <c r="G252" s="124">
        <v>1179</v>
      </c>
      <c r="H252" s="124"/>
      <c r="I252" s="124">
        <v>1184</v>
      </c>
      <c r="J252" s="124"/>
      <c r="K252" s="124">
        <v>1183</v>
      </c>
      <c r="L252" s="124">
        <v>1183</v>
      </c>
      <c r="M252" s="124"/>
    </row>
    <row r="253" spans="1:14" s="122" customFormat="1" ht="34.5" customHeight="1" x14ac:dyDescent="0.25">
      <c r="A253" s="123">
        <v>5</v>
      </c>
      <c r="B253" s="124">
        <v>1180</v>
      </c>
      <c r="C253" s="124">
        <v>1178</v>
      </c>
      <c r="D253" s="124">
        <v>1178</v>
      </c>
      <c r="E253" s="124">
        <v>1178</v>
      </c>
      <c r="F253" s="125">
        <v>1193</v>
      </c>
      <c r="G253" s="124"/>
      <c r="H253" s="124">
        <v>1184</v>
      </c>
      <c r="I253" s="124">
        <v>1184</v>
      </c>
      <c r="J253" s="124"/>
      <c r="K253" s="124">
        <v>1183</v>
      </c>
      <c r="L253" s="124">
        <v>1183</v>
      </c>
      <c r="M253" s="124"/>
    </row>
    <row r="254" spans="1:14" s="122" customFormat="1" ht="34.5" customHeight="1" x14ac:dyDescent="0.25">
      <c r="A254" s="123">
        <v>6</v>
      </c>
      <c r="B254" s="124"/>
      <c r="C254" s="124"/>
      <c r="D254" s="124"/>
      <c r="E254" s="124">
        <v>1178</v>
      </c>
      <c r="F254" s="125">
        <v>1210</v>
      </c>
      <c r="G254" s="124"/>
      <c r="H254" s="124">
        <v>1185</v>
      </c>
      <c r="I254" s="124">
        <v>1184</v>
      </c>
      <c r="J254" s="124">
        <v>1183</v>
      </c>
      <c r="K254" s="124">
        <v>1183</v>
      </c>
      <c r="L254" s="124"/>
      <c r="M254" s="124">
        <v>1184</v>
      </c>
    </row>
    <row r="255" spans="1:14" s="122" customFormat="1" ht="34.5" customHeight="1" x14ac:dyDescent="0.25">
      <c r="A255" s="123">
        <v>7</v>
      </c>
      <c r="B255" s="124"/>
      <c r="C255" s="124"/>
      <c r="D255" s="124"/>
      <c r="E255" s="124">
        <v>1178</v>
      </c>
      <c r="F255" s="125">
        <v>1210</v>
      </c>
      <c r="G255" s="124">
        <v>1179</v>
      </c>
      <c r="H255" s="124">
        <v>1185</v>
      </c>
      <c r="I255" s="124"/>
      <c r="J255" s="124">
        <v>1183</v>
      </c>
      <c r="K255" s="124">
        <v>1183</v>
      </c>
      <c r="L255" s="124"/>
      <c r="M255" s="124">
        <v>1184</v>
      </c>
    </row>
    <row r="256" spans="1:14" s="122" customFormat="1" ht="34.5" customHeight="1" x14ac:dyDescent="0.25">
      <c r="A256" s="123">
        <v>8</v>
      </c>
      <c r="B256" s="124">
        <v>1179</v>
      </c>
      <c r="C256" s="124">
        <v>1178</v>
      </c>
      <c r="D256" s="124">
        <v>1178</v>
      </c>
      <c r="E256" s="124">
        <v>1178</v>
      </c>
      <c r="F256" s="125"/>
      <c r="G256" s="124">
        <v>1179</v>
      </c>
      <c r="H256" s="124">
        <v>1185</v>
      </c>
      <c r="I256" s="124"/>
      <c r="J256" s="124">
        <v>1183</v>
      </c>
      <c r="K256" s="124">
        <v>1183</v>
      </c>
      <c r="L256" s="124">
        <v>1183</v>
      </c>
      <c r="M256" s="124">
        <v>1184</v>
      </c>
    </row>
    <row r="257" spans="1:13" s="122" customFormat="1" ht="34.5" customHeight="1" x14ac:dyDescent="0.25">
      <c r="A257" s="123">
        <v>9</v>
      </c>
      <c r="B257" s="124"/>
      <c r="C257" s="124">
        <v>1178</v>
      </c>
      <c r="D257" s="124"/>
      <c r="E257" s="124">
        <v>1178</v>
      </c>
      <c r="F257" s="125"/>
      <c r="G257" s="124">
        <v>1179</v>
      </c>
      <c r="H257" s="124">
        <v>1185</v>
      </c>
      <c r="I257" s="124">
        <v>1184</v>
      </c>
      <c r="J257" s="124">
        <v>1183</v>
      </c>
      <c r="K257" s="124"/>
      <c r="L257" s="124">
        <v>1183</v>
      </c>
      <c r="M257" s="124">
        <v>1185</v>
      </c>
    </row>
    <row r="258" spans="1:13" s="122" customFormat="1" ht="34.5" customHeight="1" x14ac:dyDescent="0.25">
      <c r="A258" s="123">
        <v>10</v>
      </c>
      <c r="B258" s="124"/>
      <c r="C258" s="124">
        <v>1178</v>
      </c>
      <c r="D258" s="124">
        <v>1178</v>
      </c>
      <c r="E258" s="124"/>
      <c r="F258" s="125">
        <v>1193</v>
      </c>
      <c r="G258" s="124">
        <v>1179</v>
      </c>
      <c r="H258" s="124"/>
      <c r="I258" s="124">
        <v>1184</v>
      </c>
      <c r="J258" s="124">
        <v>1183</v>
      </c>
      <c r="K258" s="124"/>
      <c r="L258" s="124">
        <v>1183</v>
      </c>
      <c r="M258" s="124">
        <v>1185</v>
      </c>
    </row>
    <row r="259" spans="1:13" s="122" customFormat="1" ht="34.5" customHeight="1" x14ac:dyDescent="0.25">
      <c r="A259" s="123">
        <v>11</v>
      </c>
      <c r="B259" s="124">
        <v>1179</v>
      </c>
      <c r="C259" s="124">
        <v>1178</v>
      </c>
      <c r="D259" s="124">
        <v>1178</v>
      </c>
      <c r="E259" s="124"/>
      <c r="F259" s="125">
        <v>1188</v>
      </c>
      <c r="G259" s="124">
        <v>1179</v>
      </c>
      <c r="H259" s="124"/>
      <c r="I259" s="124">
        <v>1184</v>
      </c>
      <c r="J259" s="124"/>
      <c r="K259" s="124">
        <v>1183</v>
      </c>
      <c r="L259" s="124">
        <v>1183</v>
      </c>
      <c r="M259" s="124"/>
    </row>
    <row r="260" spans="1:13" s="122" customFormat="1" ht="34.5" customHeight="1" x14ac:dyDescent="0.25">
      <c r="A260" s="123">
        <v>12</v>
      </c>
      <c r="B260" s="124">
        <v>1179</v>
      </c>
      <c r="C260" s="124">
        <v>1178</v>
      </c>
      <c r="D260" s="124">
        <v>1178</v>
      </c>
      <c r="E260" s="124">
        <v>1178</v>
      </c>
      <c r="F260" s="125">
        <v>1182</v>
      </c>
      <c r="G260" s="124"/>
      <c r="H260" s="124">
        <v>1185</v>
      </c>
      <c r="I260" s="124">
        <v>1184</v>
      </c>
      <c r="J260" s="124"/>
      <c r="K260" s="124">
        <v>1183</v>
      </c>
      <c r="L260" s="124">
        <v>1183</v>
      </c>
      <c r="M260" s="124"/>
    </row>
    <row r="261" spans="1:13" s="122" customFormat="1" ht="34.5" customHeight="1" x14ac:dyDescent="0.25">
      <c r="A261" s="123">
        <v>13</v>
      </c>
      <c r="B261" s="124">
        <v>1179</v>
      </c>
      <c r="C261" s="124"/>
      <c r="D261" s="124"/>
      <c r="E261" s="124">
        <v>1178</v>
      </c>
      <c r="F261" s="125">
        <v>1185</v>
      </c>
      <c r="G261" s="124"/>
      <c r="H261" s="124">
        <v>1185</v>
      </c>
      <c r="I261" s="124">
        <v>1184</v>
      </c>
      <c r="J261" s="124">
        <v>1183</v>
      </c>
      <c r="K261" s="124">
        <v>1183</v>
      </c>
      <c r="L261" s="124"/>
      <c r="M261" s="124">
        <v>1185</v>
      </c>
    </row>
    <row r="262" spans="1:13" s="122" customFormat="1" ht="34.5" customHeight="1" x14ac:dyDescent="0.25">
      <c r="A262" s="123">
        <v>14</v>
      </c>
      <c r="B262" s="124">
        <v>1179</v>
      </c>
      <c r="C262" s="124"/>
      <c r="D262" s="124"/>
      <c r="E262" s="124">
        <v>1178</v>
      </c>
      <c r="F262" s="125">
        <v>1189</v>
      </c>
      <c r="G262" s="124">
        <v>1179</v>
      </c>
      <c r="H262" s="124"/>
      <c r="I262" s="124"/>
      <c r="J262" s="124">
        <v>1183</v>
      </c>
      <c r="K262" s="124">
        <v>1183</v>
      </c>
      <c r="L262" s="124"/>
      <c r="M262" s="124">
        <v>1185</v>
      </c>
    </row>
    <row r="263" spans="1:13" s="122" customFormat="1" ht="34.5" customHeight="1" x14ac:dyDescent="0.25">
      <c r="A263" s="123">
        <v>15</v>
      </c>
      <c r="B263" s="124">
        <v>1179</v>
      </c>
      <c r="C263" s="124">
        <v>1178</v>
      </c>
      <c r="D263" s="124">
        <v>1178</v>
      </c>
      <c r="E263" s="124">
        <v>1178</v>
      </c>
      <c r="F263" s="125"/>
      <c r="G263" s="124">
        <v>1179</v>
      </c>
      <c r="H263" s="124">
        <v>1185</v>
      </c>
      <c r="I263" s="124"/>
      <c r="J263" s="124">
        <v>1183</v>
      </c>
      <c r="K263" s="124">
        <v>1183</v>
      </c>
      <c r="L263" s="124">
        <v>1183</v>
      </c>
      <c r="M263" s="124">
        <v>1185</v>
      </c>
    </row>
    <row r="264" spans="1:13" s="122" customFormat="1" ht="34.5" customHeight="1" x14ac:dyDescent="0.25">
      <c r="A264" s="123">
        <v>16</v>
      </c>
      <c r="B264" s="124"/>
      <c r="C264" s="124">
        <v>1178</v>
      </c>
      <c r="D264" s="124">
        <v>1178</v>
      </c>
      <c r="E264" s="124">
        <v>1178</v>
      </c>
      <c r="F264" s="125"/>
      <c r="G264" s="124">
        <v>1178</v>
      </c>
      <c r="H264" s="124">
        <v>1185</v>
      </c>
      <c r="I264" s="124">
        <v>1184</v>
      </c>
      <c r="J264" s="124">
        <v>1183</v>
      </c>
      <c r="K264" s="124"/>
      <c r="L264" s="124">
        <v>1183</v>
      </c>
      <c r="M264" s="124">
        <v>1185</v>
      </c>
    </row>
    <row r="265" spans="1:13" s="122" customFormat="1" ht="34.5" customHeight="1" x14ac:dyDescent="0.25">
      <c r="A265" s="123">
        <v>17</v>
      </c>
      <c r="B265" s="124"/>
      <c r="C265" s="124">
        <v>1178</v>
      </c>
      <c r="D265" s="124">
        <v>1178</v>
      </c>
      <c r="E265" s="124"/>
      <c r="F265" s="125">
        <v>1183</v>
      </c>
      <c r="G265" s="124">
        <v>1178</v>
      </c>
      <c r="H265" s="124"/>
      <c r="I265" s="124">
        <v>1184</v>
      </c>
      <c r="J265" s="124">
        <v>1183</v>
      </c>
      <c r="K265" s="124"/>
      <c r="L265" s="124">
        <v>1183</v>
      </c>
      <c r="M265" s="124">
        <v>1185</v>
      </c>
    </row>
    <row r="266" spans="1:13" s="122" customFormat="1" ht="34.5" customHeight="1" x14ac:dyDescent="0.25">
      <c r="A266" s="123">
        <v>18</v>
      </c>
      <c r="B266" s="124">
        <v>1178</v>
      </c>
      <c r="C266" s="124">
        <v>1178</v>
      </c>
      <c r="D266" s="124">
        <v>1178</v>
      </c>
      <c r="E266" s="124"/>
      <c r="F266" s="125">
        <v>1182</v>
      </c>
      <c r="G266" s="124">
        <v>1178</v>
      </c>
      <c r="H266" s="124"/>
      <c r="I266" s="124">
        <v>1184</v>
      </c>
      <c r="J266" s="124"/>
      <c r="K266" s="124">
        <v>1183</v>
      </c>
      <c r="L266" s="124">
        <v>1183</v>
      </c>
      <c r="M266" s="124"/>
    </row>
    <row r="267" spans="1:13" s="122" customFormat="1" ht="34.5" customHeight="1" x14ac:dyDescent="0.25">
      <c r="A267" s="123">
        <v>19</v>
      </c>
      <c r="B267" s="124">
        <v>1178</v>
      </c>
      <c r="C267" s="124">
        <v>1178</v>
      </c>
      <c r="D267" s="124">
        <v>1178</v>
      </c>
      <c r="E267" s="124">
        <v>1178</v>
      </c>
      <c r="F267" s="125">
        <v>1182</v>
      </c>
      <c r="G267" s="124"/>
      <c r="H267" s="124">
        <v>1184</v>
      </c>
      <c r="I267" s="124">
        <v>1184</v>
      </c>
      <c r="J267" s="124"/>
      <c r="K267" s="124">
        <v>1183</v>
      </c>
      <c r="L267" s="124">
        <v>1183</v>
      </c>
      <c r="M267" s="124"/>
    </row>
    <row r="268" spans="1:13" s="122" customFormat="1" ht="34.5" customHeight="1" x14ac:dyDescent="0.25">
      <c r="A268" s="123">
        <v>20</v>
      </c>
      <c r="B268" s="124">
        <v>1178</v>
      </c>
      <c r="C268" s="124"/>
      <c r="D268" s="124"/>
      <c r="E268" s="124">
        <v>1178</v>
      </c>
      <c r="F268" s="125">
        <v>1182</v>
      </c>
      <c r="G268" s="124"/>
      <c r="H268" s="124">
        <v>1184</v>
      </c>
      <c r="I268" s="124">
        <v>1184</v>
      </c>
      <c r="J268" s="124"/>
      <c r="K268" s="124">
        <v>1183</v>
      </c>
      <c r="L268" s="124"/>
      <c r="M268" s="124">
        <v>1185</v>
      </c>
    </row>
    <row r="269" spans="1:13" s="122" customFormat="1" ht="34.5" customHeight="1" x14ac:dyDescent="0.25">
      <c r="A269" s="123">
        <v>21</v>
      </c>
      <c r="B269" s="124">
        <v>1178</v>
      </c>
      <c r="C269" s="124"/>
      <c r="D269" s="124"/>
      <c r="E269" s="124">
        <v>1178</v>
      </c>
      <c r="F269" s="125">
        <v>1182</v>
      </c>
      <c r="G269" s="124">
        <v>1181</v>
      </c>
      <c r="H269" s="124">
        <v>1184</v>
      </c>
      <c r="I269" s="124"/>
      <c r="J269" s="124"/>
      <c r="K269" s="124">
        <v>1183</v>
      </c>
      <c r="L269" s="124"/>
      <c r="M269" s="124">
        <v>1185</v>
      </c>
    </row>
    <row r="270" spans="1:13" s="122" customFormat="1" ht="34.5" customHeight="1" x14ac:dyDescent="0.25">
      <c r="A270" s="123">
        <v>22</v>
      </c>
      <c r="B270" s="124">
        <v>1178</v>
      </c>
      <c r="C270" s="124">
        <v>1178</v>
      </c>
      <c r="D270" s="124">
        <v>1178</v>
      </c>
      <c r="E270" s="124">
        <v>1178</v>
      </c>
      <c r="F270" s="125"/>
      <c r="G270" s="124">
        <v>1184</v>
      </c>
      <c r="H270" s="124">
        <v>1184</v>
      </c>
      <c r="I270" s="124"/>
      <c r="J270" s="124"/>
      <c r="K270" s="124">
        <v>1183</v>
      </c>
      <c r="L270" s="124">
        <v>1183</v>
      </c>
      <c r="M270" s="124">
        <v>1185</v>
      </c>
    </row>
    <row r="271" spans="1:13" s="122" customFormat="1" ht="34.5" customHeight="1" x14ac:dyDescent="0.25">
      <c r="A271" s="123">
        <v>23</v>
      </c>
      <c r="B271" s="124"/>
      <c r="C271" s="124">
        <v>1178</v>
      </c>
      <c r="D271" s="124">
        <v>1178</v>
      </c>
      <c r="E271" s="124">
        <v>1178</v>
      </c>
      <c r="F271" s="125"/>
      <c r="G271" s="124">
        <v>1182</v>
      </c>
      <c r="H271" s="124">
        <v>1184</v>
      </c>
      <c r="I271" s="124">
        <v>1184</v>
      </c>
      <c r="J271" s="124"/>
      <c r="K271" s="124"/>
      <c r="L271" s="124">
        <v>1183</v>
      </c>
      <c r="M271" s="124">
        <v>1185</v>
      </c>
    </row>
    <row r="272" spans="1:13" s="122" customFormat="1" ht="34.5" customHeight="1" x14ac:dyDescent="0.25">
      <c r="A272" s="123">
        <v>24</v>
      </c>
      <c r="B272" s="124"/>
      <c r="C272" s="124">
        <v>1178</v>
      </c>
      <c r="D272" s="124">
        <v>1178</v>
      </c>
      <c r="E272" s="124"/>
      <c r="F272" s="125">
        <v>1181</v>
      </c>
      <c r="G272" s="124">
        <v>1181</v>
      </c>
      <c r="H272" s="124"/>
      <c r="I272" s="124">
        <v>1184</v>
      </c>
      <c r="J272" s="124">
        <v>1183</v>
      </c>
      <c r="K272" s="124"/>
      <c r="L272" s="124">
        <v>1184</v>
      </c>
      <c r="M272" s="124">
        <v>1185</v>
      </c>
    </row>
    <row r="273" spans="1:14" s="122" customFormat="1" ht="34.5" customHeight="1" x14ac:dyDescent="0.25">
      <c r="A273" s="123">
        <v>25</v>
      </c>
      <c r="B273" s="124">
        <v>1178</v>
      </c>
      <c r="C273" s="124">
        <v>1178</v>
      </c>
      <c r="D273" s="124">
        <v>1178</v>
      </c>
      <c r="E273" s="124"/>
      <c r="F273" s="125">
        <v>1181</v>
      </c>
      <c r="G273" s="124">
        <v>1181</v>
      </c>
      <c r="H273" s="124"/>
      <c r="I273" s="124">
        <v>1184</v>
      </c>
      <c r="J273" s="124"/>
      <c r="K273" s="124">
        <v>1183</v>
      </c>
      <c r="L273" s="124">
        <v>1184</v>
      </c>
      <c r="M273" s="124"/>
    </row>
    <row r="274" spans="1:14" s="122" customFormat="1" ht="34.5" customHeight="1" x14ac:dyDescent="0.25">
      <c r="A274" s="123">
        <v>26</v>
      </c>
      <c r="B274" s="124">
        <v>1178</v>
      </c>
      <c r="C274" s="124">
        <v>1178</v>
      </c>
      <c r="D274" s="124">
        <v>1178</v>
      </c>
      <c r="E274" s="124">
        <v>1181</v>
      </c>
      <c r="F274" s="125">
        <v>1180</v>
      </c>
      <c r="G274" s="124"/>
      <c r="H274" s="124">
        <v>1184</v>
      </c>
      <c r="I274" s="124">
        <v>1184</v>
      </c>
      <c r="J274" s="124"/>
      <c r="K274" s="124">
        <v>1183</v>
      </c>
      <c r="L274" s="124">
        <v>1184</v>
      </c>
      <c r="M274" s="124"/>
    </row>
    <row r="275" spans="1:14" s="122" customFormat="1" ht="34.5" customHeight="1" x14ac:dyDescent="0.25">
      <c r="A275" s="123">
        <v>27</v>
      </c>
      <c r="B275" s="124">
        <v>1178</v>
      </c>
      <c r="C275" s="124"/>
      <c r="D275" s="124"/>
      <c r="E275" s="124">
        <v>1180</v>
      </c>
      <c r="F275" s="125">
        <v>1180</v>
      </c>
      <c r="G275" s="124"/>
      <c r="H275" s="124">
        <v>1184</v>
      </c>
      <c r="I275" s="124">
        <v>1184</v>
      </c>
      <c r="J275" s="124">
        <v>1183</v>
      </c>
      <c r="K275" s="124">
        <v>1183</v>
      </c>
      <c r="L275" s="124"/>
      <c r="M275" s="124"/>
    </row>
    <row r="276" spans="1:14" s="122" customFormat="1" ht="34.5" customHeight="1" x14ac:dyDescent="0.25">
      <c r="A276" s="123">
        <v>28</v>
      </c>
      <c r="B276" s="124">
        <v>1178</v>
      </c>
      <c r="C276" s="124"/>
      <c r="D276" s="124"/>
      <c r="E276" s="124">
        <v>1180</v>
      </c>
      <c r="F276" s="125">
        <v>1180</v>
      </c>
      <c r="G276" s="124">
        <v>1183</v>
      </c>
      <c r="H276" s="124">
        <v>1184</v>
      </c>
      <c r="I276" s="124"/>
      <c r="J276" s="124">
        <v>1183</v>
      </c>
      <c r="K276" s="124">
        <v>1183</v>
      </c>
      <c r="L276" s="124"/>
      <c r="M276" s="124">
        <v>1185</v>
      </c>
    </row>
    <row r="277" spans="1:14" s="122" customFormat="1" ht="34.5" customHeight="1" x14ac:dyDescent="0.25">
      <c r="A277" s="123">
        <v>29</v>
      </c>
      <c r="B277" s="124">
        <v>1178</v>
      </c>
      <c r="C277" s="124"/>
      <c r="D277" s="124">
        <v>1178</v>
      </c>
      <c r="E277" s="124">
        <v>1183</v>
      </c>
      <c r="F277" s="125"/>
      <c r="G277" s="124">
        <v>1184</v>
      </c>
      <c r="H277" s="124">
        <v>1184</v>
      </c>
      <c r="I277" s="124"/>
      <c r="J277" s="124">
        <v>1183</v>
      </c>
      <c r="K277" s="124">
        <v>1183</v>
      </c>
      <c r="L277" s="124"/>
      <c r="M277" s="124">
        <v>1185</v>
      </c>
    </row>
    <row r="278" spans="1:14" s="122" customFormat="1" ht="34.5" customHeight="1" x14ac:dyDescent="0.25">
      <c r="A278" s="123">
        <v>30</v>
      </c>
      <c r="B278" s="124"/>
      <c r="C278" s="126"/>
      <c r="D278" s="124">
        <v>1178</v>
      </c>
      <c r="E278" s="124">
        <v>1187</v>
      </c>
      <c r="F278" s="125"/>
      <c r="G278" s="124"/>
      <c r="H278" s="124">
        <v>1184</v>
      </c>
      <c r="I278" s="124">
        <v>1184</v>
      </c>
      <c r="J278" s="124">
        <v>1183</v>
      </c>
      <c r="K278" s="124"/>
      <c r="L278" s="124"/>
      <c r="M278" s="124">
        <v>1185</v>
      </c>
    </row>
    <row r="279" spans="1:14" s="122" customFormat="1" ht="34.5" customHeight="1" thickBot="1" x14ac:dyDescent="0.3">
      <c r="A279" s="127">
        <v>31</v>
      </c>
      <c r="B279" s="129"/>
      <c r="C279" s="129"/>
      <c r="D279" s="129">
        <v>1178</v>
      </c>
      <c r="E279" s="128"/>
      <c r="F279" s="130">
        <v>1180</v>
      </c>
      <c r="G279" s="128"/>
      <c r="H279" s="129"/>
      <c r="I279" s="129">
        <v>1184</v>
      </c>
      <c r="J279" s="128"/>
      <c r="K279" s="129"/>
      <c r="L279" s="128"/>
      <c r="M279" s="129">
        <v>1185</v>
      </c>
    </row>
    <row r="280" spans="1:14" s="122" customFormat="1" ht="34.5" customHeight="1" thickBot="1" x14ac:dyDescent="0.3">
      <c r="A280" s="161" t="s">
        <v>15</v>
      </c>
      <c r="B280" s="162">
        <f>AVERAGE(B249:B279)</f>
        <v>1178.4705882352941</v>
      </c>
      <c r="C280" s="162">
        <f t="shared" ref="C280:M280" si="7">AVERAGE(C249:C279)</f>
        <v>1178</v>
      </c>
      <c r="D280" s="162">
        <f t="shared" si="7"/>
        <v>1178</v>
      </c>
      <c r="E280" s="162">
        <f t="shared" si="7"/>
        <v>1178.9545454545455</v>
      </c>
      <c r="F280" s="162">
        <f t="shared" si="7"/>
        <v>1186.5714285714287</v>
      </c>
      <c r="G280" s="162">
        <f t="shared" si="7"/>
        <v>1179.952380952381</v>
      </c>
      <c r="H280" s="162">
        <f t="shared" si="7"/>
        <v>1184.3809523809523</v>
      </c>
      <c r="I280" s="162">
        <f>AVERAGE(I249:I279)</f>
        <v>1184</v>
      </c>
      <c r="J280" s="162">
        <f t="shared" si="7"/>
        <v>1183</v>
      </c>
      <c r="K280" s="162">
        <f t="shared" si="7"/>
        <v>1183</v>
      </c>
      <c r="L280" s="162">
        <f t="shared" si="7"/>
        <v>1183.1500000000001</v>
      </c>
      <c r="M280" s="162">
        <f t="shared" si="7"/>
        <v>1184.7272727272727</v>
      </c>
    </row>
    <row r="281" spans="1:14" s="66" customFormat="1" ht="34.5" customHeight="1" x14ac:dyDescent="0.25">
      <c r="A281" s="206" t="s">
        <v>26</v>
      </c>
      <c r="B281" s="206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</row>
    <row r="282" spans="1:14" s="66" customFormat="1" ht="34.5" customHeight="1" thickBot="1" x14ac:dyDescent="0.3">
      <c r="A282" s="207" t="s">
        <v>1</v>
      </c>
      <c r="B282" s="207"/>
      <c r="C282" s="207"/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</row>
    <row r="283" spans="1:14" ht="34.5" customHeight="1" thickBot="1" x14ac:dyDescent="0.3">
      <c r="A283" s="119" t="s">
        <v>2</v>
      </c>
      <c r="B283" s="120" t="s">
        <v>3</v>
      </c>
      <c r="C283" s="120" t="s">
        <v>4</v>
      </c>
      <c r="D283" s="120" t="s">
        <v>5</v>
      </c>
      <c r="E283" s="120" t="s">
        <v>6</v>
      </c>
      <c r="F283" s="120" t="s">
        <v>7</v>
      </c>
      <c r="G283" s="120" t="s">
        <v>8</v>
      </c>
      <c r="H283" s="120" t="s">
        <v>9</v>
      </c>
      <c r="I283" s="120" t="s">
        <v>10</v>
      </c>
      <c r="J283" s="120" t="s">
        <v>11</v>
      </c>
      <c r="K283" s="120" t="s">
        <v>12</v>
      </c>
      <c r="L283" s="120" t="s">
        <v>21</v>
      </c>
      <c r="M283" s="120" t="s">
        <v>14</v>
      </c>
      <c r="N283" s="78"/>
    </row>
    <row r="284" spans="1:14" s="122" customFormat="1" ht="34.5" customHeight="1" x14ac:dyDescent="0.25">
      <c r="A284" s="121">
        <v>1</v>
      </c>
      <c r="B284" s="70"/>
      <c r="C284" s="70">
        <v>1185</v>
      </c>
      <c r="D284" s="70">
        <v>1185</v>
      </c>
      <c r="E284" s="70">
        <v>1185</v>
      </c>
      <c r="F284" s="69"/>
      <c r="G284" s="70">
        <v>1185</v>
      </c>
      <c r="H284" s="70">
        <v>1185</v>
      </c>
      <c r="I284" s="70">
        <v>1185</v>
      </c>
      <c r="J284" s="70">
        <v>1185</v>
      </c>
      <c r="K284" s="70"/>
      <c r="L284" s="70">
        <v>1185</v>
      </c>
      <c r="M284" s="70">
        <v>1185</v>
      </c>
    </row>
    <row r="285" spans="1:14" s="122" customFormat="1" ht="34.5" customHeight="1" x14ac:dyDescent="0.25">
      <c r="A285" s="123">
        <v>2</v>
      </c>
      <c r="B285" s="124"/>
      <c r="C285" s="124">
        <v>1185</v>
      </c>
      <c r="D285" s="124">
        <v>1185</v>
      </c>
      <c r="E285" s="124"/>
      <c r="F285" s="125">
        <v>1185</v>
      </c>
      <c r="G285" s="124">
        <v>1185</v>
      </c>
      <c r="H285" s="124"/>
      <c r="I285" s="124">
        <v>1185</v>
      </c>
      <c r="J285" s="124">
        <v>1185</v>
      </c>
      <c r="K285" s="124"/>
      <c r="L285" s="124">
        <v>1185</v>
      </c>
      <c r="M285" s="124">
        <v>1185</v>
      </c>
    </row>
    <row r="286" spans="1:14" s="122" customFormat="1" ht="34.5" customHeight="1" x14ac:dyDescent="0.25">
      <c r="A286" s="123">
        <v>3</v>
      </c>
      <c r="B286" s="124"/>
      <c r="C286" s="124">
        <v>1185</v>
      </c>
      <c r="D286" s="124">
        <v>1185</v>
      </c>
      <c r="E286" s="124"/>
      <c r="F286" s="125">
        <v>1185</v>
      </c>
      <c r="G286" s="124">
        <v>1185</v>
      </c>
      <c r="H286" s="124"/>
      <c r="I286" s="124">
        <v>1185</v>
      </c>
      <c r="J286" s="124"/>
      <c r="K286" s="124">
        <v>1185</v>
      </c>
      <c r="L286" s="124">
        <v>1186</v>
      </c>
      <c r="M286" s="124"/>
    </row>
    <row r="287" spans="1:14" s="122" customFormat="1" ht="34.5" customHeight="1" x14ac:dyDescent="0.25">
      <c r="A287" s="123">
        <v>4</v>
      </c>
      <c r="B287" s="124">
        <v>1185</v>
      </c>
      <c r="C287" s="124">
        <v>1185</v>
      </c>
      <c r="D287" s="124"/>
      <c r="E287" s="124">
        <v>1185</v>
      </c>
      <c r="F287" s="125">
        <v>1185</v>
      </c>
      <c r="G287" s="124"/>
      <c r="H287" s="124">
        <v>1185</v>
      </c>
      <c r="I287" s="124">
        <v>1185</v>
      </c>
      <c r="J287" s="124"/>
      <c r="K287" s="124">
        <v>1185</v>
      </c>
      <c r="L287" s="124">
        <v>1186</v>
      </c>
      <c r="M287" s="124"/>
    </row>
    <row r="288" spans="1:14" s="122" customFormat="1" ht="34.5" customHeight="1" x14ac:dyDescent="0.25">
      <c r="A288" s="123">
        <v>5</v>
      </c>
      <c r="B288" s="124">
        <v>1185</v>
      </c>
      <c r="C288" s="124"/>
      <c r="D288" s="124"/>
      <c r="E288" s="124">
        <v>1185</v>
      </c>
      <c r="F288" s="125">
        <v>1185</v>
      </c>
      <c r="G288" s="124"/>
      <c r="H288" s="124">
        <v>1185</v>
      </c>
      <c r="I288" s="124">
        <v>1185</v>
      </c>
      <c r="J288" s="124">
        <v>1185</v>
      </c>
      <c r="K288" s="124">
        <v>1185</v>
      </c>
      <c r="L288" s="124"/>
      <c r="M288" s="124">
        <v>1185</v>
      </c>
    </row>
    <row r="289" spans="1:13" s="122" customFormat="1" ht="34.5" customHeight="1" x14ac:dyDescent="0.25">
      <c r="A289" s="123">
        <v>6</v>
      </c>
      <c r="B289" s="124"/>
      <c r="C289" s="124"/>
      <c r="D289" s="124"/>
      <c r="E289" s="124">
        <v>1185</v>
      </c>
      <c r="F289" s="125">
        <v>1185</v>
      </c>
      <c r="G289" s="124">
        <v>1185</v>
      </c>
      <c r="H289" s="124">
        <v>1185</v>
      </c>
      <c r="I289" s="124"/>
      <c r="J289" s="124">
        <v>1185</v>
      </c>
      <c r="K289" s="124">
        <v>1185</v>
      </c>
      <c r="L289" s="124"/>
      <c r="M289" s="124">
        <v>1185</v>
      </c>
    </row>
    <row r="290" spans="1:13" s="122" customFormat="1" ht="34.5" customHeight="1" x14ac:dyDescent="0.25">
      <c r="A290" s="123">
        <v>7</v>
      </c>
      <c r="B290" s="124">
        <v>1185</v>
      </c>
      <c r="C290" s="124">
        <v>1185</v>
      </c>
      <c r="D290" s="124"/>
      <c r="E290" s="124">
        <v>1185</v>
      </c>
      <c r="F290" s="125"/>
      <c r="G290" s="124">
        <v>1185</v>
      </c>
      <c r="H290" s="124">
        <v>1185</v>
      </c>
      <c r="I290" s="124"/>
      <c r="J290" s="124">
        <v>1185</v>
      </c>
      <c r="K290" s="124">
        <v>1185</v>
      </c>
      <c r="L290" s="124">
        <v>1186</v>
      </c>
      <c r="M290" s="124"/>
    </row>
    <row r="291" spans="1:13" s="122" customFormat="1" ht="34.5" customHeight="1" x14ac:dyDescent="0.25">
      <c r="A291" s="123">
        <v>8</v>
      </c>
      <c r="B291" s="124"/>
      <c r="C291" s="124">
        <v>1185</v>
      </c>
      <c r="D291" s="124"/>
      <c r="E291" s="124">
        <v>1185</v>
      </c>
      <c r="F291" s="125"/>
      <c r="G291" s="124">
        <v>1185</v>
      </c>
      <c r="H291" s="124">
        <v>1185</v>
      </c>
      <c r="I291" s="124">
        <v>1185</v>
      </c>
      <c r="J291" s="124">
        <v>1185</v>
      </c>
      <c r="K291" s="124"/>
      <c r="L291" s="124">
        <v>1186</v>
      </c>
      <c r="M291" s="124">
        <v>1185</v>
      </c>
    </row>
    <row r="292" spans="1:13" s="122" customFormat="1" ht="34.5" customHeight="1" x14ac:dyDescent="0.25">
      <c r="A292" s="123">
        <v>9</v>
      </c>
      <c r="B292" s="124"/>
      <c r="C292" s="124">
        <v>1185</v>
      </c>
      <c r="D292" s="124">
        <v>1185</v>
      </c>
      <c r="E292" s="124"/>
      <c r="F292" s="125">
        <v>1185</v>
      </c>
      <c r="G292" s="124">
        <v>1185</v>
      </c>
      <c r="H292" s="124"/>
      <c r="I292" s="124">
        <v>1185</v>
      </c>
      <c r="J292" s="124"/>
      <c r="K292" s="124"/>
      <c r="L292" s="124">
        <v>1186</v>
      </c>
      <c r="M292" s="124">
        <v>1185</v>
      </c>
    </row>
    <row r="293" spans="1:13" s="122" customFormat="1" ht="34.5" customHeight="1" x14ac:dyDescent="0.25">
      <c r="A293" s="123">
        <v>10</v>
      </c>
      <c r="B293" s="124">
        <v>1185</v>
      </c>
      <c r="C293" s="124">
        <v>1185</v>
      </c>
      <c r="D293" s="124">
        <v>1185</v>
      </c>
      <c r="E293" s="124"/>
      <c r="F293" s="125">
        <v>1185</v>
      </c>
      <c r="G293" s="124">
        <v>1185</v>
      </c>
      <c r="H293" s="124"/>
      <c r="I293" s="124">
        <v>1185</v>
      </c>
      <c r="J293" s="124"/>
      <c r="K293" s="124">
        <v>1185</v>
      </c>
      <c r="L293" s="124">
        <v>1186</v>
      </c>
      <c r="M293" s="124"/>
    </row>
    <row r="294" spans="1:13" s="122" customFormat="1" ht="34.5" customHeight="1" x14ac:dyDescent="0.25">
      <c r="A294" s="123">
        <v>11</v>
      </c>
      <c r="B294" s="124">
        <v>1185</v>
      </c>
      <c r="C294" s="124">
        <v>1185</v>
      </c>
      <c r="D294" s="124">
        <v>1185</v>
      </c>
      <c r="E294" s="124">
        <v>1185</v>
      </c>
      <c r="F294" s="125">
        <v>1185</v>
      </c>
      <c r="G294" s="124"/>
      <c r="H294" s="124">
        <v>1185</v>
      </c>
      <c r="I294" s="124">
        <v>1185</v>
      </c>
      <c r="J294" s="124"/>
      <c r="K294" s="124">
        <v>1185</v>
      </c>
      <c r="L294" s="124">
        <v>1186</v>
      </c>
      <c r="M294" s="124"/>
    </row>
    <row r="295" spans="1:13" s="122" customFormat="1" ht="34.5" customHeight="1" x14ac:dyDescent="0.25">
      <c r="A295" s="123">
        <v>12</v>
      </c>
      <c r="B295" s="124"/>
      <c r="C295" s="124"/>
      <c r="D295" s="124"/>
      <c r="E295" s="124">
        <v>1185</v>
      </c>
      <c r="F295" s="125">
        <v>1185</v>
      </c>
      <c r="G295" s="124"/>
      <c r="H295" s="124">
        <v>1185</v>
      </c>
      <c r="I295" s="124">
        <v>1185</v>
      </c>
      <c r="J295" s="124"/>
      <c r="K295" s="124">
        <v>1185</v>
      </c>
      <c r="L295" s="124"/>
      <c r="M295" s="124">
        <v>1185</v>
      </c>
    </row>
    <row r="296" spans="1:13" s="122" customFormat="1" ht="34.5" customHeight="1" x14ac:dyDescent="0.25">
      <c r="A296" s="123">
        <v>13</v>
      </c>
      <c r="B296" s="124">
        <v>1185</v>
      </c>
      <c r="C296" s="124"/>
      <c r="D296" s="124"/>
      <c r="E296" s="124">
        <v>1185</v>
      </c>
      <c r="F296" s="125">
        <v>1185</v>
      </c>
      <c r="G296" s="124">
        <v>1185</v>
      </c>
      <c r="H296" s="124">
        <v>1185</v>
      </c>
      <c r="I296" s="124"/>
      <c r="J296" s="124"/>
      <c r="K296" s="124">
        <v>1185</v>
      </c>
      <c r="L296" s="124"/>
      <c r="M296" s="124">
        <v>1185</v>
      </c>
    </row>
    <row r="297" spans="1:13" s="122" customFormat="1" ht="34.5" customHeight="1" x14ac:dyDescent="0.25">
      <c r="A297" s="123">
        <v>14</v>
      </c>
      <c r="B297" s="124">
        <v>1185</v>
      </c>
      <c r="C297" s="124">
        <v>1185</v>
      </c>
      <c r="D297" s="124">
        <v>1185</v>
      </c>
      <c r="E297" s="124">
        <v>1185</v>
      </c>
      <c r="F297" s="125"/>
      <c r="G297" s="124">
        <v>1185</v>
      </c>
      <c r="H297" s="124">
        <v>1185</v>
      </c>
      <c r="I297" s="124"/>
      <c r="J297" s="124">
        <v>1185</v>
      </c>
      <c r="K297" s="124">
        <v>1185</v>
      </c>
      <c r="L297" s="124">
        <v>1186</v>
      </c>
      <c r="M297" s="124">
        <v>1185</v>
      </c>
    </row>
    <row r="298" spans="1:13" s="122" customFormat="1" ht="34.5" customHeight="1" x14ac:dyDescent="0.25">
      <c r="A298" s="123">
        <v>15</v>
      </c>
      <c r="B298" s="124"/>
      <c r="C298" s="124">
        <v>1185</v>
      </c>
      <c r="D298" s="124">
        <v>1185</v>
      </c>
      <c r="E298" s="124">
        <v>1185</v>
      </c>
      <c r="F298" s="125"/>
      <c r="G298" s="124">
        <v>1185</v>
      </c>
      <c r="H298" s="124">
        <v>1185</v>
      </c>
      <c r="I298" s="124">
        <v>1185</v>
      </c>
      <c r="J298" s="124">
        <v>1185</v>
      </c>
      <c r="K298" s="124"/>
      <c r="L298" s="124">
        <v>1185</v>
      </c>
      <c r="M298" s="124">
        <v>1185</v>
      </c>
    </row>
    <row r="299" spans="1:13" s="122" customFormat="1" ht="34.5" customHeight="1" x14ac:dyDescent="0.25">
      <c r="A299" s="123">
        <v>16</v>
      </c>
      <c r="B299" s="124"/>
      <c r="C299" s="124">
        <v>1185</v>
      </c>
      <c r="D299" s="124">
        <v>1185</v>
      </c>
      <c r="E299" s="124"/>
      <c r="F299" s="125">
        <v>1185</v>
      </c>
      <c r="G299" s="124">
        <v>1185</v>
      </c>
      <c r="H299" s="124"/>
      <c r="I299" s="124">
        <v>1185</v>
      </c>
      <c r="J299" s="124">
        <v>1185</v>
      </c>
      <c r="K299" s="124"/>
      <c r="L299" s="124"/>
      <c r="M299" s="124"/>
    </row>
    <row r="300" spans="1:13" s="122" customFormat="1" ht="34.5" customHeight="1" x14ac:dyDescent="0.25">
      <c r="A300" s="123">
        <v>17</v>
      </c>
      <c r="B300" s="124">
        <v>1185</v>
      </c>
      <c r="C300" s="124">
        <v>1185</v>
      </c>
      <c r="D300" s="124">
        <v>1185</v>
      </c>
      <c r="E300" s="124"/>
      <c r="F300" s="125">
        <v>1185</v>
      </c>
      <c r="G300" s="124">
        <v>1185</v>
      </c>
      <c r="H300" s="124"/>
      <c r="I300" s="124">
        <v>1185</v>
      </c>
      <c r="J300" s="124"/>
      <c r="K300" s="124">
        <v>1185</v>
      </c>
      <c r="L300" s="124"/>
      <c r="M300" s="124"/>
    </row>
    <row r="301" spans="1:13" s="122" customFormat="1" ht="34.5" customHeight="1" x14ac:dyDescent="0.25">
      <c r="A301" s="123">
        <v>18</v>
      </c>
      <c r="B301" s="124">
        <v>1185</v>
      </c>
      <c r="C301" s="124">
        <v>1185</v>
      </c>
      <c r="D301" s="124">
        <v>1185</v>
      </c>
      <c r="E301" s="124">
        <v>1185</v>
      </c>
      <c r="F301" s="125">
        <v>1185</v>
      </c>
      <c r="G301" s="124"/>
      <c r="H301" s="124">
        <v>1185</v>
      </c>
      <c r="I301" s="124">
        <v>1185</v>
      </c>
      <c r="J301" s="124"/>
      <c r="K301" s="124">
        <v>1185</v>
      </c>
      <c r="L301" s="124"/>
      <c r="M301" s="124"/>
    </row>
    <row r="302" spans="1:13" s="122" customFormat="1" ht="34.5" customHeight="1" x14ac:dyDescent="0.25">
      <c r="A302" s="123">
        <v>19</v>
      </c>
      <c r="B302" s="124">
        <v>1185</v>
      </c>
      <c r="C302" s="124"/>
      <c r="D302" s="124"/>
      <c r="E302" s="124">
        <v>1185</v>
      </c>
      <c r="F302" s="125">
        <v>1185</v>
      </c>
      <c r="G302" s="124"/>
      <c r="H302" s="124">
        <v>1185</v>
      </c>
      <c r="I302" s="124">
        <v>1185</v>
      </c>
      <c r="J302" s="124">
        <v>1185</v>
      </c>
      <c r="K302" s="124">
        <v>1185</v>
      </c>
      <c r="L302" s="124"/>
      <c r="M302" s="124">
        <v>1185</v>
      </c>
    </row>
    <row r="303" spans="1:13" s="122" customFormat="1" ht="34.5" customHeight="1" x14ac:dyDescent="0.25">
      <c r="A303" s="123">
        <v>20</v>
      </c>
      <c r="B303" s="124">
        <v>1185</v>
      </c>
      <c r="C303" s="124"/>
      <c r="D303" s="124"/>
      <c r="E303" s="124">
        <v>1185</v>
      </c>
      <c r="F303" s="125">
        <v>1185</v>
      </c>
      <c r="G303" s="124">
        <v>1185</v>
      </c>
      <c r="H303" s="124">
        <v>1185</v>
      </c>
      <c r="I303" s="124"/>
      <c r="J303" s="124">
        <v>1185</v>
      </c>
      <c r="K303" s="124">
        <v>1185</v>
      </c>
      <c r="L303" s="124"/>
      <c r="M303" s="124">
        <v>1185</v>
      </c>
    </row>
    <row r="304" spans="1:13" s="122" customFormat="1" ht="34.5" customHeight="1" x14ac:dyDescent="0.25">
      <c r="A304" s="123">
        <v>21</v>
      </c>
      <c r="B304" s="124">
        <v>1185</v>
      </c>
      <c r="C304" s="124">
        <v>1185</v>
      </c>
      <c r="D304" s="124"/>
      <c r="E304" s="124">
        <v>1185</v>
      </c>
      <c r="F304" s="125"/>
      <c r="G304" s="124">
        <v>1185</v>
      </c>
      <c r="H304" s="124">
        <v>1185</v>
      </c>
      <c r="I304" s="124"/>
      <c r="J304" s="124">
        <v>1185</v>
      </c>
      <c r="K304" s="124">
        <v>1185</v>
      </c>
      <c r="L304" s="124">
        <v>1185</v>
      </c>
      <c r="M304" s="124">
        <v>1185</v>
      </c>
    </row>
    <row r="305" spans="1:14" s="122" customFormat="1" ht="34.5" customHeight="1" x14ac:dyDescent="0.25">
      <c r="A305" s="123">
        <v>22</v>
      </c>
      <c r="B305" s="124"/>
      <c r="C305" s="124">
        <v>1185</v>
      </c>
      <c r="D305" s="124">
        <v>1185</v>
      </c>
      <c r="E305" s="124">
        <v>1185</v>
      </c>
      <c r="F305" s="125"/>
      <c r="G305" s="124">
        <v>1185</v>
      </c>
      <c r="H305" s="124">
        <v>1185</v>
      </c>
      <c r="I305" s="124">
        <v>1185</v>
      </c>
      <c r="J305" s="124">
        <v>1185</v>
      </c>
      <c r="K305" s="124"/>
      <c r="L305" s="124">
        <v>1185</v>
      </c>
      <c r="M305" s="124">
        <v>1185</v>
      </c>
    </row>
    <row r="306" spans="1:14" s="122" customFormat="1" ht="34.5" customHeight="1" x14ac:dyDescent="0.25">
      <c r="A306" s="123">
        <v>23</v>
      </c>
      <c r="B306" s="124"/>
      <c r="C306" s="124">
        <v>1185</v>
      </c>
      <c r="D306" s="124">
        <v>1185</v>
      </c>
      <c r="E306" s="124"/>
      <c r="F306" s="125">
        <v>1185</v>
      </c>
      <c r="G306" s="124">
        <v>1185</v>
      </c>
      <c r="H306" s="124"/>
      <c r="I306" s="124">
        <v>1185</v>
      </c>
      <c r="J306" s="124">
        <v>1185</v>
      </c>
      <c r="K306" s="124"/>
      <c r="L306" s="124">
        <v>1185</v>
      </c>
      <c r="M306" s="124">
        <v>1185</v>
      </c>
    </row>
    <row r="307" spans="1:14" s="122" customFormat="1" ht="34.5" customHeight="1" x14ac:dyDescent="0.25">
      <c r="A307" s="123">
        <v>24</v>
      </c>
      <c r="B307" s="124">
        <v>1185</v>
      </c>
      <c r="C307" s="124">
        <v>1185</v>
      </c>
      <c r="D307" s="124">
        <v>1185</v>
      </c>
      <c r="E307" s="124"/>
      <c r="F307" s="125">
        <v>1185</v>
      </c>
      <c r="G307" s="124">
        <v>1185</v>
      </c>
      <c r="H307" s="124"/>
      <c r="I307" s="124">
        <v>1185</v>
      </c>
      <c r="J307" s="124"/>
      <c r="K307" s="124">
        <v>1185</v>
      </c>
      <c r="L307" s="124">
        <v>1180</v>
      </c>
      <c r="M307" s="124"/>
    </row>
    <row r="308" spans="1:14" s="122" customFormat="1" ht="34.5" customHeight="1" x14ac:dyDescent="0.25">
      <c r="A308" s="123">
        <v>25</v>
      </c>
      <c r="B308" s="124">
        <v>1185</v>
      </c>
      <c r="C308" s="124">
        <v>1185</v>
      </c>
      <c r="D308" s="124">
        <v>1185</v>
      </c>
      <c r="E308" s="124">
        <v>1185</v>
      </c>
      <c r="F308" s="125">
        <v>1185</v>
      </c>
      <c r="G308" s="124"/>
      <c r="H308" s="124">
        <v>1185</v>
      </c>
      <c r="I308" s="124">
        <v>1185</v>
      </c>
      <c r="J308" s="124"/>
      <c r="K308" s="124">
        <v>1185</v>
      </c>
      <c r="L308" s="124">
        <v>1185</v>
      </c>
      <c r="M308" s="124"/>
    </row>
    <row r="309" spans="1:14" s="122" customFormat="1" ht="34.5" customHeight="1" x14ac:dyDescent="0.25">
      <c r="A309" s="123">
        <v>26</v>
      </c>
      <c r="B309" s="124">
        <v>1185</v>
      </c>
      <c r="C309" s="124"/>
      <c r="D309" s="124"/>
      <c r="E309" s="124">
        <v>1185</v>
      </c>
      <c r="F309" s="125">
        <v>1185</v>
      </c>
      <c r="G309" s="124"/>
      <c r="H309" s="124">
        <v>1185</v>
      </c>
      <c r="I309" s="124">
        <v>1185</v>
      </c>
      <c r="J309" s="124">
        <v>1185</v>
      </c>
      <c r="K309" s="124">
        <v>1185</v>
      </c>
      <c r="L309" s="124"/>
      <c r="M309" s="124">
        <v>1185</v>
      </c>
    </row>
    <row r="310" spans="1:14" s="122" customFormat="1" ht="34.5" customHeight="1" x14ac:dyDescent="0.25">
      <c r="A310" s="123">
        <v>27</v>
      </c>
      <c r="B310" s="124">
        <v>1185</v>
      </c>
      <c r="C310" s="124"/>
      <c r="D310" s="124"/>
      <c r="E310" s="124">
        <v>1185</v>
      </c>
      <c r="F310" s="125">
        <v>1185</v>
      </c>
      <c r="G310" s="124">
        <v>1185</v>
      </c>
      <c r="H310" s="124">
        <v>1185</v>
      </c>
      <c r="I310" s="124"/>
      <c r="J310" s="124">
        <v>1185</v>
      </c>
      <c r="K310" s="124">
        <v>1185</v>
      </c>
      <c r="L310" s="124"/>
      <c r="M310" s="124">
        <v>1185</v>
      </c>
    </row>
    <row r="311" spans="1:14" s="122" customFormat="1" ht="34.5" customHeight="1" x14ac:dyDescent="0.25">
      <c r="A311" s="123">
        <v>28</v>
      </c>
      <c r="B311" s="124">
        <v>1185</v>
      </c>
      <c r="C311" s="124">
        <v>1185</v>
      </c>
      <c r="D311" s="124">
        <v>1185</v>
      </c>
      <c r="E311" s="124">
        <v>1185</v>
      </c>
      <c r="F311" s="125"/>
      <c r="G311" s="124">
        <v>1185</v>
      </c>
      <c r="H311" s="124">
        <v>1185</v>
      </c>
      <c r="I311" s="124"/>
      <c r="J311" s="124">
        <v>1185</v>
      </c>
      <c r="K311" s="124">
        <v>1185</v>
      </c>
      <c r="L311" s="124">
        <v>1185</v>
      </c>
      <c r="M311" s="124">
        <v>1185</v>
      </c>
    </row>
    <row r="312" spans="1:14" s="122" customFormat="1" ht="34.5" customHeight="1" x14ac:dyDescent="0.25">
      <c r="A312" s="123">
        <v>29</v>
      </c>
      <c r="B312" s="124"/>
      <c r="C312" s="126"/>
      <c r="D312" s="124">
        <v>1185</v>
      </c>
      <c r="E312" s="124">
        <v>1185</v>
      </c>
      <c r="F312" s="125"/>
      <c r="G312" s="124">
        <v>1185</v>
      </c>
      <c r="H312" s="124">
        <v>1185</v>
      </c>
      <c r="I312" s="124">
        <v>1185</v>
      </c>
      <c r="J312" s="124">
        <v>1185</v>
      </c>
      <c r="K312" s="124"/>
      <c r="L312" s="124">
        <v>1185</v>
      </c>
      <c r="M312" s="124">
        <v>1185</v>
      </c>
    </row>
    <row r="313" spans="1:14" s="122" customFormat="1" ht="34.5" customHeight="1" x14ac:dyDescent="0.25">
      <c r="A313" s="123">
        <v>30</v>
      </c>
      <c r="B313" s="124"/>
      <c r="C313" s="126"/>
      <c r="D313" s="124">
        <v>1185</v>
      </c>
      <c r="E313" s="124"/>
      <c r="F313" s="125">
        <v>1185</v>
      </c>
      <c r="G313" s="124">
        <v>1185</v>
      </c>
      <c r="H313" s="124"/>
      <c r="I313" s="124">
        <v>1185</v>
      </c>
      <c r="J313" s="124">
        <v>1185</v>
      </c>
      <c r="K313" s="124"/>
      <c r="L313" s="124">
        <v>1185</v>
      </c>
      <c r="M313" s="124">
        <v>1185</v>
      </c>
    </row>
    <row r="314" spans="1:14" s="122" customFormat="1" ht="34.5" customHeight="1" thickBot="1" x14ac:dyDescent="0.3">
      <c r="A314" s="127">
        <v>31</v>
      </c>
      <c r="B314" s="129">
        <v>1185</v>
      </c>
      <c r="C314" s="129"/>
      <c r="D314" s="129">
        <v>1185</v>
      </c>
      <c r="E314" s="138"/>
      <c r="F314" s="130">
        <v>1185</v>
      </c>
      <c r="G314" s="128"/>
      <c r="H314" s="129"/>
      <c r="I314" s="129">
        <v>1185</v>
      </c>
      <c r="J314" s="128"/>
      <c r="K314" s="129">
        <v>1185</v>
      </c>
      <c r="L314" s="128"/>
      <c r="M314" s="129"/>
    </row>
    <row r="315" spans="1:14" s="122" customFormat="1" ht="34.5" customHeight="1" thickBot="1" x14ac:dyDescent="0.3">
      <c r="A315" s="161" t="s">
        <v>15</v>
      </c>
      <c r="B315" s="162">
        <f>AVERAGE(B284:B314)</f>
        <v>1185</v>
      </c>
      <c r="C315" s="162">
        <f>AVERAGE(C284:C314)</f>
        <v>1185</v>
      </c>
      <c r="D315" s="162">
        <f t="shared" ref="D315:K315" si="8">AVERAGE(D284:D314)</f>
        <v>1185</v>
      </c>
      <c r="E315" s="162">
        <f t="shared" si="8"/>
        <v>1185</v>
      </c>
      <c r="F315" s="162">
        <f t="shared" si="8"/>
        <v>1185</v>
      </c>
      <c r="G315" s="162">
        <f t="shared" si="8"/>
        <v>1185</v>
      </c>
      <c r="H315" s="162">
        <f t="shared" si="8"/>
        <v>1185</v>
      </c>
      <c r="I315" s="162">
        <f t="shared" si="8"/>
        <v>1185</v>
      </c>
      <c r="J315" s="162">
        <f t="shared" si="8"/>
        <v>1185</v>
      </c>
      <c r="K315" s="162">
        <f t="shared" si="8"/>
        <v>1185</v>
      </c>
      <c r="L315" s="162">
        <f>AVERAGE(L284:L314)</f>
        <v>1185.1578947368421</v>
      </c>
      <c r="M315" s="162">
        <f>AVERAGE(M284:M314)</f>
        <v>1185</v>
      </c>
    </row>
    <row r="316" spans="1:14" s="66" customFormat="1" ht="34.5" customHeight="1" x14ac:dyDescent="0.25">
      <c r="A316" s="206" t="s">
        <v>27</v>
      </c>
      <c r="B316" s="206"/>
      <c r="C316" s="206"/>
      <c r="D316" s="206"/>
      <c r="E316" s="206"/>
      <c r="F316" s="206"/>
      <c r="G316" s="206"/>
      <c r="H316" s="206"/>
      <c r="I316" s="206"/>
      <c r="J316" s="206"/>
      <c r="K316" s="206"/>
      <c r="L316" s="206"/>
      <c r="M316" s="206"/>
    </row>
    <row r="317" spans="1:14" s="66" customFormat="1" ht="34.5" customHeight="1" thickBot="1" x14ac:dyDescent="0.3">
      <c r="A317" s="207" t="s">
        <v>1</v>
      </c>
      <c r="B317" s="207"/>
      <c r="C317" s="207"/>
      <c r="D317" s="207"/>
      <c r="E317" s="207"/>
      <c r="F317" s="207"/>
      <c r="G317" s="207"/>
      <c r="H317" s="207"/>
      <c r="I317" s="207"/>
      <c r="J317" s="207"/>
      <c r="K317" s="207"/>
      <c r="L317" s="207"/>
      <c r="M317" s="207"/>
    </row>
    <row r="318" spans="1:14" ht="34.5" customHeight="1" thickBot="1" x14ac:dyDescent="0.3">
      <c r="A318" s="119" t="s">
        <v>2</v>
      </c>
      <c r="B318" s="120" t="s">
        <v>3</v>
      </c>
      <c r="C318" s="120" t="s">
        <v>4</v>
      </c>
      <c r="D318" s="120" t="s">
        <v>5</v>
      </c>
      <c r="E318" s="120" t="s">
        <v>6</v>
      </c>
      <c r="F318" s="120" t="s">
        <v>7</v>
      </c>
      <c r="G318" s="120" t="s">
        <v>8</v>
      </c>
      <c r="H318" s="120" t="s">
        <v>9</v>
      </c>
      <c r="I318" s="120" t="s">
        <v>10</v>
      </c>
      <c r="J318" s="120" t="s">
        <v>11</v>
      </c>
      <c r="K318" s="120" t="s">
        <v>12</v>
      </c>
      <c r="L318" s="120" t="s">
        <v>21</v>
      </c>
      <c r="M318" s="120" t="s">
        <v>14</v>
      </c>
      <c r="N318" s="78"/>
    </row>
    <row r="319" spans="1:14" s="122" customFormat="1" ht="34.5" customHeight="1" x14ac:dyDescent="0.25">
      <c r="A319" s="121">
        <v>1</v>
      </c>
      <c r="B319" s="70">
        <v>1185</v>
      </c>
      <c r="C319" s="70">
        <v>1185</v>
      </c>
      <c r="D319" s="70">
        <v>1185</v>
      </c>
      <c r="E319" s="70"/>
      <c r="F319" s="69"/>
      <c r="G319" s="70">
        <v>1197</v>
      </c>
      <c r="H319" s="70"/>
      <c r="I319" s="70"/>
      <c r="J319" s="70"/>
      <c r="K319" s="70"/>
      <c r="L319" s="70">
        <v>1200</v>
      </c>
      <c r="M319" s="70">
        <v>1215</v>
      </c>
    </row>
    <row r="320" spans="1:14" s="122" customFormat="1" ht="34.5" customHeight="1" x14ac:dyDescent="0.25">
      <c r="A320" s="123">
        <v>2</v>
      </c>
      <c r="B320" s="124"/>
      <c r="C320" s="124">
        <v>1185</v>
      </c>
      <c r="D320" s="124">
        <v>1185</v>
      </c>
      <c r="E320" s="124"/>
      <c r="F320" s="125">
        <v>1195</v>
      </c>
      <c r="G320" s="124">
        <v>1197</v>
      </c>
      <c r="H320" s="124"/>
      <c r="I320" s="124">
        <v>1198</v>
      </c>
      <c r="J320" s="124"/>
      <c r="K320" s="124"/>
      <c r="L320" s="124">
        <v>1200</v>
      </c>
      <c r="M320" s="124"/>
    </row>
    <row r="321" spans="1:13" s="122" customFormat="1" ht="34.5" customHeight="1" x14ac:dyDescent="0.25">
      <c r="A321" s="123">
        <v>3</v>
      </c>
      <c r="B321" s="124">
        <v>1185</v>
      </c>
      <c r="C321" s="124">
        <v>1185</v>
      </c>
      <c r="D321" s="124">
        <v>1185</v>
      </c>
      <c r="E321" s="124">
        <v>1185</v>
      </c>
      <c r="F321" s="125">
        <v>1195</v>
      </c>
      <c r="G321" s="124"/>
      <c r="H321" s="124">
        <v>1195</v>
      </c>
      <c r="I321" s="124">
        <v>1198</v>
      </c>
      <c r="J321" s="124"/>
      <c r="K321" s="124">
        <v>1200</v>
      </c>
      <c r="L321" s="124">
        <v>1200</v>
      </c>
      <c r="M321" s="124"/>
    </row>
    <row r="322" spans="1:13" s="122" customFormat="1" ht="34.5" customHeight="1" x14ac:dyDescent="0.25">
      <c r="A322" s="123">
        <v>4</v>
      </c>
      <c r="B322" s="124">
        <v>1185</v>
      </c>
      <c r="C322" s="124"/>
      <c r="D322" s="124"/>
      <c r="E322" s="124">
        <v>1185</v>
      </c>
      <c r="F322" s="125">
        <v>1195</v>
      </c>
      <c r="G322" s="124"/>
      <c r="H322" s="124">
        <v>1195</v>
      </c>
      <c r="I322" s="124">
        <v>1198</v>
      </c>
      <c r="J322" s="124">
        <v>1200</v>
      </c>
      <c r="K322" s="124">
        <v>1200</v>
      </c>
      <c r="L322" s="124"/>
      <c r="M322" s="124">
        <v>1215</v>
      </c>
    </row>
    <row r="323" spans="1:13" s="122" customFormat="1" ht="34.5" customHeight="1" x14ac:dyDescent="0.25">
      <c r="A323" s="123">
        <v>5</v>
      </c>
      <c r="B323" s="124">
        <v>1185</v>
      </c>
      <c r="C323" s="124"/>
      <c r="D323" s="124"/>
      <c r="E323" s="124">
        <v>1185</v>
      </c>
      <c r="F323" s="125">
        <v>1195</v>
      </c>
      <c r="G323" s="124">
        <v>1197</v>
      </c>
      <c r="H323" s="124">
        <v>1195</v>
      </c>
      <c r="I323" s="124"/>
      <c r="J323" s="124">
        <v>1200</v>
      </c>
      <c r="K323" s="124">
        <v>1200</v>
      </c>
      <c r="L323" s="124"/>
      <c r="M323" s="124">
        <v>1215</v>
      </c>
    </row>
    <row r="324" spans="1:13" s="122" customFormat="1" ht="34.5" customHeight="1" x14ac:dyDescent="0.25">
      <c r="A324" s="123">
        <v>6</v>
      </c>
      <c r="B324" s="124"/>
      <c r="C324" s="124">
        <v>1185</v>
      </c>
      <c r="D324" s="124">
        <v>1185</v>
      </c>
      <c r="E324" s="124">
        <v>1185</v>
      </c>
      <c r="F324" s="125"/>
      <c r="G324" s="124">
        <v>1197</v>
      </c>
      <c r="H324" s="124">
        <v>1195</v>
      </c>
      <c r="I324" s="124"/>
      <c r="J324" s="124">
        <v>1200</v>
      </c>
      <c r="K324" s="124">
        <v>1200</v>
      </c>
      <c r="L324" s="124"/>
      <c r="M324" s="124"/>
    </row>
    <row r="325" spans="1:13" s="122" customFormat="1" ht="34.5" customHeight="1" x14ac:dyDescent="0.25">
      <c r="A325" s="123">
        <v>7</v>
      </c>
      <c r="B325" s="124"/>
      <c r="C325" s="124">
        <v>1185</v>
      </c>
      <c r="D325" s="124">
        <v>1185</v>
      </c>
      <c r="E325" s="124">
        <v>1185</v>
      </c>
      <c r="F325" s="125"/>
      <c r="G325" s="124">
        <v>1197</v>
      </c>
      <c r="H325" s="124">
        <v>1195</v>
      </c>
      <c r="I325" s="124">
        <v>1198</v>
      </c>
      <c r="J325" s="124">
        <v>1200</v>
      </c>
      <c r="K325" s="124"/>
      <c r="L325" s="124"/>
      <c r="M325" s="124">
        <v>1215</v>
      </c>
    </row>
    <row r="326" spans="1:13" s="122" customFormat="1" ht="34.5" customHeight="1" x14ac:dyDescent="0.25">
      <c r="A326" s="123">
        <v>8</v>
      </c>
      <c r="B326" s="124"/>
      <c r="C326" s="124">
        <v>1185</v>
      </c>
      <c r="D326" s="124">
        <v>1185</v>
      </c>
      <c r="E326" s="124"/>
      <c r="F326" s="125">
        <v>1195</v>
      </c>
      <c r="G326" s="124">
        <v>1197</v>
      </c>
      <c r="H326" s="124"/>
      <c r="I326" s="124">
        <v>1198</v>
      </c>
      <c r="J326" s="124">
        <v>1200</v>
      </c>
      <c r="K326" s="124"/>
      <c r="L326" s="124"/>
      <c r="M326" s="124">
        <v>1207</v>
      </c>
    </row>
    <row r="327" spans="1:13" s="122" customFormat="1" ht="34.5" customHeight="1" x14ac:dyDescent="0.25">
      <c r="A327" s="123">
        <v>9</v>
      </c>
      <c r="B327" s="124">
        <v>1185</v>
      </c>
      <c r="C327" s="124">
        <v>1185</v>
      </c>
      <c r="D327" s="124">
        <v>1185</v>
      </c>
      <c r="E327" s="124"/>
      <c r="F327" s="125">
        <v>1195</v>
      </c>
      <c r="G327" s="124">
        <v>1197</v>
      </c>
      <c r="H327" s="124"/>
      <c r="I327" s="124">
        <v>1198</v>
      </c>
      <c r="J327" s="124"/>
      <c r="K327" s="124">
        <v>1200</v>
      </c>
      <c r="L327" s="124"/>
      <c r="M327" s="124"/>
    </row>
    <row r="328" spans="1:13" s="122" customFormat="1" ht="34.5" customHeight="1" x14ac:dyDescent="0.25">
      <c r="A328" s="123">
        <v>10</v>
      </c>
      <c r="B328" s="124">
        <v>1185</v>
      </c>
      <c r="C328" s="124">
        <v>1185</v>
      </c>
      <c r="D328" s="124">
        <v>1185</v>
      </c>
      <c r="E328" s="124">
        <v>1185</v>
      </c>
      <c r="F328" s="125">
        <v>1195</v>
      </c>
      <c r="G328" s="124"/>
      <c r="H328" s="124">
        <v>1195</v>
      </c>
      <c r="I328" s="124">
        <v>1198</v>
      </c>
      <c r="J328" s="124"/>
      <c r="K328" s="124">
        <v>1200</v>
      </c>
      <c r="L328" s="124"/>
      <c r="M328" s="124"/>
    </row>
    <row r="329" spans="1:13" s="122" customFormat="1" ht="34.5" customHeight="1" x14ac:dyDescent="0.25">
      <c r="A329" s="123">
        <v>11</v>
      </c>
      <c r="B329" s="124">
        <v>1185</v>
      </c>
      <c r="C329" s="124"/>
      <c r="D329" s="124"/>
      <c r="E329" s="124">
        <v>1185</v>
      </c>
      <c r="F329" s="125">
        <v>1195</v>
      </c>
      <c r="G329" s="124"/>
      <c r="H329" s="124">
        <v>1198</v>
      </c>
      <c r="I329" s="124">
        <v>1198</v>
      </c>
      <c r="J329" s="124">
        <v>1200</v>
      </c>
      <c r="K329" s="124">
        <v>1200</v>
      </c>
      <c r="L329" s="124"/>
      <c r="M329" s="124">
        <v>1207</v>
      </c>
    </row>
    <row r="330" spans="1:13" s="122" customFormat="1" ht="34.5" customHeight="1" x14ac:dyDescent="0.25">
      <c r="A330" s="123">
        <v>12</v>
      </c>
      <c r="B330" s="124">
        <v>1185</v>
      </c>
      <c r="C330" s="124"/>
      <c r="D330" s="124"/>
      <c r="E330" s="124">
        <v>1185</v>
      </c>
      <c r="F330" s="125">
        <v>1197</v>
      </c>
      <c r="G330" s="124">
        <v>1197</v>
      </c>
      <c r="H330" s="124">
        <v>1198</v>
      </c>
      <c r="I330" s="124"/>
      <c r="J330" s="124">
        <v>1200</v>
      </c>
      <c r="K330" s="124">
        <v>1200</v>
      </c>
      <c r="L330" s="124"/>
      <c r="M330" s="124">
        <v>1207</v>
      </c>
    </row>
    <row r="331" spans="1:13" s="122" customFormat="1" ht="34.5" customHeight="1" x14ac:dyDescent="0.25">
      <c r="A331" s="123">
        <v>13</v>
      </c>
      <c r="B331" s="124">
        <v>1185</v>
      </c>
      <c r="C331" s="124">
        <v>1185</v>
      </c>
      <c r="D331" s="124">
        <v>1185</v>
      </c>
      <c r="E331" s="124">
        <v>1185</v>
      </c>
      <c r="F331" s="125"/>
      <c r="G331" s="124">
        <v>1197</v>
      </c>
      <c r="H331" s="124">
        <v>1198</v>
      </c>
      <c r="I331" s="124"/>
      <c r="J331" s="124">
        <v>1200</v>
      </c>
      <c r="K331" s="124">
        <v>1200</v>
      </c>
      <c r="L331" s="124">
        <v>1200</v>
      </c>
      <c r="M331" s="124">
        <v>1207</v>
      </c>
    </row>
    <row r="332" spans="1:13" s="122" customFormat="1" ht="34.5" customHeight="1" x14ac:dyDescent="0.25">
      <c r="A332" s="123">
        <v>14</v>
      </c>
      <c r="B332" s="124"/>
      <c r="C332" s="124">
        <v>1185</v>
      </c>
      <c r="D332" s="124">
        <v>1185</v>
      </c>
      <c r="E332" s="124">
        <v>1185</v>
      </c>
      <c r="F332" s="125"/>
      <c r="G332" s="124">
        <v>1197</v>
      </c>
      <c r="H332" s="124"/>
      <c r="I332" s="124">
        <v>1198</v>
      </c>
      <c r="J332" s="124">
        <v>1200</v>
      </c>
      <c r="K332" s="124"/>
      <c r="L332" s="124">
        <v>1200</v>
      </c>
      <c r="M332" s="124">
        <v>1210</v>
      </c>
    </row>
    <row r="333" spans="1:13" s="122" customFormat="1" ht="34.5" customHeight="1" x14ac:dyDescent="0.25">
      <c r="A333" s="123">
        <v>15</v>
      </c>
      <c r="B333" s="124"/>
      <c r="C333" s="124"/>
      <c r="D333" s="124">
        <v>1185</v>
      </c>
      <c r="E333" s="124"/>
      <c r="F333" s="125">
        <v>1197</v>
      </c>
      <c r="G333" s="124">
        <v>1197</v>
      </c>
      <c r="H333" s="124"/>
      <c r="I333" s="124">
        <v>1198</v>
      </c>
      <c r="J333" s="124">
        <v>1200</v>
      </c>
      <c r="K333" s="124"/>
      <c r="L333" s="124">
        <v>1200</v>
      </c>
      <c r="M333" s="124">
        <v>1230</v>
      </c>
    </row>
    <row r="334" spans="1:13" s="122" customFormat="1" ht="34.5" customHeight="1" x14ac:dyDescent="0.25">
      <c r="A334" s="123">
        <v>16</v>
      </c>
      <c r="B334" s="124">
        <v>1185</v>
      </c>
      <c r="C334" s="124">
        <v>1185</v>
      </c>
      <c r="D334" s="124">
        <v>1185</v>
      </c>
      <c r="E334" s="124"/>
      <c r="F334" s="125">
        <v>1197</v>
      </c>
      <c r="G334" s="124">
        <v>1197</v>
      </c>
      <c r="H334" s="124"/>
      <c r="I334" s="124">
        <v>1198</v>
      </c>
      <c r="J334" s="124"/>
      <c r="K334" s="124">
        <v>1200</v>
      </c>
      <c r="L334" s="124">
        <v>1200</v>
      </c>
      <c r="M334" s="124"/>
    </row>
    <row r="335" spans="1:13" s="122" customFormat="1" ht="34.5" customHeight="1" x14ac:dyDescent="0.25">
      <c r="A335" s="123">
        <v>17</v>
      </c>
      <c r="B335" s="124">
        <v>1185</v>
      </c>
      <c r="C335" s="124">
        <v>1185</v>
      </c>
      <c r="D335" s="124">
        <v>1185</v>
      </c>
      <c r="E335" s="124">
        <v>1185</v>
      </c>
      <c r="F335" s="125">
        <v>1197</v>
      </c>
      <c r="G335" s="124"/>
      <c r="H335" s="124">
        <v>1198</v>
      </c>
      <c r="I335" s="124">
        <v>1198</v>
      </c>
      <c r="J335" s="124"/>
      <c r="K335" s="124">
        <v>1200</v>
      </c>
      <c r="L335" s="124">
        <v>1200</v>
      </c>
      <c r="M335" s="124"/>
    </row>
    <row r="336" spans="1:13" s="122" customFormat="1" ht="34.5" customHeight="1" x14ac:dyDescent="0.25">
      <c r="A336" s="123">
        <v>18</v>
      </c>
      <c r="B336" s="124">
        <v>1185</v>
      </c>
      <c r="C336" s="124"/>
      <c r="D336" s="124"/>
      <c r="E336" s="124">
        <v>1185</v>
      </c>
      <c r="F336" s="125">
        <v>1197</v>
      </c>
      <c r="G336" s="124"/>
      <c r="H336" s="124">
        <v>1198</v>
      </c>
      <c r="I336" s="124">
        <v>1198</v>
      </c>
      <c r="J336" s="124">
        <v>1200</v>
      </c>
      <c r="K336" s="124">
        <v>1200</v>
      </c>
      <c r="L336" s="124"/>
      <c r="M336" s="124">
        <v>1260</v>
      </c>
    </row>
    <row r="337" spans="1:14" s="122" customFormat="1" ht="34.5" customHeight="1" x14ac:dyDescent="0.25">
      <c r="A337" s="123">
        <v>19</v>
      </c>
      <c r="B337" s="124">
        <v>1185</v>
      </c>
      <c r="C337" s="124"/>
      <c r="D337" s="124"/>
      <c r="E337" s="124">
        <v>1185</v>
      </c>
      <c r="F337" s="125">
        <v>1197</v>
      </c>
      <c r="G337" s="124">
        <v>1197</v>
      </c>
      <c r="H337" s="124">
        <v>1198</v>
      </c>
      <c r="I337" s="124"/>
      <c r="J337" s="124">
        <v>1200</v>
      </c>
      <c r="K337" s="124">
        <v>1200</v>
      </c>
      <c r="L337" s="124"/>
      <c r="M337" s="124">
        <v>1210</v>
      </c>
    </row>
    <row r="338" spans="1:14" s="122" customFormat="1" ht="34.5" customHeight="1" x14ac:dyDescent="0.25">
      <c r="A338" s="123">
        <v>20</v>
      </c>
      <c r="B338" s="124">
        <v>1185</v>
      </c>
      <c r="C338" s="124">
        <v>1185</v>
      </c>
      <c r="D338" s="124">
        <v>1185</v>
      </c>
      <c r="E338" s="124">
        <v>1185</v>
      </c>
      <c r="F338" s="125"/>
      <c r="G338" s="124">
        <v>1197</v>
      </c>
      <c r="H338" s="124">
        <v>1198</v>
      </c>
      <c r="I338" s="124"/>
      <c r="J338" s="124">
        <v>1200</v>
      </c>
      <c r="K338" s="124">
        <v>1200</v>
      </c>
      <c r="L338" s="124">
        <v>1200</v>
      </c>
      <c r="M338" s="124">
        <v>1210</v>
      </c>
    </row>
    <row r="339" spans="1:14" s="122" customFormat="1" ht="34.5" customHeight="1" x14ac:dyDescent="0.25">
      <c r="A339" s="123">
        <v>21</v>
      </c>
      <c r="B339" s="124"/>
      <c r="C339" s="124">
        <v>1185</v>
      </c>
      <c r="D339" s="124">
        <v>1185</v>
      </c>
      <c r="E339" s="124">
        <v>1185</v>
      </c>
      <c r="F339" s="125"/>
      <c r="G339" s="124">
        <v>1197</v>
      </c>
      <c r="H339" s="124">
        <v>1198</v>
      </c>
      <c r="I339" s="124">
        <v>1198</v>
      </c>
      <c r="J339" s="124">
        <v>1200</v>
      </c>
      <c r="K339" s="124"/>
      <c r="L339" s="124">
        <v>1200</v>
      </c>
      <c r="M339" s="124">
        <v>1220</v>
      </c>
    </row>
    <row r="340" spans="1:14" s="122" customFormat="1" ht="34.5" customHeight="1" x14ac:dyDescent="0.25">
      <c r="A340" s="123">
        <v>22</v>
      </c>
      <c r="B340" s="124"/>
      <c r="C340" s="124">
        <v>1185</v>
      </c>
      <c r="D340" s="124">
        <v>1185</v>
      </c>
      <c r="E340" s="124"/>
      <c r="F340" s="125">
        <v>1197</v>
      </c>
      <c r="G340" s="124">
        <v>1197</v>
      </c>
      <c r="H340" s="124"/>
      <c r="I340" s="124">
        <v>1198</v>
      </c>
      <c r="J340" s="124">
        <v>1200</v>
      </c>
      <c r="K340" s="124"/>
      <c r="L340" s="124">
        <v>1200</v>
      </c>
      <c r="M340" s="124">
        <v>1220</v>
      </c>
    </row>
    <row r="341" spans="1:14" s="122" customFormat="1" ht="34.5" customHeight="1" x14ac:dyDescent="0.25">
      <c r="A341" s="123">
        <v>23</v>
      </c>
      <c r="B341" s="124">
        <v>1185</v>
      </c>
      <c r="C341" s="124">
        <v>1185</v>
      </c>
      <c r="D341" s="124">
        <v>1185</v>
      </c>
      <c r="E341" s="124"/>
      <c r="F341" s="125">
        <v>1197</v>
      </c>
      <c r="G341" s="124">
        <v>1197</v>
      </c>
      <c r="H341" s="124"/>
      <c r="I341" s="124">
        <v>1200</v>
      </c>
      <c r="J341" s="124"/>
      <c r="K341" s="124">
        <v>1200</v>
      </c>
      <c r="L341" s="124">
        <v>1200</v>
      </c>
      <c r="M341" s="124"/>
    </row>
    <row r="342" spans="1:14" s="122" customFormat="1" ht="34.5" customHeight="1" x14ac:dyDescent="0.25">
      <c r="A342" s="123">
        <v>24</v>
      </c>
      <c r="B342" s="124">
        <v>1185</v>
      </c>
      <c r="C342" s="124">
        <v>1185</v>
      </c>
      <c r="D342" s="124">
        <v>1185</v>
      </c>
      <c r="E342" s="124">
        <v>1185</v>
      </c>
      <c r="F342" s="125">
        <v>1197</v>
      </c>
      <c r="G342" s="124"/>
      <c r="H342" s="124">
        <v>1198</v>
      </c>
      <c r="I342" s="124">
        <v>1200</v>
      </c>
      <c r="J342" s="124"/>
      <c r="K342" s="124">
        <v>1200</v>
      </c>
      <c r="L342" s="124">
        <v>1200</v>
      </c>
      <c r="M342" s="124"/>
    </row>
    <row r="343" spans="1:14" s="122" customFormat="1" ht="34.5" customHeight="1" x14ac:dyDescent="0.25">
      <c r="A343" s="123">
        <v>25</v>
      </c>
      <c r="B343" s="124">
        <v>1185</v>
      </c>
      <c r="C343" s="124"/>
      <c r="D343" s="124"/>
      <c r="E343" s="124">
        <v>1185</v>
      </c>
      <c r="F343" s="125">
        <v>1197</v>
      </c>
      <c r="G343" s="124"/>
      <c r="H343" s="124">
        <v>1198</v>
      </c>
      <c r="I343" s="124">
        <v>1200</v>
      </c>
      <c r="J343" s="124">
        <v>1200</v>
      </c>
      <c r="K343" s="124">
        <v>1200</v>
      </c>
      <c r="L343" s="124"/>
      <c r="M343" s="124">
        <v>1220</v>
      </c>
    </row>
    <row r="344" spans="1:14" s="122" customFormat="1" ht="34.5" customHeight="1" x14ac:dyDescent="0.25">
      <c r="A344" s="123">
        <v>26</v>
      </c>
      <c r="B344" s="124">
        <v>1185</v>
      </c>
      <c r="C344" s="124"/>
      <c r="D344" s="124"/>
      <c r="E344" s="124">
        <v>1195</v>
      </c>
      <c r="F344" s="125">
        <v>1197</v>
      </c>
      <c r="G344" s="124">
        <v>1197</v>
      </c>
      <c r="H344" s="124">
        <v>1198</v>
      </c>
      <c r="I344" s="124"/>
      <c r="J344" s="124">
        <v>1200</v>
      </c>
      <c r="K344" s="124">
        <v>1200</v>
      </c>
      <c r="L344" s="124"/>
      <c r="M344" s="124">
        <v>1215</v>
      </c>
    </row>
    <row r="345" spans="1:14" s="122" customFormat="1" ht="34.5" customHeight="1" x14ac:dyDescent="0.25">
      <c r="A345" s="123">
        <v>27</v>
      </c>
      <c r="B345" s="124">
        <v>1185</v>
      </c>
      <c r="C345" s="124">
        <v>1185</v>
      </c>
      <c r="D345" s="124">
        <v>1185</v>
      </c>
      <c r="E345" s="124">
        <v>1195</v>
      </c>
      <c r="F345" s="125"/>
      <c r="G345" s="124">
        <v>1197</v>
      </c>
      <c r="H345" s="124">
        <v>1198</v>
      </c>
      <c r="I345" s="124"/>
      <c r="J345" s="124">
        <v>1200</v>
      </c>
      <c r="K345" s="124">
        <v>1200</v>
      </c>
      <c r="L345" s="124"/>
      <c r="M345" s="124">
        <v>1225</v>
      </c>
    </row>
    <row r="346" spans="1:14" s="122" customFormat="1" ht="34.5" customHeight="1" x14ac:dyDescent="0.25">
      <c r="A346" s="123">
        <v>28</v>
      </c>
      <c r="B346" s="124"/>
      <c r="C346" s="124">
        <v>1185</v>
      </c>
      <c r="D346" s="124">
        <v>1185</v>
      </c>
      <c r="E346" s="124">
        <v>1195</v>
      </c>
      <c r="F346" s="125"/>
      <c r="G346" s="124">
        <v>1197</v>
      </c>
      <c r="H346" s="124">
        <v>1198</v>
      </c>
      <c r="I346" s="124">
        <v>1200</v>
      </c>
      <c r="J346" s="124">
        <v>1200</v>
      </c>
      <c r="K346" s="124"/>
      <c r="L346" s="124">
        <v>1200</v>
      </c>
      <c r="M346" s="124">
        <v>1220</v>
      </c>
    </row>
    <row r="347" spans="1:14" s="122" customFormat="1" ht="34.5" customHeight="1" x14ac:dyDescent="0.25">
      <c r="A347" s="123">
        <v>29</v>
      </c>
      <c r="B347" s="124"/>
      <c r="C347" s="124"/>
      <c r="D347" s="124">
        <v>1185</v>
      </c>
      <c r="E347" s="124"/>
      <c r="F347" s="125">
        <v>1197</v>
      </c>
      <c r="G347" s="124">
        <v>1197</v>
      </c>
      <c r="H347" s="124"/>
      <c r="I347" s="124">
        <v>1200</v>
      </c>
      <c r="J347" s="124">
        <v>1200</v>
      </c>
      <c r="K347" s="124"/>
      <c r="L347" s="124">
        <v>1200</v>
      </c>
      <c r="M347" s="124">
        <v>1220</v>
      </c>
    </row>
    <row r="348" spans="1:14" s="122" customFormat="1" ht="34.5" customHeight="1" x14ac:dyDescent="0.25">
      <c r="A348" s="123">
        <v>30</v>
      </c>
      <c r="B348" s="124">
        <v>1185</v>
      </c>
      <c r="C348" s="126"/>
      <c r="D348" s="124">
        <v>1185</v>
      </c>
      <c r="E348" s="124"/>
      <c r="F348" s="125">
        <v>1197</v>
      </c>
      <c r="G348" s="124">
        <v>1197</v>
      </c>
      <c r="H348" s="124"/>
      <c r="I348" s="124">
        <v>1200</v>
      </c>
      <c r="J348" s="124"/>
      <c r="K348" s="124">
        <v>1200</v>
      </c>
      <c r="L348" s="124">
        <v>1200</v>
      </c>
      <c r="M348" s="124"/>
    </row>
    <row r="349" spans="1:14" s="122" customFormat="1" ht="34.5" customHeight="1" thickBot="1" x14ac:dyDescent="0.3">
      <c r="A349" s="127">
        <v>31</v>
      </c>
      <c r="B349" s="129">
        <v>1185</v>
      </c>
      <c r="C349" s="129"/>
      <c r="D349" s="129">
        <v>1185</v>
      </c>
      <c r="E349" s="128"/>
      <c r="F349" s="130">
        <v>1197</v>
      </c>
      <c r="G349" s="128"/>
      <c r="H349" s="129">
        <v>1198</v>
      </c>
      <c r="I349" s="129">
        <v>1200</v>
      </c>
      <c r="J349" s="129"/>
      <c r="K349" s="129">
        <v>1200</v>
      </c>
      <c r="L349" s="129"/>
      <c r="M349" s="128"/>
    </row>
    <row r="350" spans="1:14" s="122" customFormat="1" ht="34.5" customHeight="1" thickBot="1" x14ac:dyDescent="0.3">
      <c r="A350" s="161" t="s">
        <v>15</v>
      </c>
      <c r="B350" s="164">
        <f>AVERAGE(B319:B349)</f>
        <v>1185</v>
      </c>
      <c r="C350" s="162">
        <f>AVERAGE(C319:C349)</f>
        <v>1185</v>
      </c>
      <c r="D350" s="164">
        <f t="shared" ref="D350:L350" si="9">AVERAGE(D319:D349)</f>
        <v>1185</v>
      </c>
      <c r="E350" s="162">
        <f t="shared" si="9"/>
        <v>1186.5</v>
      </c>
      <c r="F350" s="162">
        <f t="shared" si="9"/>
        <v>1196.2727272727273</v>
      </c>
      <c r="G350" s="162">
        <f t="shared" si="9"/>
        <v>1197</v>
      </c>
      <c r="H350" s="162">
        <f t="shared" si="9"/>
        <v>1197.0999999999999</v>
      </c>
      <c r="I350" s="162">
        <f t="shared" si="9"/>
        <v>1198.6363636363637</v>
      </c>
      <c r="J350" s="162">
        <f t="shared" si="9"/>
        <v>1200</v>
      </c>
      <c r="K350" s="162">
        <f t="shared" si="9"/>
        <v>1200</v>
      </c>
      <c r="L350" s="162">
        <f t="shared" si="9"/>
        <v>1200</v>
      </c>
      <c r="M350" s="162">
        <f>AVERAGE(M319:M349)</f>
        <v>1217.4000000000001</v>
      </c>
      <c r="N350" s="139"/>
    </row>
    <row r="351" spans="1:14" s="66" customFormat="1" ht="34.5" customHeight="1" x14ac:dyDescent="0.25">
      <c r="A351" s="206" t="s">
        <v>28</v>
      </c>
      <c r="B351" s="206"/>
      <c r="C351" s="206"/>
      <c r="D351" s="206"/>
      <c r="E351" s="206"/>
      <c r="F351" s="206"/>
      <c r="G351" s="206"/>
      <c r="H351" s="206"/>
      <c r="I351" s="206"/>
      <c r="J351" s="206"/>
      <c r="K351" s="206"/>
      <c r="L351" s="206"/>
      <c r="M351" s="206"/>
    </row>
    <row r="352" spans="1:14" s="66" customFormat="1" ht="34.5" customHeight="1" thickBot="1" x14ac:dyDescent="0.3">
      <c r="A352" s="207" t="s">
        <v>1</v>
      </c>
      <c r="B352" s="207"/>
      <c r="C352" s="207"/>
      <c r="D352" s="207"/>
      <c r="E352" s="207"/>
      <c r="F352" s="207"/>
      <c r="G352" s="207"/>
      <c r="H352" s="207"/>
      <c r="I352" s="207"/>
      <c r="J352" s="207"/>
      <c r="K352" s="207"/>
      <c r="L352" s="207"/>
      <c r="M352" s="207"/>
    </row>
    <row r="353" spans="1:14" ht="34.5" customHeight="1" thickBot="1" x14ac:dyDescent="0.3">
      <c r="A353" s="119" t="s">
        <v>2</v>
      </c>
      <c r="B353" s="120" t="s">
        <v>3</v>
      </c>
      <c r="C353" s="120" t="s">
        <v>4</v>
      </c>
      <c r="D353" s="120" t="s">
        <v>5</v>
      </c>
      <c r="E353" s="120" t="s">
        <v>6</v>
      </c>
      <c r="F353" s="120" t="s">
        <v>7</v>
      </c>
      <c r="G353" s="120" t="s">
        <v>8</v>
      </c>
      <c r="H353" s="120" t="s">
        <v>9</v>
      </c>
      <c r="I353" s="120" t="s">
        <v>10</v>
      </c>
      <c r="J353" s="120" t="s">
        <v>11</v>
      </c>
      <c r="K353" s="120" t="s">
        <v>12</v>
      </c>
      <c r="L353" s="120" t="s">
        <v>21</v>
      </c>
      <c r="M353" s="120" t="s">
        <v>14</v>
      </c>
      <c r="N353" s="78"/>
    </row>
    <row r="354" spans="1:14" s="122" customFormat="1" ht="34.5" customHeight="1" x14ac:dyDescent="0.25">
      <c r="A354" s="121">
        <v>1</v>
      </c>
      <c r="B354" s="70"/>
      <c r="C354" s="70">
        <v>1211</v>
      </c>
      <c r="D354" s="70">
        <v>1240</v>
      </c>
      <c r="E354" s="70">
        <v>1240</v>
      </c>
      <c r="F354" s="69"/>
      <c r="G354" s="140"/>
      <c r="H354" s="140">
        <v>1245</v>
      </c>
      <c r="I354" s="140">
        <v>1255</v>
      </c>
      <c r="J354" s="140"/>
      <c r="K354" s="70">
        <v>1199</v>
      </c>
      <c r="L354" s="70">
        <v>1198</v>
      </c>
      <c r="M354" s="70"/>
    </row>
    <row r="355" spans="1:14" s="122" customFormat="1" ht="34.5" customHeight="1" x14ac:dyDescent="0.25">
      <c r="A355" s="123">
        <v>2</v>
      </c>
      <c r="B355" s="124"/>
      <c r="C355" s="124">
        <v>1225</v>
      </c>
      <c r="D355" s="124"/>
      <c r="E355" s="124">
        <v>1240</v>
      </c>
      <c r="F355" s="125">
        <v>1270</v>
      </c>
      <c r="G355" s="141"/>
      <c r="H355" s="141">
        <v>1243</v>
      </c>
      <c r="I355" s="141"/>
      <c r="J355" s="141">
        <v>1248</v>
      </c>
      <c r="K355" s="124">
        <v>1198</v>
      </c>
      <c r="L355" s="124"/>
      <c r="M355" s="124">
        <v>1216</v>
      </c>
    </row>
    <row r="356" spans="1:14" s="122" customFormat="1" ht="34.5" customHeight="1" x14ac:dyDescent="0.25">
      <c r="A356" s="123">
        <v>3</v>
      </c>
      <c r="B356" s="124">
        <v>1205</v>
      </c>
      <c r="C356" s="124"/>
      <c r="D356" s="124"/>
      <c r="E356" s="124">
        <v>1260</v>
      </c>
      <c r="F356" s="125">
        <v>1270</v>
      </c>
      <c r="G356" s="141">
        <v>1228</v>
      </c>
      <c r="H356" s="141">
        <v>1246</v>
      </c>
      <c r="I356" s="141"/>
      <c r="J356" s="141">
        <v>1249</v>
      </c>
      <c r="K356" s="124">
        <v>1203</v>
      </c>
      <c r="L356" s="124"/>
      <c r="M356" s="124">
        <v>1217</v>
      </c>
    </row>
    <row r="357" spans="1:14" s="122" customFormat="1" ht="34.5" customHeight="1" x14ac:dyDescent="0.25">
      <c r="A357" s="123">
        <v>4</v>
      </c>
      <c r="B357" s="124">
        <v>1205</v>
      </c>
      <c r="C357" s="124"/>
      <c r="D357" s="124">
        <v>1240</v>
      </c>
      <c r="E357" s="124">
        <v>1265</v>
      </c>
      <c r="F357" s="125"/>
      <c r="G357" s="141">
        <v>1238</v>
      </c>
      <c r="H357" s="141">
        <v>1255</v>
      </c>
      <c r="I357" s="141"/>
      <c r="J357" s="141">
        <v>1249</v>
      </c>
      <c r="K357" s="124">
        <v>1206</v>
      </c>
      <c r="L357" s="124">
        <v>1197</v>
      </c>
      <c r="M357" s="124">
        <v>1217</v>
      </c>
    </row>
    <row r="358" spans="1:14" s="122" customFormat="1" ht="34.5" customHeight="1" x14ac:dyDescent="0.25">
      <c r="A358" s="123">
        <v>5</v>
      </c>
      <c r="B358" s="124">
        <v>1210</v>
      </c>
      <c r="C358" s="124"/>
      <c r="D358" s="124">
        <v>1240</v>
      </c>
      <c r="E358" s="124">
        <v>1265</v>
      </c>
      <c r="F358" s="125"/>
      <c r="G358" s="141">
        <v>1246</v>
      </c>
      <c r="H358" s="141">
        <v>1255</v>
      </c>
      <c r="I358" s="141">
        <v>1254</v>
      </c>
      <c r="J358" s="141">
        <v>1247</v>
      </c>
      <c r="K358" s="124"/>
      <c r="L358" s="124">
        <v>1196</v>
      </c>
      <c r="M358" s="124">
        <v>1217</v>
      </c>
    </row>
    <row r="359" spans="1:14" s="122" customFormat="1" ht="34.5" customHeight="1" x14ac:dyDescent="0.25">
      <c r="A359" s="123">
        <v>6</v>
      </c>
      <c r="B359" s="124"/>
      <c r="C359" s="124">
        <v>1230</v>
      </c>
      <c r="D359" s="124">
        <v>1240</v>
      </c>
      <c r="E359" s="124"/>
      <c r="F359" s="125">
        <v>1275</v>
      </c>
      <c r="G359" s="141">
        <v>1246</v>
      </c>
      <c r="H359" s="141"/>
      <c r="I359" s="141">
        <v>1253</v>
      </c>
      <c r="J359" s="141">
        <v>1247</v>
      </c>
      <c r="K359" s="124"/>
      <c r="L359" s="124">
        <v>1200</v>
      </c>
      <c r="M359" s="124">
        <v>1220</v>
      </c>
    </row>
    <row r="360" spans="1:14" s="122" customFormat="1" ht="34.5" customHeight="1" x14ac:dyDescent="0.25">
      <c r="A360" s="123">
        <v>7</v>
      </c>
      <c r="B360" s="124"/>
      <c r="C360" s="124">
        <v>1230</v>
      </c>
      <c r="D360" s="124">
        <v>1240</v>
      </c>
      <c r="E360" s="124"/>
      <c r="F360" s="125">
        <v>1275</v>
      </c>
      <c r="G360" s="141">
        <v>1244</v>
      </c>
      <c r="H360" s="141"/>
      <c r="I360" s="141">
        <v>1240</v>
      </c>
      <c r="J360" s="141"/>
      <c r="K360" s="124">
        <v>1205</v>
      </c>
      <c r="L360" s="124">
        <v>1205</v>
      </c>
      <c r="M360" s="124"/>
    </row>
    <row r="361" spans="1:14" s="122" customFormat="1" ht="34.5" customHeight="1" x14ac:dyDescent="0.25">
      <c r="A361" s="123">
        <v>8</v>
      </c>
      <c r="B361" s="124">
        <v>1210</v>
      </c>
      <c r="C361" s="124">
        <v>1240</v>
      </c>
      <c r="D361" s="124">
        <v>1240</v>
      </c>
      <c r="E361" s="124">
        <v>1265</v>
      </c>
      <c r="F361" s="125">
        <v>1270</v>
      </c>
      <c r="G361" s="141"/>
      <c r="H361" s="141">
        <v>1253</v>
      </c>
      <c r="I361" s="141">
        <v>1248</v>
      </c>
      <c r="J361" s="141"/>
      <c r="K361" s="124">
        <v>1200</v>
      </c>
      <c r="L361" s="124">
        <v>1202</v>
      </c>
      <c r="M361" s="124"/>
    </row>
    <row r="362" spans="1:14" s="122" customFormat="1" ht="34.5" customHeight="1" x14ac:dyDescent="0.25">
      <c r="A362" s="123">
        <v>9</v>
      </c>
      <c r="B362" s="124">
        <v>1205</v>
      </c>
      <c r="C362" s="124">
        <v>1240</v>
      </c>
      <c r="D362" s="124"/>
      <c r="E362" s="124">
        <v>1270</v>
      </c>
      <c r="F362" s="125">
        <v>1275</v>
      </c>
      <c r="G362" s="141"/>
      <c r="H362" s="141">
        <v>1261</v>
      </c>
      <c r="I362" s="141"/>
      <c r="J362" s="141">
        <v>1245</v>
      </c>
      <c r="K362" s="124">
        <v>1200</v>
      </c>
      <c r="L362" s="124"/>
      <c r="M362" s="124">
        <v>1220</v>
      </c>
    </row>
    <row r="363" spans="1:14" s="122" customFormat="1" ht="34.5" customHeight="1" x14ac:dyDescent="0.25">
      <c r="A363" s="123">
        <v>10</v>
      </c>
      <c r="B363" s="124">
        <v>1205</v>
      </c>
      <c r="C363" s="124"/>
      <c r="D363" s="124"/>
      <c r="E363" s="124">
        <v>1285</v>
      </c>
      <c r="F363" s="125">
        <v>1270</v>
      </c>
      <c r="G363" s="141">
        <v>1239</v>
      </c>
      <c r="H363" s="141">
        <v>1262</v>
      </c>
      <c r="I363" s="141"/>
      <c r="J363" s="141">
        <v>1246</v>
      </c>
      <c r="K363" s="124">
        <v>1202</v>
      </c>
      <c r="L363" s="124"/>
      <c r="M363" s="124">
        <v>1233</v>
      </c>
    </row>
    <row r="364" spans="1:14" s="122" customFormat="1" ht="34.5" customHeight="1" x14ac:dyDescent="0.25">
      <c r="A364" s="123">
        <v>11</v>
      </c>
      <c r="B364" s="124">
        <v>1205</v>
      </c>
      <c r="C364" s="124"/>
      <c r="D364" s="124">
        <v>1240</v>
      </c>
      <c r="E364" s="124">
        <v>1270</v>
      </c>
      <c r="F364" s="125"/>
      <c r="G364" s="141">
        <v>1235</v>
      </c>
      <c r="H364" s="141">
        <v>1256</v>
      </c>
      <c r="I364" s="141"/>
      <c r="J364" s="141">
        <v>1234</v>
      </c>
      <c r="K364" s="124">
        <v>1200</v>
      </c>
      <c r="L364" s="124">
        <v>1210</v>
      </c>
      <c r="M364" s="124">
        <v>1228</v>
      </c>
    </row>
    <row r="365" spans="1:14" s="122" customFormat="1" ht="34.5" customHeight="1" x14ac:dyDescent="0.25">
      <c r="A365" s="123">
        <v>12</v>
      </c>
      <c r="B365" s="124">
        <v>1205</v>
      </c>
      <c r="C365" s="124">
        <v>1230</v>
      </c>
      <c r="D365" s="124">
        <v>1240</v>
      </c>
      <c r="E365" s="124">
        <v>1270</v>
      </c>
      <c r="F365" s="125"/>
      <c r="G365" s="141">
        <v>1235</v>
      </c>
      <c r="H365" s="141">
        <v>1245</v>
      </c>
      <c r="I365" s="141">
        <v>1247</v>
      </c>
      <c r="J365" s="141">
        <v>1225</v>
      </c>
      <c r="K365" s="124"/>
      <c r="L365" s="124">
        <v>1222</v>
      </c>
      <c r="M365" s="124">
        <v>1218</v>
      </c>
    </row>
    <row r="366" spans="1:14" s="122" customFormat="1" ht="34.5" customHeight="1" x14ac:dyDescent="0.25">
      <c r="A366" s="123">
        <v>13</v>
      </c>
      <c r="B366" s="124"/>
      <c r="C366" s="124">
        <v>1232</v>
      </c>
      <c r="D366" s="124">
        <v>1240</v>
      </c>
      <c r="E366" s="124"/>
      <c r="F366" s="125">
        <v>1270</v>
      </c>
      <c r="G366" s="141">
        <v>1240</v>
      </c>
      <c r="H366" s="141"/>
      <c r="I366" s="141">
        <v>1241</v>
      </c>
      <c r="J366" s="141">
        <v>1233</v>
      </c>
      <c r="K366" s="124"/>
      <c r="L366" s="124">
        <v>1216</v>
      </c>
      <c r="M366" s="124">
        <v>1222</v>
      </c>
    </row>
    <row r="367" spans="1:14" s="122" customFormat="1" ht="34.5" customHeight="1" x14ac:dyDescent="0.25">
      <c r="A367" s="123">
        <v>14</v>
      </c>
      <c r="B367" s="124"/>
      <c r="C367" s="124">
        <v>1232</v>
      </c>
      <c r="D367" s="124">
        <v>1240</v>
      </c>
      <c r="E367" s="124"/>
      <c r="F367" s="125">
        <v>1270</v>
      </c>
      <c r="G367" s="141"/>
      <c r="H367" s="141"/>
      <c r="I367" s="141">
        <v>1237</v>
      </c>
      <c r="J367" s="141"/>
      <c r="K367" s="124">
        <v>1196</v>
      </c>
      <c r="L367" s="124">
        <v>1215</v>
      </c>
      <c r="M367" s="124"/>
    </row>
    <row r="368" spans="1:14" s="122" customFormat="1" ht="34.5" customHeight="1" x14ac:dyDescent="0.25">
      <c r="A368" s="123">
        <v>15</v>
      </c>
      <c r="B368" s="124">
        <v>1205</v>
      </c>
      <c r="C368" s="124">
        <v>1240</v>
      </c>
      <c r="D368" s="124">
        <v>1240</v>
      </c>
      <c r="E368" s="124">
        <v>1260</v>
      </c>
      <c r="F368" s="125">
        <v>1263</v>
      </c>
      <c r="G368" s="141"/>
      <c r="H368" s="141">
        <v>1252</v>
      </c>
      <c r="I368" s="141">
        <v>1247</v>
      </c>
      <c r="J368" s="141"/>
      <c r="K368" s="124">
        <v>1200</v>
      </c>
      <c r="L368" s="124"/>
      <c r="M368" s="124"/>
    </row>
    <row r="369" spans="1:13" s="122" customFormat="1" ht="34.5" customHeight="1" x14ac:dyDescent="0.25">
      <c r="A369" s="123">
        <v>16</v>
      </c>
      <c r="B369" s="124">
        <v>1205</v>
      </c>
      <c r="C369" s="124">
        <v>1240</v>
      </c>
      <c r="D369" s="124"/>
      <c r="E369" s="124">
        <v>1260</v>
      </c>
      <c r="F369" s="125">
        <v>1263</v>
      </c>
      <c r="G369" s="141"/>
      <c r="H369" s="141">
        <v>1262</v>
      </c>
      <c r="I369" s="141">
        <v>1247</v>
      </c>
      <c r="J369" s="141">
        <v>1228</v>
      </c>
      <c r="K369" s="124">
        <v>1198</v>
      </c>
      <c r="L369" s="124"/>
      <c r="M369" s="124">
        <v>1220</v>
      </c>
    </row>
    <row r="370" spans="1:13" s="122" customFormat="1" ht="34.5" customHeight="1" x14ac:dyDescent="0.25">
      <c r="A370" s="123">
        <v>17</v>
      </c>
      <c r="B370" s="124">
        <v>1205</v>
      </c>
      <c r="C370" s="124"/>
      <c r="D370" s="124"/>
      <c r="E370" s="124">
        <v>1250</v>
      </c>
      <c r="F370" s="125">
        <v>1250</v>
      </c>
      <c r="G370" s="141">
        <v>1238</v>
      </c>
      <c r="H370" s="141">
        <v>1257</v>
      </c>
      <c r="I370" s="141"/>
      <c r="J370" s="141">
        <v>1228</v>
      </c>
      <c r="K370" s="124">
        <v>1200</v>
      </c>
      <c r="L370" s="124"/>
      <c r="M370" s="124">
        <v>1220</v>
      </c>
    </row>
    <row r="371" spans="1:13" s="122" customFormat="1" ht="34.5" customHeight="1" x14ac:dyDescent="0.25">
      <c r="A371" s="123">
        <v>18</v>
      </c>
      <c r="B371" s="124">
        <v>1199</v>
      </c>
      <c r="C371" s="124"/>
      <c r="D371" s="124">
        <v>1240</v>
      </c>
      <c r="E371" s="124">
        <v>1250</v>
      </c>
      <c r="F371" s="125"/>
      <c r="G371" s="141">
        <v>1236</v>
      </c>
      <c r="H371" s="141">
        <v>1257</v>
      </c>
      <c r="I371" s="141"/>
      <c r="J371" s="141">
        <v>1222</v>
      </c>
      <c r="K371" s="124">
        <v>1200</v>
      </c>
      <c r="L371" s="124">
        <v>1204</v>
      </c>
      <c r="M371" s="124">
        <v>1222</v>
      </c>
    </row>
    <row r="372" spans="1:13" s="122" customFormat="1" ht="34.5" customHeight="1" x14ac:dyDescent="0.25">
      <c r="A372" s="123">
        <v>19</v>
      </c>
      <c r="B372" s="124">
        <v>1209</v>
      </c>
      <c r="C372" s="124">
        <v>1240</v>
      </c>
      <c r="D372" s="124">
        <v>1240</v>
      </c>
      <c r="E372" s="124">
        <v>1250</v>
      </c>
      <c r="F372" s="125"/>
      <c r="G372" s="141">
        <v>1236</v>
      </c>
      <c r="H372" s="141">
        <v>1263</v>
      </c>
      <c r="I372" s="141"/>
      <c r="J372" s="141">
        <v>1216</v>
      </c>
      <c r="K372" s="124"/>
      <c r="L372" s="124">
        <v>1207</v>
      </c>
      <c r="M372" s="124">
        <v>1220</v>
      </c>
    </row>
    <row r="373" spans="1:13" s="122" customFormat="1" ht="34.5" customHeight="1" x14ac:dyDescent="0.25">
      <c r="A373" s="123">
        <v>20</v>
      </c>
      <c r="B373" s="124"/>
      <c r="C373" s="124">
        <v>1240</v>
      </c>
      <c r="D373" s="124">
        <v>1240</v>
      </c>
      <c r="E373" s="124"/>
      <c r="F373" s="125">
        <v>1233</v>
      </c>
      <c r="G373" s="141">
        <v>1236</v>
      </c>
      <c r="H373" s="141"/>
      <c r="I373" s="141"/>
      <c r="J373" s="141">
        <v>1217</v>
      </c>
      <c r="K373" s="124"/>
      <c r="L373" s="124">
        <v>1208</v>
      </c>
      <c r="M373" s="124">
        <v>1220</v>
      </c>
    </row>
    <row r="374" spans="1:13" s="122" customFormat="1" ht="34.5" customHeight="1" x14ac:dyDescent="0.25">
      <c r="A374" s="123">
        <v>21</v>
      </c>
      <c r="B374" s="124"/>
      <c r="C374" s="124">
        <v>1240</v>
      </c>
      <c r="D374" s="124"/>
      <c r="E374" s="124"/>
      <c r="F374" s="125">
        <v>1233</v>
      </c>
      <c r="G374" s="141">
        <v>1242</v>
      </c>
      <c r="H374" s="141"/>
      <c r="I374" s="141"/>
      <c r="J374" s="141"/>
      <c r="K374" s="124">
        <v>1199</v>
      </c>
      <c r="L374" s="124">
        <v>1206</v>
      </c>
      <c r="M374" s="124"/>
    </row>
    <row r="375" spans="1:13" s="122" customFormat="1" ht="34.5" customHeight="1" x14ac:dyDescent="0.25">
      <c r="A375" s="123">
        <v>22</v>
      </c>
      <c r="B375" s="124">
        <v>1199</v>
      </c>
      <c r="C375" s="124">
        <v>1245</v>
      </c>
      <c r="D375" s="124">
        <v>1240</v>
      </c>
      <c r="E375" s="124">
        <v>1260</v>
      </c>
      <c r="F375" s="125">
        <v>1221</v>
      </c>
      <c r="G375" s="141"/>
      <c r="H375" s="141">
        <v>1258</v>
      </c>
      <c r="I375" s="141"/>
      <c r="J375" s="141"/>
      <c r="K375" s="124">
        <v>1198</v>
      </c>
      <c r="L375" s="124">
        <v>1208</v>
      </c>
      <c r="M375" s="124"/>
    </row>
    <row r="376" spans="1:13" s="122" customFormat="1" ht="34.5" customHeight="1" x14ac:dyDescent="0.25">
      <c r="A376" s="123">
        <v>23</v>
      </c>
      <c r="B376" s="124">
        <v>1203</v>
      </c>
      <c r="C376" s="124">
        <v>1245</v>
      </c>
      <c r="D376" s="124"/>
      <c r="E376" s="124">
        <v>1270</v>
      </c>
      <c r="F376" s="125">
        <v>1221</v>
      </c>
      <c r="G376" s="141"/>
      <c r="H376" s="141">
        <v>1257</v>
      </c>
      <c r="I376" s="141"/>
      <c r="J376" s="141">
        <v>1214</v>
      </c>
      <c r="K376" s="124">
        <v>1198</v>
      </c>
      <c r="L376" s="124"/>
      <c r="M376" s="124">
        <v>1230</v>
      </c>
    </row>
    <row r="377" spans="1:13" s="122" customFormat="1" ht="34.5" customHeight="1" x14ac:dyDescent="0.25">
      <c r="A377" s="123">
        <v>24</v>
      </c>
      <c r="B377" s="124">
        <v>1203</v>
      </c>
      <c r="C377" s="124"/>
      <c r="D377" s="124"/>
      <c r="E377" s="124">
        <v>1270</v>
      </c>
      <c r="F377" s="125">
        <v>1223</v>
      </c>
      <c r="G377" s="141">
        <v>1239</v>
      </c>
      <c r="H377" s="141">
        <v>1254</v>
      </c>
      <c r="I377" s="141"/>
      <c r="J377" s="141">
        <v>1204</v>
      </c>
      <c r="K377" s="124">
        <v>1198</v>
      </c>
      <c r="L377" s="124"/>
      <c r="M377" s="124">
        <v>1223</v>
      </c>
    </row>
    <row r="378" spans="1:13" s="122" customFormat="1" ht="34.5" customHeight="1" x14ac:dyDescent="0.25">
      <c r="A378" s="123">
        <v>25</v>
      </c>
      <c r="B378" s="124">
        <v>1205</v>
      </c>
      <c r="C378" s="124"/>
      <c r="D378" s="124"/>
      <c r="E378" s="124">
        <v>1270</v>
      </c>
      <c r="F378" s="125"/>
      <c r="G378" s="141">
        <v>1238</v>
      </c>
      <c r="H378" s="141">
        <v>1248</v>
      </c>
      <c r="I378" s="141"/>
      <c r="J378" s="141">
        <v>1208</v>
      </c>
      <c r="K378" s="124">
        <v>1197</v>
      </c>
      <c r="L378" s="124">
        <v>1208</v>
      </c>
      <c r="M378" s="124">
        <v>1225</v>
      </c>
    </row>
    <row r="379" spans="1:13" s="122" customFormat="1" ht="34.5" customHeight="1" x14ac:dyDescent="0.25">
      <c r="A379" s="123">
        <v>26</v>
      </c>
      <c r="B379" s="124">
        <v>1205</v>
      </c>
      <c r="C379" s="124">
        <v>1240</v>
      </c>
      <c r="D379" s="124"/>
      <c r="E379" s="124">
        <v>1270</v>
      </c>
      <c r="F379" s="125"/>
      <c r="G379" s="141">
        <v>1244</v>
      </c>
      <c r="H379" s="141"/>
      <c r="I379" s="141">
        <v>1253</v>
      </c>
      <c r="J379" s="141">
        <v>1210</v>
      </c>
      <c r="K379" s="124"/>
      <c r="L379" s="124">
        <v>1208</v>
      </c>
      <c r="M379" s="124">
        <v>1225</v>
      </c>
    </row>
    <row r="380" spans="1:13" s="122" customFormat="1" ht="34.5" customHeight="1" x14ac:dyDescent="0.25">
      <c r="A380" s="123">
        <v>27</v>
      </c>
      <c r="B380" s="124"/>
      <c r="C380" s="124">
        <v>1240</v>
      </c>
      <c r="D380" s="124"/>
      <c r="E380" s="124"/>
      <c r="F380" s="125">
        <v>1216</v>
      </c>
      <c r="G380" s="141">
        <v>1249</v>
      </c>
      <c r="H380" s="141"/>
      <c r="I380" s="141">
        <v>1252</v>
      </c>
      <c r="J380" s="141">
        <v>1212</v>
      </c>
      <c r="K380" s="124"/>
      <c r="L380" s="124">
        <v>1208</v>
      </c>
      <c r="M380" s="124">
        <v>1222</v>
      </c>
    </row>
    <row r="381" spans="1:13" s="122" customFormat="1" ht="34.5" customHeight="1" x14ac:dyDescent="0.25">
      <c r="A381" s="123">
        <v>28</v>
      </c>
      <c r="B381" s="124"/>
      <c r="C381" s="124">
        <v>1240</v>
      </c>
      <c r="D381" s="124"/>
      <c r="E381" s="124"/>
      <c r="F381" s="125">
        <v>1223</v>
      </c>
      <c r="G381" s="141">
        <v>1258</v>
      </c>
      <c r="H381" s="141"/>
      <c r="I381" s="141">
        <v>1251</v>
      </c>
      <c r="J381" s="141"/>
      <c r="K381" s="124"/>
      <c r="L381" s="124">
        <v>1215</v>
      </c>
      <c r="M381" s="124"/>
    </row>
    <row r="382" spans="1:13" s="122" customFormat="1" ht="34.5" customHeight="1" x14ac:dyDescent="0.25">
      <c r="A382" s="123">
        <v>29</v>
      </c>
      <c r="B382" s="124">
        <v>1206</v>
      </c>
      <c r="C382" s="124">
        <v>1240</v>
      </c>
      <c r="D382" s="124"/>
      <c r="E382" s="124">
        <v>1270</v>
      </c>
      <c r="F382" s="125">
        <v>1223</v>
      </c>
      <c r="G382" s="141"/>
      <c r="H382" s="141">
        <v>1244</v>
      </c>
      <c r="I382" s="141">
        <v>1251</v>
      </c>
      <c r="J382" s="141"/>
      <c r="K382" s="124"/>
      <c r="L382" s="124">
        <v>1215</v>
      </c>
      <c r="M382" s="124"/>
    </row>
    <row r="383" spans="1:13" s="122" customFormat="1" ht="34.5" customHeight="1" x14ac:dyDescent="0.25">
      <c r="A383" s="123">
        <v>30</v>
      </c>
      <c r="B383" s="124">
        <v>1210</v>
      </c>
      <c r="C383" s="124"/>
      <c r="D383" s="124"/>
      <c r="E383" s="124">
        <v>1270</v>
      </c>
      <c r="F383" s="125">
        <v>1225</v>
      </c>
      <c r="G383" s="141"/>
      <c r="H383" s="141">
        <v>1255</v>
      </c>
      <c r="I383" s="141">
        <v>1248</v>
      </c>
      <c r="J383" s="141">
        <v>1204</v>
      </c>
      <c r="K383" s="124">
        <v>1200</v>
      </c>
      <c r="L383" s="124"/>
      <c r="M383" s="124">
        <v>1225</v>
      </c>
    </row>
    <row r="384" spans="1:13" s="122" customFormat="1" ht="34.5" customHeight="1" thickBot="1" x14ac:dyDescent="0.3">
      <c r="A384" s="127">
        <v>31</v>
      </c>
      <c r="B384" s="129">
        <v>1210</v>
      </c>
      <c r="C384" s="129"/>
      <c r="D384" s="129"/>
      <c r="E384" s="128"/>
      <c r="F384" s="130">
        <v>1228</v>
      </c>
      <c r="G384" s="138"/>
      <c r="H384" s="138">
        <v>1251</v>
      </c>
      <c r="I384" s="138"/>
      <c r="J384" s="138"/>
      <c r="K384" s="129">
        <v>1194</v>
      </c>
      <c r="L384" s="129"/>
      <c r="M384" s="129">
        <v>1225</v>
      </c>
    </row>
    <row r="385" spans="1:14" s="122" customFormat="1" ht="34.5" customHeight="1" thickBot="1" x14ac:dyDescent="0.3">
      <c r="A385" s="161" t="s">
        <v>15</v>
      </c>
      <c r="B385" s="165">
        <f>AVERAGE(B354:B384)</f>
        <v>1205.4285714285713</v>
      </c>
      <c r="C385" s="165">
        <f t="shared" ref="C385:H385" si="10">AVERAGE(C354:C384)</f>
        <v>1236</v>
      </c>
      <c r="D385" s="165">
        <f t="shared" si="10"/>
        <v>1240</v>
      </c>
      <c r="E385" s="165">
        <f t="shared" si="10"/>
        <v>1262.7272727272727</v>
      </c>
      <c r="F385" s="165">
        <f t="shared" si="10"/>
        <v>1248.5</v>
      </c>
      <c r="G385" s="165">
        <f t="shared" si="10"/>
        <v>1240.3684210526317</v>
      </c>
      <c r="H385" s="165">
        <f t="shared" si="10"/>
        <v>1253.590909090909</v>
      </c>
      <c r="I385" s="165">
        <f>AVERAGE(I354:I384)</f>
        <v>1248.2666666666667</v>
      </c>
      <c r="J385" s="165">
        <f>AVERAGE(J354:J384)</f>
        <v>1227.9047619047619</v>
      </c>
      <c r="K385" s="165">
        <f>AVERAGE(K354:K384)</f>
        <v>1199.5714285714287</v>
      </c>
      <c r="L385" s="165">
        <f>AVERAGE(L354:L384)</f>
        <v>1207.4000000000001</v>
      </c>
      <c r="M385" s="165">
        <f>AVERAGE(M354:M384)</f>
        <v>1222.0454545454545</v>
      </c>
      <c r="N385" s="139"/>
    </row>
    <row r="386" spans="1:14" s="66" customFormat="1" ht="34.5" customHeight="1" x14ac:dyDescent="0.25">
      <c r="A386" s="206" t="s">
        <v>29</v>
      </c>
      <c r="B386" s="206"/>
      <c r="C386" s="206"/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</row>
    <row r="387" spans="1:14" s="66" customFormat="1" ht="34.5" customHeight="1" thickBot="1" x14ac:dyDescent="0.3">
      <c r="A387" s="207" t="s">
        <v>1</v>
      </c>
      <c r="B387" s="207"/>
      <c r="C387" s="207"/>
      <c r="D387" s="207"/>
      <c r="E387" s="207"/>
      <c r="F387" s="207"/>
      <c r="G387" s="207"/>
      <c r="H387" s="207"/>
      <c r="I387" s="207"/>
      <c r="J387" s="207"/>
      <c r="K387" s="207"/>
      <c r="L387" s="207"/>
      <c r="M387" s="207"/>
    </row>
    <row r="388" spans="1:14" ht="34.5" customHeight="1" thickBot="1" x14ac:dyDescent="0.3">
      <c r="A388" s="119" t="s">
        <v>2</v>
      </c>
      <c r="B388" s="120" t="s">
        <v>3</v>
      </c>
      <c r="C388" s="120" t="s">
        <v>4</v>
      </c>
      <c r="D388" s="120" t="s">
        <v>5</v>
      </c>
      <c r="E388" s="120" t="s">
        <v>6</v>
      </c>
      <c r="F388" s="120" t="s">
        <v>7</v>
      </c>
      <c r="G388" s="120" t="s">
        <v>8</v>
      </c>
      <c r="H388" s="120" t="s">
        <v>9</v>
      </c>
      <c r="I388" s="120" t="s">
        <v>10</v>
      </c>
      <c r="J388" s="120" t="s">
        <v>11</v>
      </c>
      <c r="K388" s="120" t="s">
        <v>12</v>
      </c>
      <c r="L388" s="120" t="s">
        <v>21</v>
      </c>
      <c r="M388" s="120" t="s">
        <v>14</v>
      </c>
      <c r="N388" s="78"/>
    </row>
    <row r="389" spans="1:14" s="122" customFormat="1" ht="34.5" customHeight="1" x14ac:dyDescent="0.25">
      <c r="A389" s="121">
        <v>1</v>
      </c>
      <c r="B389" s="70"/>
      <c r="C389" s="70"/>
      <c r="D389" s="70"/>
      <c r="E389" s="70">
        <v>1265</v>
      </c>
      <c r="F389" s="69"/>
      <c r="G389" s="70">
        <v>1255</v>
      </c>
      <c r="H389" s="70">
        <v>1217</v>
      </c>
      <c r="I389" s="70">
        <v>1210</v>
      </c>
      <c r="J389" s="70">
        <v>1207</v>
      </c>
      <c r="K389" s="70">
        <v>1220</v>
      </c>
      <c r="L389" s="70"/>
      <c r="M389" s="70">
        <v>1220</v>
      </c>
    </row>
    <row r="390" spans="1:14" s="122" customFormat="1" ht="34.5" customHeight="1" x14ac:dyDescent="0.25">
      <c r="A390" s="123">
        <v>2</v>
      </c>
      <c r="B390" s="124">
        <v>1225</v>
      </c>
      <c r="C390" s="124"/>
      <c r="D390" s="124"/>
      <c r="E390" s="124">
        <v>1265</v>
      </c>
      <c r="F390" s="125">
        <v>1275</v>
      </c>
      <c r="G390" s="124">
        <v>1252</v>
      </c>
      <c r="H390" s="124">
        <v>1217</v>
      </c>
      <c r="I390" s="124"/>
      <c r="J390" s="124">
        <v>1208</v>
      </c>
      <c r="K390" s="124">
        <v>1219</v>
      </c>
      <c r="L390" s="124">
        <v>1222</v>
      </c>
      <c r="M390" s="124">
        <v>1229</v>
      </c>
    </row>
    <row r="391" spans="1:14" s="122" customFormat="1" ht="34.5" customHeight="1" x14ac:dyDescent="0.25">
      <c r="A391" s="123">
        <v>3</v>
      </c>
      <c r="B391" s="124"/>
      <c r="C391" s="124">
        <v>1226</v>
      </c>
      <c r="D391" s="124">
        <v>1240</v>
      </c>
      <c r="E391" s="124">
        <v>1265</v>
      </c>
      <c r="F391" s="125"/>
      <c r="G391" s="124">
        <v>1250</v>
      </c>
      <c r="H391" s="124">
        <v>1215</v>
      </c>
      <c r="I391" s="124">
        <v>1220</v>
      </c>
      <c r="J391" s="124">
        <v>1209</v>
      </c>
      <c r="K391" s="124">
        <v>1220</v>
      </c>
      <c r="L391" s="124">
        <v>1222</v>
      </c>
      <c r="M391" s="124">
        <v>1230</v>
      </c>
    </row>
    <row r="392" spans="1:14" s="122" customFormat="1" ht="34.5" customHeight="1" x14ac:dyDescent="0.25">
      <c r="A392" s="123">
        <v>4</v>
      </c>
      <c r="B392" s="124"/>
      <c r="C392" s="124">
        <v>1225</v>
      </c>
      <c r="D392" s="124">
        <v>1240</v>
      </c>
      <c r="E392" s="124">
        <v>1260</v>
      </c>
      <c r="F392" s="125"/>
      <c r="G392" s="124"/>
      <c r="H392" s="124">
        <v>1218</v>
      </c>
      <c r="I392" s="124">
        <v>1215</v>
      </c>
      <c r="J392" s="124">
        <v>1208</v>
      </c>
      <c r="K392" s="124"/>
      <c r="L392" s="124">
        <v>1220</v>
      </c>
      <c r="M392" s="124">
        <v>1230</v>
      </c>
    </row>
    <row r="393" spans="1:14" s="122" customFormat="1" ht="34.5" customHeight="1" x14ac:dyDescent="0.25">
      <c r="A393" s="123">
        <v>5</v>
      </c>
      <c r="B393" s="124"/>
      <c r="C393" s="124">
        <v>1227</v>
      </c>
      <c r="D393" s="124">
        <v>1240</v>
      </c>
      <c r="E393" s="124"/>
      <c r="F393" s="125">
        <v>1280</v>
      </c>
      <c r="G393" s="124"/>
      <c r="H393" s="124"/>
      <c r="I393" s="124">
        <v>1210</v>
      </c>
      <c r="J393" s="124">
        <v>1208</v>
      </c>
      <c r="K393" s="124">
        <v>1221</v>
      </c>
      <c r="L393" s="124">
        <v>1220</v>
      </c>
      <c r="M393" s="124">
        <v>1230</v>
      </c>
    </row>
    <row r="394" spans="1:14" s="122" customFormat="1" ht="34.5" customHeight="1" x14ac:dyDescent="0.25">
      <c r="A394" s="123">
        <v>6</v>
      </c>
      <c r="B394" s="124"/>
      <c r="C394" s="124">
        <v>1229</v>
      </c>
      <c r="D394" s="124">
        <v>1255</v>
      </c>
      <c r="E394" s="124"/>
      <c r="F394" s="125">
        <v>1280</v>
      </c>
      <c r="G394" s="124">
        <v>1255</v>
      </c>
      <c r="H394" s="124">
        <v>1220</v>
      </c>
      <c r="I394" s="124">
        <v>1212</v>
      </c>
      <c r="J394" s="124"/>
      <c r="K394" s="124">
        <v>1220</v>
      </c>
      <c r="L394" s="124">
        <v>1220</v>
      </c>
      <c r="M394" s="124"/>
    </row>
    <row r="395" spans="1:14" s="122" customFormat="1" ht="34.5" customHeight="1" x14ac:dyDescent="0.25">
      <c r="A395" s="123">
        <v>7</v>
      </c>
      <c r="B395" s="124">
        <v>1226</v>
      </c>
      <c r="C395" s="124">
        <v>1228</v>
      </c>
      <c r="D395" s="124">
        <v>1255</v>
      </c>
      <c r="E395" s="124">
        <v>1260</v>
      </c>
      <c r="F395" s="125">
        <v>1280</v>
      </c>
      <c r="G395" s="124"/>
      <c r="H395" s="124">
        <v>1220</v>
      </c>
      <c r="I395" s="124">
        <v>1210</v>
      </c>
      <c r="J395" s="124">
        <v>1209</v>
      </c>
      <c r="K395" s="124">
        <v>1216</v>
      </c>
      <c r="L395" s="124">
        <v>1215</v>
      </c>
      <c r="M395" s="124">
        <v>1230</v>
      </c>
    </row>
    <row r="396" spans="1:14" s="122" customFormat="1" ht="34.5" customHeight="1" x14ac:dyDescent="0.25">
      <c r="A396" s="123">
        <v>8</v>
      </c>
      <c r="B396" s="124">
        <v>1227</v>
      </c>
      <c r="C396" s="124"/>
      <c r="D396" s="124"/>
      <c r="E396" s="124">
        <v>1255</v>
      </c>
      <c r="F396" s="125">
        <v>1285</v>
      </c>
      <c r="G396" s="124">
        <v>1250</v>
      </c>
      <c r="H396" s="124">
        <v>1225</v>
      </c>
      <c r="I396" s="124">
        <v>1210</v>
      </c>
      <c r="J396" s="124">
        <v>1209</v>
      </c>
      <c r="K396" s="124">
        <v>1212</v>
      </c>
      <c r="L396" s="124"/>
      <c r="M396" s="124">
        <v>1230</v>
      </c>
    </row>
    <row r="397" spans="1:14" s="122" customFormat="1" ht="34.5" customHeight="1" x14ac:dyDescent="0.25">
      <c r="A397" s="123">
        <v>9</v>
      </c>
      <c r="B397" s="124">
        <v>1230</v>
      </c>
      <c r="C397" s="124"/>
      <c r="D397" s="124"/>
      <c r="E397" s="124">
        <v>1255</v>
      </c>
      <c r="F397" s="125">
        <v>1285</v>
      </c>
      <c r="G397" s="124">
        <v>1252</v>
      </c>
      <c r="H397" s="124">
        <v>1230</v>
      </c>
      <c r="I397" s="124"/>
      <c r="J397" s="124">
        <v>1210</v>
      </c>
      <c r="K397" s="124">
        <v>1220</v>
      </c>
      <c r="L397" s="124">
        <v>1217</v>
      </c>
      <c r="M397" s="124">
        <v>1230</v>
      </c>
    </row>
    <row r="398" spans="1:14" s="122" customFormat="1" ht="34.5" customHeight="1" x14ac:dyDescent="0.25">
      <c r="A398" s="123">
        <v>10</v>
      </c>
      <c r="B398" s="124">
        <v>1228</v>
      </c>
      <c r="C398" s="124">
        <v>1228</v>
      </c>
      <c r="D398" s="124">
        <v>1250</v>
      </c>
      <c r="E398" s="124">
        <v>1260</v>
      </c>
      <c r="F398" s="125"/>
      <c r="G398" s="124">
        <v>1252</v>
      </c>
      <c r="H398" s="124">
        <v>1225</v>
      </c>
      <c r="I398" s="124">
        <v>1210</v>
      </c>
      <c r="J398" s="124">
        <v>1207</v>
      </c>
      <c r="K398" s="124">
        <v>1220</v>
      </c>
      <c r="L398" s="124">
        <v>1217</v>
      </c>
      <c r="M398" s="124">
        <v>1230</v>
      </c>
    </row>
    <row r="399" spans="1:14" s="122" customFormat="1" ht="34.5" customHeight="1" x14ac:dyDescent="0.25">
      <c r="A399" s="123">
        <v>11</v>
      </c>
      <c r="B399" s="124"/>
      <c r="C399" s="124">
        <v>1229</v>
      </c>
      <c r="D399" s="124">
        <v>1250</v>
      </c>
      <c r="E399" s="124"/>
      <c r="F399" s="125"/>
      <c r="G399" s="124">
        <v>1249</v>
      </c>
      <c r="H399" s="124">
        <v>1225</v>
      </c>
      <c r="I399" s="124">
        <v>1210</v>
      </c>
      <c r="J399" s="124">
        <v>1207</v>
      </c>
      <c r="K399" s="124"/>
      <c r="L399" s="124">
        <v>1217</v>
      </c>
      <c r="M399" s="124">
        <v>1215</v>
      </c>
    </row>
    <row r="400" spans="1:14" s="122" customFormat="1" ht="34.5" customHeight="1" x14ac:dyDescent="0.25">
      <c r="A400" s="123">
        <v>12</v>
      </c>
      <c r="B400" s="124"/>
      <c r="C400" s="124">
        <v>1228</v>
      </c>
      <c r="D400" s="124">
        <v>1255</v>
      </c>
      <c r="E400" s="124"/>
      <c r="F400" s="125">
        <v>1288</v>
      </c>
      <c r="G400" s="124">
        <v>1249</v>
      </c>
      <c r="H400" s="124"/>
      <c r="I400" s="124">
        <v>1210</v>
      </c>
      <c r="J400" s="124">
        <v>1204</v>
      </c>
      <c r="K400" s="124">
        <v>1223</v>
      </c>
      <c r="L400" s="124">
        <v>1216</v>
      </c>
      <c r="M400" s="124">
        <v>1214</v>
      </c>
    </row>
    <row r="401" spans="1:13" s="122" customFormat="1" ht="34.5" customHeight="1" x14ac:dyDescent="0.25">
      <c r="A401" s="123">
        <v>13</v>
      </c>
      <c r="B401" s="124">
        <v>1227</v>
      </c>
      <c r="C401" s="124">
        <v>1228</v>
      </c>
      <c r="D401" s="124">
        <v>1255</v>
      </c>
      <c r="E401" s="124">
        <v>1270</v>
      </c>
      <c r="F401" s="125">
        <v>1292</v>
      </c>
      <c r="G401" s="124">
        <v>1250</v>
      </c>
      <c r="H401" s="124">
        <v>1226</v>
      </c>
      <c r="I401" s="124">
        <v>1210</v>
      </c>
      <c r="J401" s="124"/>
      <c r="K401" s="124">
        <v>1220</v>
      </c>
      <c r="L401" s="124">
        <v>1216</v>
      </c>
      <c r="M401" s="124"/>
    </row>
    <row r="402" spans="1:13" s="122" customFormat="1" ht="34.5" customHeight="1" x14ac:dyDescent="0.25">
      <c r="A402" s="123">
        <v>14</v>
      </c>
      <c r="B402" s="124">
        <v>1222</v>
      </c>
      <c r="C402" s="124">
        <v>1228</v>
      </c>
      <c r="D402" s="124">
        <v>1255</v>
      </c>
      <c r="E402" s="124">
        <v>1270</v>
      </c>
      <c r="F402" s="125">
        <v>1288</v>
      </c>
      <c r="G402" s="124"/>
      <c r="H402" s="124"/>
      <c r="I402" s="124">
        <v>1210</v>
      </c>
      <c r="J402" s="124">
        <v>1204</v>
      </c>
      <c r="K402" s="124">
        <v>1220</v>
      </c>
      <c r="L402" s="124">
        <v>1216</v>
      </c>
      <c r="M402" s="124">
        <v>1222</v>
      </c>
    </row>
    <row r="403" spans="1:13" s="122" customFormat="1" ht="34.5" customHeight="1" x14ac:dyDescent="0.25">
      <c r="A403" s="123">
        <v>15</v>
      </c>
      <c r="B403" s="124">
        <v>1222</v>
      </c>
      <c r="C403" s="124"/>
      <c r="D403" s="124"/>
      <c r="E403" s="124">
        <v>1270</v>
      </c>
      <c r="F403" s="125">
        <v>1288</v>
      </c>
      <c r="G403" s="124">
        <v>1238</v>
      </c>
      <c r="H403" s="124">
        <v>1225</v>
      </c>
      <c r="I403" s="124">
        <v>1210</v>
      </c>
      <c r="J403" s="124">
        <v>1205</v>
      </c>
      <c r="K403" s="124">
        <v>1220</v>
      </c>
      <c r="L403" s="124"/>
      <c r="M403" s="124">
        <v>1220</v>
      </c>
    </row>
    <row r="404" spans="1:13" s="122" customFormat="1" ht="34.5" customHeight="1" x14ac:dyDescent="0.25">
      <c r="A404" s="123">
        <v>16</v>
      </c>
      <c r="B404" s="124">
        <v>1225</v>
      </c>
      <c r="C404" s="124"/>
      <c r="D404" s="124"/>
      <c r="E404" s="124">
        <v>1270</v>
      </c>
      <c r="F404" s="125">
        <v>1278</v>
      </c>
      <c r="G404" s="124">
        <v>1232</v>
      </c>
      <c r="H404" s="124">
        <v>1220</v>
      </c>
      <c r="I404" s="124"/>
      <c r="J404" s="124">
        <v>1206</v>
      </c>
      <c r="K404" s="124">
        <v>1220</v>
      </c>
      <c r="L404" s="124">
        <v>1216</v>
      </c>
      <c r="M404" s="124">
        <v>1220</v>
      </c>
    </row>
    <row r="405" spans="1:13" s="122" customFormat="1" ht="34.5" customHeight="1" x14ac:dyDescent="0.25">
      <c r="A405" s="123">
        <v>17</v>
      </c>
      <c r="B405" s="124">
        <v>1225</v>
      </c>
      <c r="C405" s="124">
        <v>1229</v>
      </c>
      <c r="D405" s="124">
        <v>1260</v>
      </c>
      <c r="E405" s="124">
        <v>1270</v>
      </c>
      <c r="F405" s="125"/>
      <c r="G405" s="124">
        <v>1225</v>
      </c>
      <c r="H405" s="124">
        <v>1220</v>
      </c>
      <c r="I405" s="124">
        <v>1210</v>
      </c>
      <c r="J405" s="124">
        <v>1206</v>
      </c>
      <c r="K405" s="124">
        <v>1220</v>
      </c>
      <c r="L405" s="124">
        <v>1217</v>
      </c>
      <c r="M405" s="124">
        <v>1219</v>
      </c>
    </row>
    <row r="406" spans="1:13" s="122" customFormat="1" ht="34.5" customHeight="1" x14ac:dyDescent="0.25">
      <c r="A406" s="123">
        <v>18</v>
      </c>
      <c r="B406" s="124"/>
      <c r="C406" s="124">
        <v>1230</v>
      </c>
      <c r="D406" s="124">
        <v>1257</v>
      </c>
      <c r="E406" s="124">
        <v>1275</v>
      </c>
      <c r="F406" s="125">
        <v>1262</v>
      </c>
      <c r="G406" s="124">
        <v>1218</v>
      </c>
      <c r="H406" s="124"/>
      <c r="I406" s="124">
        <v>1210</v>
      </c>
      <c r="J406" s="124">
        <v>1205</v>
      </c>
      <c r="K406" s="124"/>
      <c r="L406" s="124">
        <v>1217</v>
      </c>
      <c r="M406" s="124">
        <v>1218</v>
      </c>
    </row>
    <row r="407" spans="1:13" s="122" customFormat="1" ht="34.5" customHeight="1" x14ac:dyDescent="0.25">
      <c r="A407" s="123">
        <v>19</v>
      </c>
      <c r="B407" s="124"/>
      <c r="C407" s="124">
        <v>1240</v>
      </c>
      <c r="D407" s="124">
        <v>1260</v>
      </c>
      <c r="E407" s="124"/>
      <c r="F407" s="125">
        <v>1250</v>
      </c>
      <c r="G407" s="124">
        <v>1230</v>
      </c>
      <c r="H407" s="124">
        <v>1220</v>
      </c>
      <c r="I407" s="124">
        <v>1210</v>
      </c>
      <c r="J407" s="124">
        <v>1208</v>
      </c>
      <c r="K407" s="124">
        <v>1220</v>
      </c>
      <c r="L407" s="124">
        <v>1219</v>
      </c>
      <c r="M407" s="124">
        <v>1218</v>
      </c>
    </row>
    <row r="408" spans="1:13" s="122" customFormat="1" ht="34.5" customHeight="1" x14ac:dyDescent="0.25">
      <c r="A408" s="123">
        <v>20</v>
      </c>
      <c r="B408" s="124">
        <v>1225</v>
      </c>
      <c r="C408" s="124">
        <v>1232</v>
      </c>
      <c r="D408" s="124">
        <v>1260</v>
      </c>
      <c r="E408" s="124"/>
      <c r="F408" s="125">
        <v>1260</v>
      </c>
      <c r="G408" s="124">
        <v>1230</v>
      </c>
      <c r="H408" s="124">
        <v>1218</v>
      </c>
      <c r="I408" s="124">
        <v>1207</v>
      </c>
      <c r="J408" s="124"/>
      <c r="K408" s="124">
        <v>1222</v>
      </c>
      <c r="L408" s="124">
        <v>1219</v>
      </c>
      <c r="M408" s="124"/>
    </row>
    <row r="409" spans="1:13" s="122" customFormat="1" ht="34.5" customHeight="1" x14ac:dyDescent="0.25">
      <c r="A409" s="123">
        <v>21</v>
      </c>
      <c r="B409" s="124">
        <v>1226</v>
      </c>
      <c r="C409" s="124">
        <v>1232</v>
      </c>
      <c r="D409" s="124"/>
      <c r="E409" s="124">
        <v>1275</v>
      </c>
      <c r="F409" s="125">
        <v>1260</v>
      </c>
      <c r="G409" s="124"/>
      <c r="H409" s="124">
        <v>1215</v>
      </c>
      <c r="I409" s="124">
        <v>1210</v>
      </c>
      <c r="J409" s="124">
        <v>1213</v>
      </c>
      <c r="K409" s="124">
        <v>1220</v>
      </c>
      <c r="L409" s="124">
        <v>1218</v>
      </c>
      <c r="M409" s="124">
        <v>1218</v>
      </c>
    </row>
    <row r="410" spans="1:13" s="122" customFormat="1" ht="34.5" customHeight="1" x14ac:dyDescent="0.25">
      <c r="A410" s="123">
        <v>22</v>
      </c>
      <c r="B410" s="124">
        <v>1226</v>
      </c>
      <c r="C410" s="124"/>
      <c r="D410" s="124"/>
      <c r="E410" s="124">
        <v>1275</v>
      </c>
      <c r="F410" s="125">
        <v>1263</v>
      </c>
      <c r="G410" s="124">
        <v>1230</v>
      </c>
      <c r="H410" s="124">
        <v>1218</v>
      </c>
      <c r="I410" s="124">
        <v>1208</v>
      </c>
      <c r="J410" s="124">
        <v>1212</v>
      </c>
      <c r="K410" s="124">
        <v>1210</v>
      </c>
      <c r="L410" s="124"/>
      <c r="M410" s="124">
        <v>1218</v>
      </c>
    </row>
    <row r="411" spans="1:13" s="122" customFormat="1" ht="34.5" customHeight="1" x14ac:dyDescent="0.25">
      <c r="A411" s="123">
        <v>23</v>
      </c>
      <c r="B411" s="124">
        <v>1226</v>
      </c>
      <c r="C411" s="124"/>
      <c r="D411" s="124"/>
      <c r="E411" s="124">
        <v>1275</v>
      </c>
      <c r="F411" s="125">
        <v>1257</v>
      </c>
      <c r="G411" s="124">
        <v>1223</v>
      </c>
      <c r="H411" s="124">
        <v>1213</v>
      </c>
      <c r="I411" s="124"/>
      <c r="J411" s="124">
        <v>1211</v>
      </c>
      <c r="K411" s="124">
        <v>1220</v>
      </c>
      <c r="L411" s="124">
        <v>1220</v>
      </c>
      <c r="M411" s="124">
        <v>1217</v>
      </c>
    </row>
    <row r="412" spans="1:13" s="122" customFormat="1" ht="34.5" customHeight="1" x14ac:dyDescent="0.25">
      <c r="A412" s="123">
        <v>24</v>
      </c>
      <c r="B412" s="124">
        <v>1226</v>
      </c>
      <c r="C412" s="124">
        <v>1235</v>
      </c>
      <c r="D412" s="124">
        <v>1260</v>
      </c>
      <c r="E412" s="124">
        <v>1265</v>
      </c>
      <c r="F412" s="125"/>
      <c r="G412" s="124">
        <v>1220</v>
      </c>
      <c r="H412" s="124">
        <v>1208</v>
      </c>
      <c r="I412" s="124">
        <v>1208</v>
      </c>
      <c r="J412" s="124">
        <v>1219</v>
      </c>
      <c r="K412" s="124">
        <v>1225</v>
      </c>
      <c r="L412" s="124">
        <v>1220</v>
      </c>
      <c r="M412" s="124"/>
    </row>
    <row r="413" spans="1:13" s="122" customFormat="1" ht="34.5" customHeight="1" x14ac:dyDescent="0.25">
      <c r="A413" s="123">
        <v>25</v>
      </c>
      <c r="B413" s="124"/>
      <c r="C413" s="124">
        <v>1235</v>
      </c>
      <c r="D413" s="124">
        <v>1260</v>
      </c>
      <c r="E413" s="124">
        <v>1270</v>
      </c>
      <c r="F413" s="125">
        <v>1265</v>
      </c>
      <c r="G413" s="124">
        <v>1225</v>
      </c>
      <c r="H413" s="124">
        <v>1210</v>
      </c>
      <c r="I413" s="124">
        <v>1208</v>
      </c>
      <c r="J413" s="124">
        <v>1220</v>
      </c>
      <c r="K413" s="124"/>
      <c r="L413" s="124">
        <v>1220</v>
      </c>
      <c r="M413" s="124"/>
    </row>
    <row r="414" spans="1:13" s="122" customFormat="1" ht="34.5" customHeight="1" x14ac:dyDescent="0.25">
      <c r="A414" s="123">
        <v>26</v>
      </c>
      <c r="B414" s="124"/>
      <c r="C414" s="124">
        <v>1240</v>
      </c>
      <c r="D414" s="124">
        <v>1260</v>
      </c>
      <c r="E414" s="124"/>
      <c r="F414" s="125">
        <v>1255</v>
      </c>
      <c r="G414" s="124">
        <v>1225</v>
      </c>
      <c r="H414" s="124"/>
      <c r="I414" s="124">
        <v>1208</v>
      </c>
      <c r="J414" s="124">
        <v>1221</v>
      </c>
      <c r="K414" s="124">
        <v>1222</v>
      </c>
      <c r="L414" s="124">
        <v>1219</v>
      </c>
      <c r="M414" s="124">
        <v>1219</v>
      </c>
    </row>
    <row r="415" spans="1:13" s="122" customFormat="1" ht="34.5" customHeight="1" x14ac:dyDescent="0.25">
      <c r="A415" s="123">
        <v>27</v>
      </c>
      <c r="B415" s="124">
        <v>1226</v>
      </c>
      <c r="C415" s="124">
        <v>1245</v>
      </c>
      <c r="D415" s="124">
        <v>1265</v>
      </c>
      <c r="E415" s="124"/>
      <c r="F415" s="125">
        <v>1250</v>
      </c>
      <c r="G415" s="124">
        <v>1215</v>
      </c>
      <c r="H415" s="124">
        <v>1205</v>
      </c>
      <c r="I415" s="124">
        <v>1205</v>
      </c>
      <c r="J415" s="124"/>
      <c r="K415" s="124">
        <v>1220</v>
      </c>
      <c r="L415" s="124">
        <v>1219</v>
      </c>
      <c r="M415" s="124"/>
    </row>
    <row r="416" spans="1:13" s="122" customFormat="1" ht="34.5" customHeight="1" x14ac:dyDescent="0.25">
      <c r="A416" s="123">
        <v>28</v>
      </c>
      <c r="B416" s="124">
        <v>1226</v>
      </c>
      <c r="C416" s="124">
        <v>1240</v>
      </c>
      <c r="D416" s="124">
        <v>1265</v>
      </c>
      <c r="E416" s="124">
        <v>1270</v>
      </c>
      <c r="F416" s="125">
        <v>1250</v>
      </c>
      <c r="G416" s="124"/>
      <c r="H416" s="124">
        <v>1210</v>
      </c>
      <c r="I416" s="124">
        <v>1205</v>
      </c>
      <c r="J416" s="124">
        <v>1222</v>
      </c>
      <c r="K416" s="124">
        <v>1220</v>
      </c>
      <c r="L416" s="124">
        <v>1220</v>
      </c>
      <c r="M416" s="124">
        <v>1220</v>
      </c>
    </row>
    <row r="417" spans="1:14" s="122" customFormat="1" ht="34.5" customHeight="1" x14ac:dyDescent="0.25">
      <c r="A417" s="123">
        <v>29</v>
      </c>
      <c r="B417" s="124">
        <v>1226</v>
      </c>
      <c r="C417" s="126"/>
      <c r="D417" s="124"/>
      <c r="E417" s="124">
        <v>1270</v>
      </c>
      <c r="F417" s="125">
        <v>1255</v>
      </c>
      <c r="G417" s="124">
        <v>1220</v>
      </c>
      <c r="H417" s="124">
        <v>1210</v>
      </c>
      <c r="I417" s="124">
        <v>1204</v>
      </c>
      <c r="J417" s="124">
        <v>1222</v>
      </c>
      <c r="K417" s="124">
        <v>1220</v>
      </c>
      <c r="L417" s="124"/>
      <c r="M417" s="124">
        <v>1220</v>
      </c>
    </row>
    <row r="418" spans="1:14" s="122" customFormat="1" ht="34.5" customHeight="1" x14ac:dyDescent="0.25">
      <c r="A418" s="123">
        <v>30</v>
      </c>
      <c r="B418" s="124">
        <v>1226</v>
      </c>
      <c r="C418" s="124"/>
      <c r="D418" s="124"/>
      <c r="E418" s="124">
        <v>1275</v>
      </c>
      <c r="F418" s="125">
        <v>1242</v>
      </c>
      <c r="G418" s="124">
        <v>1220</v>
      </c>
      <c r="H418" s="124">
        <v>1210</v>
      </c>
      <c r="I418" s="124"/>
      <c r="J418" s="124">
        <v>1234</v>
      </c>
      <c r="K418" s="124">
        <v>1222</v>
      </c>
      <c r="L418" s="124">
        <v>1220</v>
      </c>
      <c r="M418" s="124">
        <v>1220</v>
      </c>
    </row>
    <row r="419" spans="1:14" s="122" customFormat="1" ht="34.5" customHeight="1" thickBot="1" x14ac:dyDescent="0.3">
      <c r="A419" s="127">
        <v>31</v>
      </c>
      <c r="B419" s="129">
        <v>1225</v>
      </c>
      <c r="C419" s="129"/>
      <c r="D419" s="129">
        <v>1265</v>
      </c>
      <c r="E419" s="128"/>
      <c r="F419" s="130"/>
      <c r="G419" s="138"/>
      <c r="H419" s="129">
        <v>1210</v>
      </c>
      <c r="I419" s="129">
        <v>1204</v>
      </c>
      <c r="J419" s="129"/>
      <c r="K419" s="129">
        <v>1222</v>
      </c>
      <c r="L419" s="129"/>
      <c r="M419" s="129">
        <v>1220</v>
      </c>
    </row>
    <row r="420" spans="1:14" s="122" customFormat="1" ht="34.5" customHeight="1" thickBot="1" x14ac:dyDescent="0.3">
      <c r="A420" s="161" t="s">
        <v>15</v>
      </c>
      <c r="B420" s="162">
        <f>AVERAGE(B389:B419)</f>
        <v>1225.75</v>
      </c>
      <c r="C420" s="162">
        <f t="shared" ref="C420:M420" si="11">AVERAGE(C389:C419)</f>
        <v>1231.7</v>
      </c>
      <c r="D420" s="162">
        <f t="shared" si="11"/>
        <v>1255.3499999999999</v>
      </c>
      <c r="E420" s="162">
        <f t="shared" si="11"/>
        <v>1267.5</v>
      </c>
      <c r="F420" s="162">
        <f t="shared" si="11"/>
        <v>1269.0434782608695</v>
      </c>
      <c r="G420" s="162">
        <f t="shared" si="11"/>
        <v>1236.0416666666667</v>
      </c>
      <c r="H420" s="162">
        <f t="shared" si="11"/>
        <v>1217.3076923076924</v>
      </c>
      <c r="I420" s="162">
        <f t="shared" si="11"/>
        <v>1209.3846153846155</v>
      </c>
      <c r="J420" s="162">
        <f t="shared" si="11"/>
        <v>1211.3076923076924</v>
      </c>
      <c r="K420" s="162">
        <f t="shared" si="11"/>
        <v>1219.7777777777778</v>
      </c>
      <c r="L420" s="162">
        <f t="shared" si="11"/>
        <v>1218.48</v>
      </c>
      <c r="M420" s="162">
        <f t="shared" si="11"/>
        <v>1222.28</v>
      </c>
    </row>
    <row r="421" spans="1:14" s="66" customFormat="1" ht="34.5" customHeight="1" x14ac:dyDescent="0.25">
      <c r="A421" s="206" t="s">
        <v>30</v>
      </c>
      <c r="B421" s="206"/>
      <c r="C421" s="206"/>
      <c r="D421" s="206"/>
      <c r="E421" s="206"/>
      <c r="F421" s="206"/>
      <c r="G421" s="206"/>
      <c r="H421" s="206"/>
      <c r="I421" s="206"/>
      <c r="J421" s="206"/>
      <c r="K421" s="206"/>
      <c r="L421" s="206"/>
      <c r="M421" s="206"/>
    </row>
    <row r="422" spans="1:14" s="66" customFormat="1" ht="34.5" customHeight="1" thickBot="1" x14ac:dyDescent="0.3">
      <c r="A422" s="207" t="s">
        <v>1</v>
      </c>
      <c r="B422" s="207"/>
      <c r="C422" s="207"/>
      <c r="D422" s="207"/>
      <c r="E422" s="207"/>
      <c r="F422" s="207"/>
      <c r="G422" s="207"/>
      <c r="H422" s="207"/>
      <c r="I422" s="207"/>
      <c r="J422" s="207"/>
      <c r="K422" s="207"/>
      <c r="L422" s="207"/>
      <c r="M422" s="207"/>
    </row>
    <row r="423" spans="1:14" ht="34.5" customHeight="1" thickBot="1" x14ac:dyDescent="0.3">
      <c r="A423" s="119" t="s">
        <v>2</v>
      </c>
      <c r="B423" s="120" t="s">
        <v>3</v>
      </c>
      <c r="C423" s="120" t="s">
        <v>4</v>
      </c>
      <c r="D423" s="120" t="s">
        <v>5</v>
      </c>
      <c r="E423" s="120" t="s">
        <v>6</v>
      </c>
      <c r="F423" s="120" t="s">
        <v>7</v>
      </c>
      <c r="G423" s="120" t="s">
        <v>8</v>
      </c>
      <c r="H423" s="120" t="s">
        <v>9</v>
      </c>
      <c r="I423" s="120" t="s">
        <v>10</v>
      </c>
      <c r="J423" s="120" t="s">
        <v>11</v>
      </c>
      <c r="K423" s="120" t="s">
        <v>12</v>
      </c>
      <c r="L423" s="120" t="s">
        <v>21</v>
      </c>
      <c r="M423" s="120" t="s">
        <v>14</v>
      </c>
      <c r="N423" s="78"/>
    </row>
    <row r="424" spans="1:14" s="122" customFormat="1" ht="34.5" customHeight="1" x14ac:dyDescent="0.25">
      <c r="A424" s="121">
        <v>1</v>
      </c>
      <c r="B424" s="70"/>
      <c r="C424" s="70">
        <v>1222</v>
      </c>
      <c r="D424" s="70">
        <v>1222</v>
      </c>
      <c r="E424" s="70">
        <v>1222</v>
      </c>
      <c r="F424" s="69"/>
      <c r="G424" s="70">
        <v>1210</v>
      </c>
      <c r="H424" s="70">
        <v>1217</v>
      </c>
      <c r="I424" s="70"/>
      <c r="J424" s="140">
        <v>1203</v>
      </c>
      <c r="K424" s="70">
        <v>1206</v>
      </c>
      <c r="L424" s="70">
        <v>1202</v>
      </c>
      <c r="M424" s="70">
        <v>1197</v>
      </c>
    </row>
    <row r="425" spans="1:14" s="122" customFormat="1" ht="34.5" customHeight="1" x14ac:dyDescent="0.25">
      <c r="A425" s="123">
        <v>2</v>
      </c>
      <c r="B425" s="124"/>
      <c r="C425" s="124">
        <v>1222</v>
      </c>
      <c r="D425" s="124">
        <v>1222</v>
      </c>
      <c r="E425" s="124">
        <v>1222</v>
      </c>
      <c r="F425" s="125"/>
      <c r="G425" s="124">
        <v>1210</v>
      </c>
      <c r="H425" s="124">
        <v>1217</v>
      </c>
      <c r="I425" s="124">
        <v>1217</v>
      </c>
      <c r="J425" s="141">
        <v>1203</v>
      </c>
      <c r="K425" s="124">
        <v>1206</v>
      </c>
      <c r="L425" s="124">
        <v>1202</v>
      </c>
      <c r="M425" s="124">
        <v>1197</v>
      </c>
    </row>
    <row r="426" spans="1:14" s="122" customFormat="1" ht="34.5" customHeight="1" x14ac:dyDescent="0.25">
      <c r="A426" s="123">
        <v>3</v>
      </c>
      <c r="B426" s="124"/>
      <c r="C426" s="124">
        <v>1222</v>
      </c>
      <c r="D426" s="124">
        <v>1222</v>
      </c>
      <c r="E426" s="124">
        <v>1218</v>
      </c>
      <c r="F426" s="125">
        <v>1222</v>
      </c>
      <c r="G426" s="124">
        <v>1210</v>
      </c>
      <c r="H426" s="124">
        <v>1217</v>
      </c>
      <c r="I426" s="124">
        <v>1217</v>
      </c>
      <c r="J426" s="141">
        <v>1203</v>
      </c>
      <c r="K426" s="124">
        <v>1206</v>
      </c>
      <c r="L426" s="124">
        <v>1202</v>
      </c>
      <c r="M426" s="124">
        <v>1197</v>
      </c>
    </row>
    <row r="427" spans="1:14" s="122" customFormat="1" ht="34.5" customHeight="1" x14ac:dyDescent="0.25">
      <c r="A427" s="123">
        <v>4</v>
      </c>
      <c r="B427" s="124">
        <v>1220</v>
      </c>
      <c r="C427" s="124">
        <v>1222</v>
      </c>
      <c r="D427" s="124">
        <v>1222</v>
      </c>
      <c r="E427" s="124"/>
      <c r="F427" s="125">
        <v>1222</v>
      </c>
      <c r="G427" s="124">
        <v>1210</v>
      </c>
      <c r="H427" s="124"/>
      <c r="I427" s="124">
        <v>1217</v>
      </c>
      <c r="J427" s="141">
        <v>1203</v>
      </c>
      <c r="K427" s="124"/>
      <c r="L427" s="124"/>
      <c r="M427" s="124">
        <v>1197</v>
      </c>
    </row>
    <row r="428" spans="1:14" s="122" customFormat="1" ht="34.5" customHeight="1" x14ac:dyDescent="0.25">
      <c r="A428" s="123">
        <v>5</v>
      </c>
      <c r="B428" s="124">
        <v>1220</v>
      </c>
      <c r="C428" s="124">
        <v>1222</v>
      </c>
      <c r="D428" s="124">
        <v>1222</v>
      </c>
      <c r="E428" s="124">
        <v>1218</v>
      </c>
      <c r="F428" s="125">
        <v>1222</v>
      </c>
      <c r="G428" s="124">
        <v>1210</v>
      </c>
      <c r="H428" s="124">
        <v>1217</v>
      </c>
      <c r="I428" s="124">
        <v>1217</v>
      </c>
      <c r="J428" s="141"/>
      <c r="K428" s="124"/>
      <c r="L428" s="124">
        <v>1202</v>
      </c>
      <c r="M428" s="124"/>
    </row>
    <row r="429" spans="1:14" s="122" customFormat="1" ht="34.5" customHeight="1" x14ac:dyDescent="0.25">
      <c r="A429" s="123">
        <v>6</v>
      </c>
      <c r="B429" s="124"/>
      <c r="C429" s="124">
        <v>1222</v>
      </c>
      <c r="D429" s="124">
        <v>1222</v>
      </c>
      <c r="E429" s="124">
        <v>1218</v>
      </c>
      <c r="F429" s="125">
        <v>1222</v>
      </c>
      <c r="G429" s="124"/>
      <c r="H429" s="124">
        <v>1217</v>
      </c>
      <c r="I429" s="124">
        <v>1217</v>
      </c>
      <c r="J429" s="141">
        <v>1203</v>
      </c>
      <c r="K429" s="124"/>
      <c r="L429" s="124">
        <v>1198</v>
      </c>
      <c r="M429" s="124"/>
    </row>
    <row r="430" spans="1:14" s="122" customFormat="1" ht="34.5" customHeight="1" x14ac:dyDescent="0.25">
      <c r="A430" s="123">
        <v>7</v>
      </c>
      <c r="B430" s="124">
        <v>1220</v>
      </c>
      <c r="C430" s="124"/>
      <c r="D430" s="124"/>
      <c r="E430" s="124">
        <v>1218</v>
      </c>
      <c r="F430" s="125">
        <v>1222</v>
      </c>
      <c r="G430" s="124">
        <v>1210</v>
      </c>
      <c r="H430" s="124">
        <v>1217</v>
      </c>
      <c r="I430" s="124">
        <v>1217</v>
      </c>
      <c r="J430" s="141">
        <v>1203</v>
      </c>
      <c r="K430" s="124"/>
      <c r="L430" s="124"/>
      <c r="M430" s="124">
        <v>1197</v>
      </c>
    </row>
    <row r="431" spans="1:14" s="122" customFormat="1" ht="34.5" customHeight="1" x14ac:dyDescent="0.25">
      <c r="A431" s="123">
        <v>8</v>
      </c>
      <c r="B431" s="124">
        <v>1222</v>
      </c>
      <c r="C431" s="124">
        <v>1222</v>
      </c>
      <c r="D431" s="124">
        <v>1222</v>
      </c>
      <c r="E431" s="124">
        <v>1218</v>
      </c>
      <c r="F431" s="125">
        <v>1222</v>
      </c>
      <c r="G431" s="124">
        <v>1210</v>
      </c>
      <c r="H431" s="124">
        <v>1217</v>
      </c>
      <c r="I431" s="124"/>
      <c r="J431" s="141">
        <v>1203</v>
      </c>
      <c r="K431" s="124"/>
      <c r="L431" s="124">
        <v>1198</v>
      </c>
      <c r="M431" s="124">
        <v>1197</v>
      </c>
    </row>
    <row r="432" spans="1:14" s="122" customFormat="1" ht="34.5" customHeight="1" x14ac:dyDescent="0.25">
      <c r="A432" s="123">
        <v>9</v>
      </c>
      <c r="B432" s="124">
        <v>1222</v>
      </c>
      <c r="C432" s="124">
        <v>1222</v>
      </c>
      <c r="D432" s="124">
        <v>1222</v>
      </c>
      <c r="E432" s="124">
        <v>1218</v>
      </c>
      <c r="F432" s="125"/>
      <c r="G432" s="124">
        <v>1210</v>
      </c>
      <c r="H432" s="124">
        <v>1215</v>
      </c>
      <c r="I432" s="124">
        <v>1217</v>
      </c>
      <c r="J432" s="141">
        <v>1203</v>
      </c>
      <c r="K432" s="124"/>
      <c r="L432" s="124">
        <v>1199</v>
      </c>
      <c r="M432" s="124">
        <v>1197</v>
      </c>
    </row>
    <row r="433" spans="1:13" s="122" customFormat="1" ht="34.5" customHeight="1" x14ac:dyDescent="0.25">
      <c r="A433" s="123">
        <v>10</v>
      </c>
      <c r="B433" s="124"/>
      <c r="C433" s="124">
        <v>1222</v>
      </c>
      <c r="D433" s="124">
        <v>1222</v>
      </c>
      <c r="E433" s="124">
        <v>1218</v>
      </c>
      <c r="F433" s="125">
        <v>1222</v>
      </c>
      <c r="G433" s="124">
        <v>1210</v>
      </c>
      <c r="H433" s="124">
        <v>1215</v>
      </c>
      <c r="I433" s="124">
        <v>1217</v>
      </c>
      <c r="J433" s="141">
        <v>1203</v>
      </c>
      <c r="K433" s="124"/>
      <c r="L433" s="124">
        <v>1199</v>
      </c>
      <c r="M433" s="124">
        <v>1197</v>
      </c>
    </row>
    <row r="434" spans="1:13" s="122" customFormat="1" ht="34.5" customHeight="1" x14ac:dyDescent="0.25">
      <c r="A434" s="123">
        <v>11</v>
      </c>
      <c r="B434" s="124">
        <v>1223</v>
      </c>
      <c r="C434" s="124">
        <v>1222</v>
      </c>
      <c r="D434" s="124">
        <v>1222</v>
      </c>
      <c r="E434" s="124"/>
      <c r="F434" s="125">
        <v>1222</v>
      </c>
      <c r="G434" s="124">
        <v>1210</v>
      </c>
      <c r="H434" s="124"/>
      <c r="I434" s="124">
        <v>1217</v>
      </c>
      <c r="J434" s="141">
        <v>1203</v>
      </c>
      <c r="K434" s="124">
        <v>1206</v>
      </c>
      <c r="L434" s="124">
        <v>1199</v>
      </c>
      <c r="M434" s="124">
        <v>1197</v>
      </c>
    </row>
    <row r="435" spans="1:13" s="122" customFormat="1" ht="34.5" customHeight="1" x14ac:dyDescent="0.25">
      <c r="A435" s="123">
        <v>12</v>
      </c>
      <c r="B435" s="124">
        <v>1223</v>
      </c>
      <c r="C435" s="124">
        <v>1222</v>
      </c>
      <c r="D435" s="124">
        <v>1222</v>
      </c>
      <c r="E435" s="124">
        <v>1218</v>
      </c>
      <c r="F435" s="125">
        <v>1222</v>
      </c>
      <c r="G435" s="124">
        <v>1210</v>
      </c>
      <c r="H435" s="124">
        <v>1215</v>
      </c>
      <c r="I435" s="124">
        <v>1217</v>
      </c>
      <c r="J435" s="141"/>
      <c r="K435" s="124">
        <v>1209</v>
      </c>
      <c r="L435" s="124">
        <v>1199</v>
      </c>
      <c r="M435" s="124"/>
    </row>
    <row r="436" spans="1:13" s="122" customFormat="1" ht="34.5" customHeight="1" x14ac:dyDescent="0.25">
      <c r="A436" s="123">
        <v>13</v>
      </c>
      <c r="B436" s="124">
        <v>1223</v>
      </c>
      <c r="C436" s="124">
        <v>1222</v>
      </c>
      <c r="D436" s="124">
        <v>1222</v>
      </c>
      <c r="E436" s="124">
        <v>1218</v>
      </c>
      <c r="F436" s="125">
        <v>1222</v>
      </c>
      <c r="G436" s="124"/>
      <c r="H436" s="124">
        <v>1215</v>
      </c>
      <c r="I436" s="124">
        <v>1217</v>
      </c>
      <c r="J436" s="141">
        <v>1203</v>
      </c>
      <c r="K436" s="124">
        <v>1209</v>
      </c>
      <c r="L436" s="124">
        <v>1201</v>
      </c>
      <c r="M436" s="124"/>
    </row>
    <row r="437" spans="1:13" s="122" customFormat="1" ht="34.5" customHeight="1" x14ac:dyDescent="0.25">
      <c r="A437" s="123">
        <v>14</v>
      </c>
      <c r="B437" s="124">
        <v>1223</v>
      </c>
      <c r="C437" s="124"/>
      <c r="D437" s="124"/>
      <c r="E437" s="124">
        <v>1218</v>
      </c>
      <c r="F437" s="125">
        <v>1222</v>
      </c>
      <c r="G437" s="124">
        <v>1210</v>
      </c>
      <c r="H437" s="124">
        <v>1215</v>
      </c>
      <c r="I437" s="124">
        <v>1217</v>
      </c>
      <c r="J437" s="141">
        <v>1203</v>
      </c>
      <c r="K437" s="124">
        <v>1209</v>
      </c>
      <c r="L437" s="124"/>
      <c r="M437" s="124">
        <v>1197</v>
      </c>
    </row>
    <row r="438" spans="1:13" s="122" customFormat="1" ht="34.5" customHeight="1" x14ac:dyDescent="0.25">
      <c r="A438" s="123">
        <v>15</v>
      </c>
      <c r="B438" s="124">
        <v>1223</v>
      </c>
      <c r="C438" s="124">
        <v>1222</v>
      </c>
      <c r="D438" s="124">
        <v>1222</v>
      </c>
      <c r="E438" s="124">
        <v>1218</v>
      </c>
      <c r="F438" s="125">
        <v>1222</v>
      </c>
      <c r="G438" s="124">
        <v>1210</v>
      </c>
      <c r="H438" s="124">
        <v>1215</v>
      </c>
      <c r="I438" s="124"/>
      <c r="J438" s="141">
        <v>1203</v>
      </c>
      <c r="K438" s="124">
        <v>1209</v>
      </c>
      <c r="L438" s="124">
        <v>1201</v>
      </c>
      <c r="M438" s="124">
        <v>1197</v>
      </c>
    </row>
    <row r="439" spans="1:13" s="122" customFormat="1" ht="34.5" customHeight="1" x14ac:dyDescent="0.25">
      <c r="A439" s="123">
        <v>16</v>
      </c>
      <c r="B439" s="124">
        <v>1223</v>
      </c>
      <c r="C439" s="124">
        <v>1222</v>
      </c>
      <c r="D439" s="124">
        <v>1222</v>
      </c>
      <c r="E439" s="124">
        <v>1218</v>
      </c>
      <c r="F439" s="125"/>
      <c r="G439" s="124">
        <v>1210</v>
      </c>
      <c r="H439" s="124">
        <v>1215</v>
      </c>
      <c r="I439" s="124">
        <v>1217</v>
      </c>
      <c r="J439" s="141">
        <v>1203</v>
      </c>
      <c r="K439" s="124">
        <v>1209</v>
      </c>
      <c r="L439" s="124">
        <v>1202</v>
      </c>
      <c r="M439" s="124">
        <v>1197</v>
      </c>
    </row>
    <row r="440" spans="1:13" s="122" customFormat="1" ht="34.5" customHeight="1" x14ac:dyDescent="0.25">
      <c r="A440" s="123">
        <v>17</v>
      </c>
      <c r="B440" s="124"/>
      <c r="C440" s="124">
        <v>1222</v>
      </c>
      <c r="D440" s="124">
        <v>1222</v>
      </c>
      <c r="E440" s="124">
        <v>1218</v>
      </c>
      <c r="F440" s="125">
        <v>1222</v>
      </c>
      <c r="G440" s="124">
        <v>1210</v>
      </c>
      <c r="H440" s="124">
        <v>1215</v>
      </c>
      <c r="I440" s="124">
        <v>1217</v>
      </c>
      <c r="J440" s="141">
        <v>1203</v>
      </c>
      <c r="K440" s="124"/>
      <c r="L440" s="124">
        <v>1201</v>
      </c>
      <c r="M440" s="124">
        <v>1197</v>
      </c>
    </row>
    <row r="441" spans="1:13" s="122" customFormat="1" ht="34.5" customHeight="1" x14ac:dyDescent="0.25">
      <c r="A441" s="123">
        <v>18</v>
      </c>
      <c r="B441" s="124">
        <v>1223</v>
      </c>
      <c r="C441" s="124">
        <v>1222</v>
      </c>
      <c r="D441" s="124">
        <v>1222</v>
      </c>
      <c r="E441" s="124"/>
      <c r="F441" s="125">
        <v>1222</v>
      </c>
      <c r="G441" s="124">
        <v>1217</v>
      </c>
      <c r="H441" s="124"/>
      <c r="I441" s="124">
        <v>1217</v>
      </c>
      <c r="J441" s="141">
        <v>1203</v>
      </c>
      <c r="K441" s="124"/>
      <c r="L441" s="124">
        <v>1201</v>
      </c>
      <c r="M441" s="124">
        <v>1199</v>
      </c>
    </row>
    <row r="442" spans="1:13" s="122" customFormat="1" ht="34.5" customHeight="1" x14ac:dyDescent="0.25">
      <c r="A442" s="123">
        <v>19</v>
      </c>
      <c r="B442" s="124">
        <v>1222</v>
      </c>
      <c r="C442" s="124">
        <v>1222</v>
      </c>
      <c r="D442" s="124">
        <v>1222</v>
      </c>
      <c r="E442" s="124">
        <v>1218</v>
      </c>
      <c r="F442" s="125">
        <v>1222</v>
      </c>
      <c r="G442" s="124">
        <v>1217</v>
      </c>
      <c r="H442" s="124">
        <v>1215</v>
      </c>
      <c r="I442" s="124">
        <v>1217</v>
      </c>
      <c r="J442" s="141"/>
      <c r="K442" s="124">
        <v>1209</v>
      </c>
      <c r="L442" s="124">
        <v>1201</v>
      </c>
      <c r="M442" s="124"/>
    </row>
    <row r="443" spans="1:13" s="122" customFormat="1" ht="34.5" customHeight="1" x14ac:dyDescent="0.25">
      <c r="A443" s="123">
        <v>20</v>
      </c>
      <c r="B443" s="124">
        <v>1222</v>
      </c>
      <c r="C443" s="124">
        <v>1222</v>
      </c>
      <c r="D443" s="124">
        <v>1222</v>
      </c>
      <c r="E443" s="124">
        <v>1218</v>
      </c>
      <c r="F443" s="125">
        <v>1222</v>
      </c>
      <c r="G443" s="124"/>
      <c r="H443" s="124">
        <v>1212</v>
      </c>
      <c r="I443" s="124">
        <v>1212</v>
      </c>
      <c r="J443" s="141">
        <v>1203</v>
      </c>
      <c r="K443" s="124">
        <v>1209</v>
      </c>
      <c r="L443" s="124">
        <v>1201</v>
      </c>
      <c r="M443" s="124"/>
    </row>
    <row r="444" spans="1:13" s="122" customFormat="1" ht="34.5" customHeight="1" x14ac:dyDescent="0.25">
      <c r="A444" s="123">
        <v>21</v>
      </c>
      <c r="B444" s="124">
        <v>1222</v>
      </c>
      <c r="C444" s="124"/>
      <c r="D444" s="124"/>
      <c r="E444" s="124">
        <v>1218</v>
      </c>
      <c r="F444" s="125">
        <v>1222</v>
      </c>
      <c r="G444" s="124">
        <v>1217</v>
      </c>
      <c r="H444" s="124">
        <v>1212</v>
      </c>
      <c r="I444" s="124">
        <v>1212</v>
      </c>
      <c r="J444" s="141">
        <v>1203</v>
      </c>
      <c r="K444" s="124">
        <v>1207</v>
      </c>
      <c r="L444" s="124"/>
      <c r="M444" s="124">
        <v>1217</v>
      </c>
    </row>
    <row r="445" spans="1:13" s="122" customFormat="1" ht="34.5" customHeight="1" x14ac:dyDescent="0.25">
      <c r="A445" s="123">
        <v>22</v>
      </c>
      <c r="B445" s="124">
        <v>1222</v>
      </c>
      <c r="C445" s="124">
        <v>1222</v>
      </c>
      <c r="D445" s="124">
        <v>1222</v>
      </c>
      <c r="E445" s="124">
        <v>1218</v>
      </c>
      <c r="F445" s="125">
        <v>1222</v>
      </c>
      <c r="G445" s="124">
        <v>1217</v>
      </c>
      <c r="H445" s="124">
        <v>1212</v>
      </c>
      <c r="I445" s="124"/>
      <c r="J445" s="141">
        <v>1203</v>
      </c>
      <c r="K445" s="124">
        <v>1207</v>
      </c>
      <c r="L445" s="124">
        <v>1201</v>
      </c>
      <c r="M445" s="124">
        <v>1217</v>
      </c>
    </row>
    <row r="446" spans="1:13" s="122" customFormat="1" ht="34.5" customHeight="1" x14ac:dyDescent="0.25">
      <c r="A446" s="123">
        <v>23</v>
      </c>
      <c r="B446" s="124">
        <v>1222</v>
      </c>
      <c r="C446" s="124">
        <v>1222</v>
      </c>
      <c r="D446" s="124">
        <v>1222</v>
      </c>
      <c r="E446" s="124">
        <v>1218</v>
      </c>
      <c r="F446" s="125"/>
      <c r="G446" s="124">
        <v>1217</v>
      </c>
      <c r="H446" s="124">
        <v>1212</v>
      </c>
      <c r="I446" s="124">
        <v>1212</v>
      </c>
      <c r="J446" s="141">
        <v>1206</v>
      </c>
      <c r="K446" s="124">
        <v>1207</v>
      </c>
      <c r="L446" s="124">
        <v>1201</v>
      </c>
      <c r="M446" s="124">
        <v>1222</v>
      </c>
    </row>
    <row r="447" spans="1:13" s="122" customFormat="1" ht="34.5" customHeight="1" x14ac:dyDescent="0.25">
      <c r="A447" s="123">
        <v>24</v>
      </c>
      <c r="B447" s="124"/>
      <c r="C447" s="124">
        <v>1222</v>
      </c>
      <c r="D447" s="124">
        <v>1222</v>
      </c>
      <c r="E447" s="124">
        <v>1218</v>
      </c>
      <c r="F447" s="125"/>
      <c r="G447" s="124">
        <v>1217</v>
      </c>
      <c r="H447" s="124">
        <v>1212</v>
      </c>
      <c r="I447" s="124">
        <v>1212</v>
      </c>
      <c r="J447" s="141">
        <v>1206</v>
      </c>
      <c r="K447" s="124"/>
      <c r="L447" s="124">
        <v>1198</v>
      </c>
      <c r="M447" s="124">
        <v>1220</v>
      </c>
    </row>
    <row r="448" spans="1:13" s="122" customFormat="1" ht="34.5" customHeight="1" x14ac:dyDescent="0.25">
      <c r="A448" s="123">
        <v>25</v>
      </c>
      <c r="B448" s="124">
        <v>1222</v>
      </c>
      <c r="C448" s="124">
        <v>1222</v>
      </c>
      <c r="D448" s="124">
        <v>1222</v>
      </c>
      <c r="E448" s="124"/>
      <c r="F448" s="125"/>
      <c r="G448" s="124">
        <v>1217</v>
      </c>
      <c r="H448" s="124"/>
      <c r="I448" s="124">
        <v>1212</v>
      </c>
      <c r="J448" s="141">
        <v>1206</v>
      </c>
      <c r="K448" s="124"/>
      <c r="L448" s="124">
        <v>1198</v>
      </c>
      <c r="M448" s="124">
        <v>1220</v>
      </c>
    </row>
    <row r="449" spans="1:14" s="122" customFormat="1" ht="34.5" customHeight="1" x14ac:dyDescent="0.25">
      <c r="A449" s="123">
        <v>26</v>
      </c>
      <c r="B449" s="124">
        <v>1222</v>
      </c>
      <c r="C449" s="124">
        <v>1222</v>
      </c>
      <c r="D449" s="124">
        <v>1222</v>
      </c>
      <c r="E449" s="124">
        <v>1218</v>
      </c>
      <c r="F449" s="125">
        <v>1222</v>
      </c>
      <c r="G449" s="124">
        <v>1217</v>
      </c>
      <c r="H449" s="124">
        <v>1212</v>
      </c>
      <c r="I449" s="124">
        <v>1203</v>
      </c>
      <c r="J449" s="141"/>
      <c r="K449" s="124">
        <v>1207</v>
      </c>
      <c r="L449" s="124">
        <v>1198</v>
      </c>
      <c r="M449" s="124"/>
    </row>
    <row r="450" spans="1:14" s="122" customFormat="1" ht="34.5" customHeight="1" x14ac:dyDescent="0.25">
      <c r="A450" s="123">
        <v>27</v>
      </c>
      <c r="B450" s="124">
        <v>1222</v>
      </c>
      <c r="C450" s="124">
        <v>1222</v>
      </c>
      <c r="D450" s="124">
        <v>1222</v>
      </c>
      <c r="E450" s="124"/>
      <c r="F450" s="125">
        <v>1222</v>
      </c>
      <c r="G450" s="124"/>
      <c r="H450" s="124">
        <v>1212</v>
      </c>
      <c r="I450" s="124">
        <v>1201</v>
      </c>
      <c r="J450" s="141">
        <v>1206</v>
      </c>
      <c r="K450" s="124">
        <v>1207</v>
      </c>
      <c r="L450" s="124">
        <v>1198</v>
      </c>
      <c r="M450" s="124"/>
    </row>
    <row r="451" spans="1:14" s="122" customFormat="1" ht="34.5" customHeight="1" x14ac:dyDescent="0.25">
      <c r="A451" s="123">
        <v>28</v>
      </c>
      <c r="B451" s="124">
        <v>1222</v>
      </c>
      <c r="C451" s="124"/>
      <c r="D451" s="124"/>
      <c r="E451" s="124"/>
      <c r="F451" s="125">
        <v>1222</v>
      </c>
      <c r="G451" s="124">
        <v>1217</v>
      </c>
      <c r="H451" s="124"/>
      <c r="I451" s="124">
        <v>1201</v>
      </c>
      <c r="J451" s="141">
        <v>1206</v>
      </c>
      <c r="K451" s="124">
        <v>1202</v>
      </c>
      <c r="L451" s="124"/>
      <c r="M451" s="124">
        <v>1220</v>
      </c>
    </row>
    <row r="452" spans="1:14" s="122" customFormat="1" ht="34.5" customHeight="1" x14ac:dyDescent="0.25">
      <c r="A452" s="123">
        <v>29</v>
      </c>
      <c r="B452" s="124">
        <v>1222</v>
      </c>
      <c r="C452" s="126"/>
      <c r="D452" s="124">
        <v>1222</v>
      </c>
      <c r="E452" s="124"/>
      <c r="F452" s="125">
        <v>1222</v>
      </c>
      <c r="G452" s="124">
        <v>1217</v>
      </c>
      <c r="H452" s="124"/>
      <c r="I452" s="124"/>
      <c r="J452" s="141">
        <v>1206</v>
      </c>
      <c r="K452" s="124">
        <v>1202</v>
      </c>
      <c r="L452" s="124">
        <v>1198</v>
      </c>
      <c r="M452" s="124">
        <v>1220</v>
      </c>
    </row>
    <row r="453" spans="1:14" s="122" customFormat="1" ht="34.5" customHeight="1" x14ac:dyDescent="0.25">
      <c r="A453" s="123">
        <v>30</v>
      </c>
      <c r="B453" s="124">
        <v>1222</v>
      </c>
      <c r="C453" s="124"/>
      <c r="D453" s="124">
        <v>1222</v>
      </c>
      <c r="E453" s="124"/>
      <c r="F453" s="125"/>
      <c r="G453" s="124">
        <v>1217</v>
      </c>
      <c r="H453" s="124"/>
      <c r="I453" s="124">
        <v>1201</v>
      </c>
      <c r="J453" s="141">
        <v>1206</v>
      </c>
      <c r="K453" s="124">
        <v>1202</v>
      </c>
      <c r="L453" s="124">
        <v>1197</v>
      </c>
      <c r="M453" s="124">
        <v>1217</v>
      </c>
    </row>
    <row r="454" spans="1:14" s="122" customFormat="1" ht="34.5" customHeight="1" thickBot="1" x14ac:dyDescent="0.3">
      <c r="A454" s="127">
        <v>31</v>
      </c>
      <c r="B454" s="142"/>
      <c r="C454" s="142"/>
      <c r="D454" s="142">
        <v>1222</v>
      </c>
      <c r="E454" s="142"/>
      <c r="F454" s="143">
        <v>1210</v>
      </c>
      <c r="G454" s="142"/>
      <c r="H454" s="142"/>
      <c r="I454" s="142">
        <v>1201</v>
      </c>
      <c r="J454" s="144"/>
      <c r="K454" s="145"/>
      <c r="L454" s="145"/>
      <c r="M454" s="138">
        <v>1217</v>
      </c>
    </row>
    <row r="455" spans="1:14" s="122" customFormat="1" ht="34.5" customHeight="1" thickBot="1" x14ac:dyDescent="0.3">
      <c r="A455" s="161" t="s">
        <v>15</v>
      </c>
      <c r="B455" s="162">
        <f>AVERAGE(B424:B454)</f>
        <v>1222.0434782608695</v>
      </c>
      <c r="C455" s="162">
        <f t="shared" ref="C455:J455" si="12">AVERAGE(C424:C454)</f>
        <v>1222</v>
      </c>
      <c r="D455" s="162">
        <f t="shared" si="12"/>
        <v>1222</v>
      </c>
      <c r="E455" s="162">
        <f t="shared" si="12"/>
        <v>1218.3636363636363</v>
      </c>
      <c r="F455" s="162">
        <f>AVERAGE(F424:F454)</f>
        <v>1221.4782608695652</v>
      </c>
      <c r="G455" s="162">
        <f t="shared" si="12"/>
        <v>1212.9615384615386</v>
      </c>
      <c r="H455" s="162">
        <f t="shared" si="12"/>
        <v>1214.695652173913</v>
      </c>
      <c r="I455" s="162">
        <f t="shared" si="12"/>
        <v>1213.0384615384614</v>
      </c>
      <c r="J455" s="162">
        <f t="shared" si="12"/>
        <v>1203.8076923076924</v>
      </c>
      <c r="K455" s="162">
        <f>AVERAGE(K424:K454)</f>
        <v>1206.7368421052631</v>
      </c>
      <c r="L455" s="162">
        <f>AVERAGE(L424:L454)</f>
        <v>1199.8800000000001</v>
      </c>
      <c r="M455" s="162">
        <f>AVERAGE(M424:M454)</f>
        <v>1205.6521739130435</v>
      </c>
    </row>
    <row r="456" spans="1:14" s="66" customFormat="1" ht="34.5" customHeight="1" x14ac:dyDescent="0.25">
      <c r="A456" s="206" t="s">
        <v>31</v>
      </c>
      <c r="B456" s="206"/>
      <c r="C456" s="206"/>
      <c r="D456" s="206"/>
      <c r="E456" s="206"/>
      <c r="F456" s="206"/>
      <c r="G456" s="206"/>
      <c r="H456" s="206"/>
      <c r="I456" s="206"/>
      <c r="J456" s="206"/>
      <c r="K456" s="206"/>
      <c r="L456" s="206"/>
      <c r="M456" s="206"/>
    </row>
    <row r="457" spans="1:14" s="66" customFormat="1" ht="34.5" customHeight="1" thickBot="1" x14ac:dyDescent="0.3">
      <c r="A457" s="207" t="s">
        <v>1</v>
      </c>
      <c r="B457" s="207"/>
      <c r="C457" s="207"/>
      <c r="D457" s="207"/>
      <c r="E457" s="207"/>
      <c r="F457" s="207"/>
      <c r="G457" s="207"/>
      <c r="H457" s="207"/>
      <c r="I457" s="207"/>
      <c r="J457" s="207"/>
      <c r="K457" s="207"/>
      <c r="L457" s="207"/>
      <c r="M457" s="207"/>
    </row>
    <row r="458" spans="1:14" ht="34.5" customHeight="1" thickBot="1" x14ac:dyDescent="0.3">
      <c r="A458" s="119" t="s">
        <v>2</v>
      </c>
      <c r="B458" s="120" t="s">
        <v>3</v>
      </c>
      <c r="C458" s="120" t="s">
        <v>4</v>
      </c>
      <c r="D458" s="120" t="s">
        <v>5</v>
      </c>
      <c r="E458" s="120" t="s">
        <v>6</v>
      </c>
      <c r="F458" s="120" t="s">
        <v>7</v>
      </c>
      <c r="G458" s="120" t="s">
        <v>8</v>
      </c>
      <c r="H458" s="120" t="s">
        <v>9</v>
      </c>
      <c r="I458" s="120" t="s">
        <v>10</v>
      </c>
      <c r="J458" s="120" t="s">
        <v>11</v>
      </c>
      <c r="K458" s="120" t="s">
        <v>12</v>
      </c>
      <c r="L458" s="120" t="s">
        <v>21</v>
      </c>
      <c r="M458" s="120" t="s">
        <v>14</v>
      </c>
      <c r="N458" s="78"/>
    </row>
    <row r="459" spans="1:14" s="122" customFormat="1" ht="34.5" customHeight="1" x14ac:dyDescent="0.25">
      <c r="A459" s="121">
        <v>1</v>
      </c>
      <c r="B459" s="70"/>
      <c r="C459" s="70">
        <v>1235</v>
      </c>
      <c r="D459" s="70">
        <v>1245</v>
      </c>
      <c r="E459" s="70">
        <v>1287</v>
      </c>
      <c r="F459" s="69"/>
      <c r="G459" s="70">
        <v>1327</v>
      </c>
      <c r="H459" s="70">
        <v>1237</v>
      </c>
      <c r="I459" s="70"/>
      <c r="J459" s="70">
        <v>1217</v>
      </c>
      <c r="K459" s="70">
        <v>1220</v>
      </c>
      <c r="L459" s="70">
        <v>1215</v>
      </c>
      <c r="M459" s="70">
        <v>1214</v>
      </c>
    </row>
    <row r="460" spans="1:14" s="122" customFormat="1" ht="34.5" customHeight="1" x14ac:dyDescent="0.25">
      <c r="A460" s="123">
        <v>2</v>
      </c>
      <c r="B460" s="124"/>
      <c r="C460" s="124">
        <v>1250</v>
      </c>
      <c r="D460" s="124">
        <v>1251</v>
      </c>
      <c r="E460" s="124">
        <v>1287</v>
      </c>
      <c r="F460" s="125"/>
      <c r="G460" s="124">
        <v>1327</v>
      </c>
      <c r="H460" s="124">
        <v>1233</v>
      </c>
      <c r="I460" s="124"/>
      <c r="J460" s="124">
        <v>1218</v>
      </c>
      <c r="K460" s="124"/>
      <c r="L460" s="124">
        <v>1215</v>
      </c>
      <c r="M460" s="124">
        <v>1214</v>
      </c>
    </row>
    <row r="461" spans="1:14" s="122" customFormat="1" ht="34.5" customHeight="1" x14ac:dyDescent="0.25">
      <c r="A461" s="123">
        <v>3</v>
      </c>
      <c r="B461" s="124"/>
      <c r="C461" s="124">
        <v>1250</v>
      </c>
      <c r="D461" s="124">
        <v>1257</v>
      </c>
      <c r="E461" s="124"/>
      <c r="F461" s="125">
        <v>1302</v>
      </c>
      <c r="G461" s="124">
        <v>1324</v>
      </c>
      <c r="H461" s="124"/>
      <c r="I461" s="124">
        <v>1222</v>
      </c>
      <c r="J461" s="124">
        <v>1220</v>
      </c>
      <c r="K461" s="124"/>
      <c r="L461" s="124">
        <v>1215</v>
      </c>
      <c r="M461" s="124">
        <v>1214</v>
      </c>
    </row>
    <row r="462" spans="1:14" s="122" customFormat="1" ht="34.5" customHeight="1" x14ac:dyDescent="0.25">
      <c r="A462" s="123">
        <v>4</v>
      </c>
      <c r="B462" s="124">
        <v>1217</v>
      </c>
      <c r="C462" s="124">
        <v>1238</v>
      </c>
      <c r="D462" s="124">
        <v>1257</v>
      </c>
      <c r="E462" s="124"/>
      <c r="F462" s="125">
        <v>1302</v>
      </c>
      <c r="G462" s="124">
        <v>1324</v>
      </c>
      <c r="H462" s="124"/>
      <c r="I462" s="124">
        <v>1222</v>
      </c>
      <c r="J462" s="124"/>
      <c r="K462" s="124">
        <v>1220</v>
      </c>
      <c r="L462" s="124">
        <v>1220</v>
      </c>
      <c r="M462" s="124"/>
    </row>
    <row r="463" spans="1:14" s="122" customFormat="1" ht="34.5" customHeight="1" x14ac:dyDescent="0.25">
      <c r="A463" s="123">
        <v>5</v>
      </c>
      <c r="B463" s="124">
        <v>1217</v>
      </c>
      <c r="C463" s="124">
        <v>1238</v>
      </c>
      <c r="D463" s="124">
        <v>1257</v>
      </c>
      <c r="E463" s="124">
        <v>1292</v>
      </c>
      <c r="F463" s="125">
        <v>1302</v>
      </c>
      <c r="G463" s="124"/>
      <c r="H463" s="124">
        <v>1236</v>
      </c>
      <c r="I463" s="124">
        <v>1218</v>
      </c>
      <c r="J463" s="124"/>
      <c r="K463" s="124">
        <v>1220</v>
      </c>
      <c r="L463" s="124">
        <v>1220</v>
      </c>
      <c r="M463" s="124"/>
    </row>
    <row r="464" spans="1:14" s="122" customFormat="1" ht="34.5" customHeight="1" x14ac:dyDescent="0.25">
      <c r="A464" s="123">
        <v>6</v>
      </c>
      <c r="B464" s="124">
        <v>1217</v>
      </c>
      <c r="C464" s="124"/>
      <c r="D464" s="124"/>
      <c r="E464" s="124">
        <v>1292</v>
      </c>
      <c r="F464" s="125">
        <v>1302</v>
      </c>
      <c r="G464" s="124"/>
      <c r="H464" s="124">
        <v>1239</v>
      </c>
      <c r="I464" s="124">
        <v>1225</v>
      </c>
      <c r="J464" s="124">
        <v>1220</v>
      </c>
      <c r="K464" s="124">
        <v>1220</v>
      </c>
      <c r="L464" s="124"/>
      <c r="M464" s="124">
        <v>1214</v>
      </c>
    </row>
    <row r="465" spans="1:13" s="122" customFormat="1" ht="34.5" customHeight="1" x14ac:dyDescent="0.25">
      <c r="A465" s="123">
        <v>7</v>
      </c>
      <c r="B465" s="124">
        <v>1222</v>
      </c>
      <c r="C465" s="124"/>
      <c r="D465" s="124"/>
      <c r="E465" s="124">
        <v>1292</v>
      </c>
      <c r="F465" s="125">
        <v>1302</v>
      </c>
      <c r="G465" s="124">
        <v>1330</v>
      </c>
      <c r="H465" s="124">
        <v>1240</v>
      </c>
      <c r="I465" s="124"/>
      <c r="J465" s="124">
        <v>1216</v>
      </c>
      <c r="K465" s="124">
        <v>1220</v>
      </c>
      <c r="L465" s="124"/>
      <c r="M465" s="124">
        <v>1214</v>
      </c>
    </row>
    <row r="466" spans="1:13" s="122" customFormat="1" ht="34.5" customHeight="1" x14ac:dyDescent="0.25">
      <c r="A466" s="123">
        <v>8</v>
      </c>
      <c r="B466" s="124">
        <v>1223</v>
      </c>
      <c r="C466" s="124">
        <v>1230</v>
      </c>
      <c r="D466" s="124">
        <v>1262</v>
      </c>
      <c r="E466" s="124">
        <v>1321</v>
      </c>
      <c r="F466" s="125"/>
      <c r="G466" s="124">
        <v>1330</v>
      </c>
      <c r="H466" s="124">
        <v>1236</v>
      </c>
      <c r="I466" s="124"/>
      <c r="J466" s="124">
        <v>1216</v>
      </c>
      <c r="K466" s="124">
        <v>1220</v>
      </c>
      <c r="L466" s="124">
        <v>1225</v>
      </c>
      <c r="M466" s="124">
        <v>1212</v>
      </c>
    </row>
    <row r="467" spans="1:13" s="122" customFormat="1" ht="34.5" customHeight="1" x14ac:dyDescent="0.25">
      <c r="A467" s="123">
        <v>9</v>
      </c>
      <c r="B467" s="124"/>
      <c r="C467" s="124">
        <v>1235</v>
      </c>
      <c r="D467" s="124">
        <v>1250</v>
      </c>
      <c r="E467" s="124">
        <v>1327</v>
      </c>
      <c r="F467" s="125"/>
      <c r="G467" s="124">
        <v>1330</v>
      </c>
      <c r="H467" s="124">
        <v>1236</v>
      </c>
      <c r="I467" s="124">
        <v>1219</v>
      </c>
      <c r="J467" s="124">
        <v>1220</v>
      </c>
      <c r="K467" s="124"/>
      <c r="L467" s="124">
        <v>1226</v>
      </c>
      <c r="M467" s="124">
        <v>1212</v>
      </c>
    </row>
    <row r="468" spans="1:13" s="122" customFormat="1" ht="34.5" customHeight="1" x14ac:dyDescent="0.25">
      <c r="A468" s="123">
        <v>10</v>
      </c>
      <c r="B468" s="124"/>
      <c r="C468" s="124">
        <v>1235</v>
      </c>
      <c r="D468" s="124">
        <v>1277</v>
      </c>
      <c r="E468" s="124"/>
      <c r="F468" s="125">
        <v>1302</v>
      </c>
      <c r="G468" s="124">
        <v>1335</v>
      </c>
      <c r="H468" s="124"/>
      <c r="I468" s="124">
        <v>1219</v>
      </c>
      <c r="J468" s="124">
        <v>1220</v>
      </c>
      <c r="K468" s="124"/>
      <c r="L468" s="124">
        <v>1225</v>
      </c>
      <c r="M468" s="124">
        <v>1212</v>
      </c>
    </row>
    <row r="469" spans="1:13" s="122" customFormat="1" ht="34.5" customHeight="1" x14ac:dyDescent="0.25">
      <c r="A469" s="123">
        <v>11</v>
      </c>
      <c r="B469" s="124">
        <v>1227</v>
      </c>
      <c r="C469" s="124">
        <v>1235</v>
      </c>
      <c r="D469" s="124">
        <v>1267</v>
      </c>
      <c r="E469" s="124"/>
      <c r="F469" s="125">
        <v>1302</v>
      </c>
      <c r="G469" s="124">
        <v>1335</v>
      </c>
      <c r="H469" s="124"/>
      <c r="I469" s="124">
        <v>1219</v>
      </c>
      <c r="J469" s="124"/>
      <c r="K469" s="124">
        <v>1220</v>
      </c>
      <c r="L469" s="124">
        <v>1225</v>
      </c>
      <c r="M469" s="124"/>
    </row>
    <row r="470" spans="1:13" s="122" customFormat="1" ht="34.5" customHeight="1" x14ac:dyDescent="0.25">
      <c r="A470" s="123">
        <v>12</v>
      </c>
      <c r="B470" s="124">
        <v>1227</v>
      </c>
      <c r="C470" s="124">
        <v>1240</v>
      </c>
      <c r="D470" s="124">
        <v>1267</v>
      </c>
      <c r="E470" s="124">
        <v>1302</v>
      </c>
      <c r="F470" s="125">
        <v>1302</v>
      </c>
      <c r="G470" s="124"/>
      <c r="H470" s="124">
        <v>1236</v>
      </c>
      <c r="I470" s="124">
        <v>1219</v>
      </c>
      <c r="J470" s="124"/>
      <c r="K470" s="124">
        <v>1222</v>
      </c>
      <c r="L470" s="124">
        <v>1225</v>
      </c>
      <c r="M470" s="124"/>
    </row>
    <row r="471" spans="1:13" s="122" customFormat="1" ht="34.5" customHeight="1" x14ac:dyDescent="0.25">
      <c r="A471" s="123">
        <v>13</v>
      </c>
      <c r="B471" s="124">
        <v>1227</v>
      </c>
      <c r="C471" s="124"/>
      <c r="D471" s="124"/>
      <c r="E471" s="124">
        <v>1297</v>
      </c>
      <c r="F471" s="125">
        <v>1302</v>
      </c>
      <c r="G471" s="124"/>
      <c r="H471" s="124">
        <v>1237</v>
      </c>
      <c r="I471" s="124">
        <v>1222</v>
      </c>
      <c r="J471" s="124">
        <v>1225</v>
      </c>
      <c r="K471" s="124">
        <v>1222</v>
      </c>
      <c r="L471" s="124"/>
      <c r="M471" s="124">
        <v>1212</v>
      </c>
    </row>
    <row r="472" spans="1:13" s="122" customFormat="1" ht="34.5" customHeight="1" x14ac:dyDescent="0.25">
      <c r="A472" s="123">
        <v>14</v>
      </c>
      <c r="B472" s="124">
        <v>1240</v>
      </c>
      <c r="C472" s="124"/>
      <c r="D472" s="124"/>
      <c r="E472" s="124">
        <v>1297</v>
      </c>
      <c r="F472" s="125">
        <v>1302</v>
      </c>
      <c r="G472" s="124">
        <v>1355</v>
      </c>
      <c r="H472" s="124">
        <v>1237</v>
      </c>
      <c r="I472" s="124"/>
      <c r="J472" s="124">
        <v>1224</v>
      </c>
      <c r="K472" s="124">
        <v>1222</v>
      </c>
      <c r="L472" s="124"/>
      <c r="M472" s="124">
        <v>1212</v>
      </c>
    </row>
    <row r="473" spans="1:13" s="122" customFormat="1" ht="34.5" customHeight="1" x14ac:dyDescent="0.25">
      <c r="A473" s="123">
        <v>15</v>
      </c>
      <c r="B473" s="124">
        <v>1220</v>
      </c>
      <c r="C473" s="124">
        <v>1246</v>
      </c>
      <c r="D473" s="124">
        <v>1267</v>
      </c>
      <c r="E473" s="124">
        <v>1297</v>
      </c>
      <c r="F473" s="125"/>
      <c r="G473" s="124">
        <v>1379</v>
      </c>
      <c r="H473" s="124">
        <v>1233</v>
      </c>
      <c r="I473" s="124"/>
      <c r="J473" s="124">
        <v>1223</v>
      </c>
      <c r="K473" s="124">
        <v>1222</v>
      </c>
      <c r="L473" s="124">
        <v>1229</v>
      </c>
      <c r="M473" s="124">
        <v>1212</v>
      </c>
    </row>
    <row r="474" spans="1:13" s="122" customFormat="1" ht="34.5" customHeight="1" x14ac:dyDescent="0.25">
      <c r="A474" s="123">
        <v>16</v>
      </c>
      <c r="B474" s="124"/>
      <c r="C474" s="124">
        <v>1245</v>
      </c>
      <c r="D474" s="124">
        <v>1275</v>
      </c>
      <c r="E474" s="124">
        <v>1290</v>
      </c>
      <c r="F474" s="125"/>
      <c r="G474" s="124">
        <v>1379</v>
      </c>
      <c r="H474" s="124"/>
      <c r="I474" s="124">
        <v>1219</v>
      </c>
      <c r="J474" s="124">
        <v>1223</v>
      </c>
      <c r="K474" s="124"/>
      <c r="L474" s="124">
        <v>1225</v>
      </c>
      <c r="M474" s="124">
        <v>1212</v>
      </c>
    </row>
    <row r="475" spans="1:13" s="122" customFormat="1" ht="34.5" customHeight="1" x14ac:dyDescent="0.25">
      <c r="A475" s="123">
        <v>17</v>
      </c>
      <c r="B475" s="124"/>
      <c r="C475" s="124">
        <v>1237</v>
      </c>
      <c r="D475" s="124">
        <v>1275</v>
      </c>
      <c r="E475" s="124"/>
      <c r="F475" s="125">
        <v>1302</v>
      </c>
      <c r="G475" s="124">
        <v>1353</v>
      </c>
      <c r="H475" s="124"/>
      <c r="I475" s="124">
        <v>1214</v>
      </c>
      <c r="J475" s="124">
        <v>1228</v>
      </c>
      <c r="K475" s="124"/>
      <c r="L475" s="124">
        <v>1220</v>
      </c>
      <c r="M475" s="124">
        <v>1214</v>
      </c>
    </row>
    <row r="476" spans="1:13" s="122" customFormat="1" ht="34.5" customHeight="1" x14ac:dyDescent="0.25">
      <c r="A476" s="123">
        <v>18</v>
      </c>
      <c r="B476" s="124">
        <v>1215</v>
      </c>
      <c r="C476" s="124">
        <v>1237</v>
      </c>
      <c r="D476" s="124">
        <v>1275</v>
      </c>
      <c r="E476" s="124"/>
      <c r="F476" s="125">
        <v>1302</v>
      </c>
      <c r="G476" s="124">
        <v>1312</v>
      </c>
      <c r="H476" s="124"/>
      <c r="I476" s="124">
        <v>1214</v>
      </c>
      <c r="J476" s="124"/>
      <c r="K476" s="124">
        <v>1222</v>
      </c>
      <c r="L476" s="124">
        <v>1220</v>
      </c>
      <c r="M476" s="124"/>
    </row>
    <row r="477" spans="1:13" s="122" customFormat="1" ht="34.5" customHeight="1" x14ac:dyDescent="0.25">
      <c r="A477" s="123">
        <v>19</v>
      </c>
      <c r="B477" s="124">
        <v>1215</v>
      </c>
      <c r="C477" s="124">
        <v>1237</v>
      </c>
      <c r="D477" s="124">
        <v>1275</v>
      </c>
      <c r="E477" s="124">
        <v>1295</v>
      </c>
      <c r="F477" s="125">
        <v>1302</v>
      </c>
      <c r="G477" s="124"/>
      <c r="H477" s="124"/>
      <c r="I477" s="124">
        <v>1214</v>
      </c>
      <c r="J477" s="124"/>
      <c r="K477" s="124">
        <v>1222</v>
      </c>
      <c r="L477" s="124">
        <v>1220</v>
      </c>
      <c r="M477" s="124"/>
    </row>
    <row r="478" spans="1:13" s="122" customFormat="1" ht="34.5" customHeight="1" x14ac:dyDescent="0.25">
      <c r="A478" s="123">
        <v>20</v>
      </c>
      <c r="B478" s="124">
        <v>1215</v>
      </c>
      <c r="C478" s="124"/>
      <c r="D478" s="124"/>
      <c r="E478" s="124">
        <v>1295</v>
      </c>
      <c r="F478" s="125">
        <v>1302</v>
      </c>
      <c r="G478" s="124"/>
      <c r="H478" s="124"/>
      <c r="I478" s="124">
        <v>1214</v>
      </c>
      <c r="J478" s="124">
        <v>1233</v>
      </c>
      <c r="K478" s="124">
        <v>1222</v>
      </c>
      <c r="L478" s="124"/>
      <c r="M478" s="124">
        <v>1220</v>
      </c>
    </row>
    <row r="479" spans="1:13" s="122" customFormat="1" ht="34.5" customHeight="1" x14ac:dyDescent="0.25">
      <c r="A479" s="123">
        <v>21</v>
      </c>
      <c r="B479" s="124">
        <v>1207</v>
      </c>
      <c r="C479" s="124"/>
      <c r="D479" s="124"/>
      <c r="E479" s="124">
        <v>1295</v>
      </c>
      <c r="F479" s="125">
        <v>1315</v>
      </c>
      <c r="G479" s="124">
        <v>1250</v>
      </c>
      <c r="H479" s="124">
        <v>1235</v>
      </c>
      <c r="I479" s="124"/>
      <c r="J479" s="124">
        <v>1224</v>
      </c>
      <c r="K479" s="124">
        <v>1222</v>
      </c>
      <c r="L479" s="124"/>
      <c r="M479" s="124">
        <v>1220</v>
      </c>
    </row>
    <row r="480" spans="1:13" s="122" customFormat="1" ht="34.5" customHeight="1" x14ac:dyDescent="0.25">
      <c r="A480" s="123">
        <v>22</v>
      </c>
      <c r="B480" s="124">
        <v>1217</v>
      </c>
      <c r="C480" s="124">
        <v>1243</v>
      </c>
      <c r="D480" s="124">
        <v>1282</v>
      </c>
      <c r="E480" s="124">
        <v>1295</v>
      </c>
      <c r="F480" s="125"/>
      <c r="G480" s="124">
        <v>1255</v>
      </c>
      <c r="H480" s="124">
        <v>1225</v>
      </c>
      <c r="I480" s="124"/>
      <c r="J480" s="124">
        <v>1224</v>
      </c>
      <c r="K480" s="124">
        <v>1222</v>
      </c>
      <c r="L480" s="124">
        <v>1215</v>
      </c>
      <c r="M480" s="124">
        <v>1220</v>
      </c>
    </row>
    <row r="481" spans="1:14" s="122" customFormat="1" ht="34.5" customHeight="1" x14ac:dyDescent="0.25">
      <c r="A481" s="123">
        <v>23</v>
      </c>
      <c r="B481" s="124"/>
      <c r="C481" s="124">
        <v>1243</v>
      </c>
      <c r="D481" s="124">
        <v>1282</v>
      </c>
      <c r="E481" s="124">
        <v>1295</v>
      </c>
      <c r="F481" s="125"/>
      <c r="G481" s="124">
        <v>1255</v>
      </c>
      <c r="H481" s="124">
        <v>1225</v>
      </c>
      <c r="I481" s="124">
        <v>1213</v>
      </c>
      <c r="J481" s="124">
        <v>1224</v>
      </c>
      <c r="K481" s="124"/>
      <c r="L481" s="124">
        <v>1215</v>
      </c>
      <c r="M481" s="124">
        <v>1220</v>
      </c>
    </row>
    <row r="482" spans="1:14" s="122" customFormat="1" ht="34.5" customHeight="1" x14ac:dyDescent="0.25">
      <c r="A482" s="123">
        <v>24</v>
      </c>
      <c r="B482" s="124"/>
      <c r="C482" s="124">
        <v>1243</v>
      </c>
      <c r="D482" s="124">
        <v>1277</v>
      </c>
      <c r="E482" s="124"/>
      <c r="F482" s="125">
        <v>1315</v>
      </c>
      <c r="G482" s="124">
        <v>1258</v>
      </c>
      <c r="H482" s="124"/>
      <c r="I482" s="124">
        <v>1213</v>
      </c>
      <c r="J482" s="124"/>
      <c r="K482" s="124"/>
      <c r="L482" s="124">
        <v>1210</v>
      </c>
      <c r="M482" s="124">
        <v>1220</v>
      </c>
    </row>
    <row r="483" spans="1:14" s="122" customFormat="1" ht="34.5" customHeight="1" x14ac:dyDescent="0.25">
      <c r="A483" s="123">
        <v>25</v>
      </c>
      <c r="B483" s="124">
        <v>1215</v>
      </c>
      <c r="C483" s="124">
        <v>1251</v>
      </c>
      <c r="D483" s="124">
        <v>1282</v>
      </c>
      <c r="E483" s="124"/>
      <c r="F483" s="125">
        <v>1322</v>
      </c>
      <c r="G483" s="124">
        <v>1258</v>
      </c>
      <c r="H483" s="124"/>
      <c r="I483" s="124">
        <v>1210</v>
      </c>
      <c r="J483" s="124"/>
      <c r="K483" s="124">
        <v>1222</v>
      </c>
      <c r="L483" s="124">
        <v>1210</v>
      </c>
      <c r="M483" s="124"/>
    </row>
    <row r="484" spans="1:14" s="122" customFormat="1" ht="34.5" customHeight="1" x14ac:dyDescent="0.25">
      <c r="A484" s="123">
        <v>26</v>
      </c>
      <c r="B484" s="124">
        <v>1217</v>
      </c>
      <c r="C484" s="124">
        <v>1251</v>
      </c>
      <c r="D484" s="124">
        <v>1282</v>
      </c>
      <c r="E484" s="124">
        <v>1295</v>
      </c>
      <c r="F484" s="125">
        <v>1322</v>
      </c>
      <c r="G484" s="124"/>
      <c r="H484" s="124">
        <v>1225</v>
      </c>
      <c r="I484" s="124">
        <v>1210</v>
      </c>
      <c r="J484" s="124"/>
      <c r="K484" s="124">
        <v>1215</v>
      </c>
      <c r="L484" s="124">
        <v>1210</v>
      </c>
      <c r="M484" s="124"/>
    </row>
    <row r="485" spans="1:14" s="122" customFormat="1" ht="34.5" customHeight="1" x14ac:dyDescent="0.25">
      <c r="A485" s="123">
        <v>27</v>
      </c>
      <c r="B485" s="124">
        <v>1223</v>
      </c>
      <c r="C485" s="124"/>
      <c r="D485" s="124"/>
      <c r="E485" s="124">
        <v>1295</v>
      </c>
      <c r="F485" s="125">
        <v>1325</v>
      </c>
      <c r="G485" s="124"/>
      <c r="H485" s="124">
        <v>1223</v>
      </c>
      <c r="I485" s="124">
        <v>1215</v>
      </c>
      <c r="J485" s="124"/>
      <c r="K485" s="124">
        <v>1215</v>
      </c>
      <c r="L485" s="124"/>
      <c r="M485" s="124">
        <v>1220</v>
      </c>
    </row>
    <row r="486" spans="1:14" s="122" customFormat="1" ht="34.5" customHeight="1" x14ac:dyDescent="0.25">
      <c r="A486" s="123">
        <v>28</v>
      </c>
      <c r="B486" s="124">
        <v>1225</v>
      </c>
      <c r="C486" s="124"/>
      <c r="D486" s="124"/>
      <c r="E486" s="124">
        <v>1295</v>
      </c>
      <c r="F486" s="125">
        <v>1325</v>
      </c>
      <c r="G486" s="124">
        <v>1245</v>
      </c>
      <c r="H486" s="124">
        <v>1210</v>
      </c>
      <c r="I486" s="124"/>
      <c r="J486" s="124"/>
      <c r="K486" s="124">
        <v>1212</v>
      </c>
      <c r="L486" s="124"/>
      <c r="M486" s="124">
        <v>1220</v>
      </c>
    </row>
    <row r="487" spans="1:14" s="122" customFormat="1" ht="34.5" customHeight="1" x14ac:dyDescent="0.25">
      <c r="A487" s="123">
        <v>29</v>
      </c>
      <c r="B487" s="124">
        <v>1227</v>
      </c>
      <c r="C487" s="124"/>
      <c r="D487" s="126">
        <v>1284</v>
      </c>
      <c r="E487" s="126">
        <v>1299</v>
      </c>
      <c r="F487" s="132"/>
      <c r="G487" s="126">
        <v>1237</v>
      </c>
      <c r="H487" s="126">
        <v>1210</v>
      </c>
      <c r="I487" s="124"/>
      <c r="J487" s="124">
        <v>1224</v>
      </c>
      <c r="K487" s="124"/>
      <c r="L487" s="124">
        <v>1213</v>
      </c>
      <c r="M487" s="124">
        <v>1224</v>
      </c>
    </row>
    <row r="488" spans="1:14" s="122" customFormat="1" ht="34.5" customHeight="1" x14ac:dyDescent="0.25">
      <c r="A488" s="123">
        <v>30</v>
      </c>
      <c r="B488" s="124"/>
      <c r="C488" s="124"/>
      <c r="D488" s="126">
        <v>1284</v>
      </c>
      <c r="E488" s="126">
        <v>1301</v>
      </c>
      <c r="F488" s="132"/>
      <c r="G488" s="126">
        <v>1243</v>
      </c>
      <c r="H488" s="126"/>
      <c r="I488" s="126">
        <v>1220</v>
      </c>
      <c r="J488" s="126">
        <v>1220</v>
      </c>
      <c r="K488" s="124"/>
      <c r="L488" s="124">
        <v>1213</v>
      </c>
      <c r="M488" s="124">
        <v>1224</v>
      </c>
    </row>
    <row r="489" spans="1:14" s="122" customFormat="1" ht="34.5" customHeight="1" thickBot="1" x14ac:dyDescent="0.3">
      <c r="A489" s="127">
        <v>31</v>
      </c>
      <c r="B489" s="129"/>
      <c r="C489" s="129"/>
      <c r="D489" s="128">
        <v>1284</v>
      </c>
      <c r="E489" s="129"/>
      <c r="F489" s="134">
        <v>1327</v>
      </c>
      <c r="G489" s="129"/>
      <c r="H489" s="128"/>
      <c r="I489" s="128">
        <v>1220</v>
      </c>
      <c r="J489" s="128"/>
      <c r="K489" s="129"/>
      <c r="L489" s="129"/>
      <c r="M489" s="129"/>
    </row>
    <row r="490" spans="1:14" s="122" customFormat="1" ht="34.5" customHeight="1" thickBot="1" x14ac:dyDescent="0.3">
      <c r="A490" s="161" t="s">
        <v>15</v>
      </c>
      <c r="B490" s="162">
        <f>AVERAGE(B459:B489)</f>
        <v>1220.6500000000001</v>
      </c>
      <c r="C490" s="162">
        <f>AVERAGE(C459:C486)</f>
        <v>1240.95</v>
      </c>
      <c r="D490" s="162">
        <f t="shared" ref="D490:K490" si="13">AVERAGE(D459:D489)</f>
        <v>1270.1739130434783</v>
      </c>
      <c r="E490" s="162">
        <f t="shared" si="13"/>
        <v>1297.3181818181818</v>
      </c>
      <c r="F490" s="162">
        <f t="shared" si="13"/>
        <v>1308.5238095238096</v>
      </c>
      <c r="G490" s="162">
        <f>AVERAGE(G459:G489)</f>
        <v>1306.409090909091</v>
      </c>
      <c r="H490" s="162">
        <f t="shared" si="13"/>
        <v>1230.7222222222222</v>
      </c>
      <c r="I490" s="162">
        <f t="shared" si="13"/>
        <v>1217.1904761904761</v>
      </c>
      <c r="J490" s="162">
        <f t="shared" si="13"/>
        <v>1222.0526315789473</v>
      </c>
      <c r="K490" s="162">
        <f t="shared" si="13"/>
        <v>1220.0999999999999</v>
      </c>
      <c r="L490" s="162">
        <f>AVERAGE(L459:L489)</f>
        <v>1218.6818181818182</v>
      </c>
      <c r="M490" s="162">
        <f>AVERAGE(M459:M489)</f>
        <v>1216.1818181818182</v>
      </c>
    </row>
    <row r="491" spans="1:14" s="66" customFormat="1" ht="34.5" customHeight="1" x14ac:dyDescent="0.25">
      <c r="A491" s="206" t="s">
        <v>32</v>
      </c>
      <c r="B491" s="206"/>
      <c r="C491" s="206"/>
      <c r="D491" s="206"/>
      <c r="E491" s="206"/>
      <c r="F491" s="206"/>
      <c r="G491" s="206"/>
      <c r="H491" s="206"/>
      <c r="I491" s="206"/>
      <c r="J491" s="206"/>
      <c r="K491" s="206"/>
      <c r="L491" s="206"/>
      <c r="M491" s="206"/>
    </row>
    <row r="492" spans="1:14" s="66" customFormat="1" ht="34.5" customHeight="1" thickBot="1" x14ac:dyDescent="0.3">
      <c r="A492" s="207" t="s">
        <v>1</v>
      </c>
      <c r="B492" s="207"/>
      <c r="C492" s="207"/>
      <c r="D492" s="207"/>
      <c r="E492" s="207"/>
      <c r="F492" s="207"/>
      <c r="G492" s="207"/>
      <c r="H492" s="207"/>
      <c r="I492" s="207"/>
      <c r="J492" s="207"/>
      <c r="K492" s="207"/>
      <c r="L492" s="207"/>
      <c r="M492" s="207"/>
    </row>
    <row r="493" spans="1:14" ht="34.5" customHeight="1" thickBot="1" x14ac:dyDescent="0.3">
      <c r="A493" s="119" t="s">
        <v>2</v>
      </c>
      <c r="B493" s="120" t="s">
        <v>3</v>
      </c>
      <c r="C493" s="120" t="s">
        <v>4</v>
      </c>
      <c r="D493" s="120" t="s">
        <v>5</v>
      </c>
      <c r="E493" s="120" t="s">
        <v>6</v>
      </c>
      <c r="F493" s="120" t="s">
        <v>7</v>
      </c>
      <c r="G493" s="120" t="s">
        <v>8</v>
      </c>
      <c r="H493" s="120" t="s">
        <v>9</v>
      </c>
      <c r="I493" s="120" t="s">
        <v>10</v>
      </c>
      <c r="J493" s="120" t="s">
        <v>11</v>
      </c>
      <c r="K493" s="120" t="s">
        <v>12</v>
      </c>
      <c r="L493" s="120" t="s">
        <v>21</v>
      </c>
      <c r="M493" s="120" t="s">
        <v>14</v>
      </c>
      <c r="N493" s="78"/>
    </row>
    <row r="494" spans="1:14" s="122" customFormat="1" ht="34.5" customHeight="1" x14ac:dyDescent="0.25">
      <c r="A494" s="121">
        <v>1</v>
      </c>
      <c r="B494" s="70"/>
      <c r="C494" s="70">
        <v>1234</v>
      </c>
      <c r="D494" s="70">
        <v>1245</v>
      </c>
      <c r="E494" s="70"/>
      <c r="F494" s="69"/>
      <c r="G494" s="70">
        <v>1290</v>
      </c>
      <c r="H494" s="70"/>
      <c r="I494" s="70">
        <v>1275</v>
      </c>
      <c r="J494" s="70">
        <v>1282</v>
      </c>
      <c r="K494" s="70"/>
      <c r="L494" s="70">
        <v>1299</v>
      </c>
      <c r="M494" s="70">
        <v>1298</v>
      </c>
    </row>
    <row r="495" spans="1:14" s="122" customFormat="1" ht="34.5" customHeight="1" x14ac:dyDescent="0.25">
      <c r="A495" s="123">
        <v>2</v>
      </c>
      <c r="B495" s="124"/>
      <c r="C495" s="124">
        <v>1234</v>
      </c>
      <c r="D495" s="124">
        <v>1245</v>
      </c>
      <c r="E495" s="124"/>
      <c r="F495" s="125">
        <v>1275</v>
      </c>
      <c r="G495" s="124">
        <v>1290</v>
      </c>
      <c r="H495" s="124"/>
      <c r="I495" s="124">
        <v>1275</v>
      </c>
      <c r="J495" s="124"/>
      <c r="K495" s="124">
        <v>1295</v>
      </c>
      <c r="L495" s="124">
        <v>1290</v>
      </c>
      <c r="M495" s="124"/>
    </row>
    <row r="496" spans="1:14" s="122" customFormat="1" ht="34.5" customHeight="1" x14ac:dyDescent="0.25">
      <c r="A496" s="123">
        <v>3</v>
      </c>
      <c r="B496" s="124">
        <v>1224</v>
      </c>
      <c r="C496" s="124">
        <v>1236</v>
      </c>
      <c r="D496" s="124">
        <v>1245</v>
      </c>
      <c r="E496" s="124">
        <v>1279</v>
      </c>
      <c r="F496" s="125"/>
      <c r="G496" s="124"/>
      <c r="H496" s="124">
        <v>1263</v>
      </c>
      <c r="I496" s="124">
        <v>1275</v>
      </c>
      <c r="J496" s="124"/>
      <c r="K496" s="124">
        <v>1295</v>
      </c>
      <c r="L496" s="124">
        <v>1290</v>
      </c>
      <c r="M496" s="124"/>
    </row>
    <row r="497" spans="1:13" s="122" customFormat="1" ht="34.5" customHeight="1" x14ac:dyDescent="0.25">
      <c r="A497" s="123">
        <v>4</v>
      </c>
      <c r="B497" s="124">
        <v>1224</v>
      </c>
      <c r="C497" s="124">
        <v>1236</v>
      </c>
      <c r="D497" s="124"/>
      <c r="E497" s="124">
        <v>1275</v>
      </c>
      <c r="F497" s="125">
        <v>1275</v>
      </c>
      <c r="G497" s="124"/>
      <c r="H497" s="124">
        <v>1263</v>
      </c>
      <c r="I497" s="124">
        <v>1275</v>
      </c>
      <c r="J497" s="124">
        <v>1282</v>
      </c>
      <c r="K497" s="124">
        <v>1295</v>
      </c>
      <c r="L497" s="124"/>
      <c r="M497" s="124">
        <v>1298</v>
      </c>
    </row>
    <row r="498" spans="1:13" s="122" customFormat="1" ht="34.5" customHeight="1" x14ac:dyDescent="0.25">
      <c r="A498" s="123">
        <v>5</v>
      </c>
      <c r="B498" s="124">
        <v>1224</v>
      </c>
      <c r="C498" s="124"/>
      <c r="D498" s="124"/>
      <c r="E498" s="124">
        <v>1275</v>
      </c>
      <c r="F498" s="125">
        <v>1275</v>
      </c>
      <c r="G498" s="124">
        <v>1283</v>
      </c>
      <c r="H498" s="124">
        <v>1263</v>
      </c>
      <c r="I498" s="124"/>
      <c r="J498" s="124">
        <v>1287</v>
      </c>
      <c r="K498" s="124">
        <v>1302</v>
      </c>
      <c r="L498" s="124"/>
      <c r="M498" s="124">
        <v>1298</v>
      </c>
    </row>
    <row r="499" spans="1:13" s="122" customFormat="1" ht="34.5" customHeight="1" x14ac:dyDescent="0.25">
      <c r="A499" s="123">
        <v>6</v>
      </c>
      <c r="B499" s="124"/>
      <c r="C499" s="124"/>
      <c r="D499" s="124">
        <v>1245</v>
      </c>
      <c r="E499" s="124">
        <v>1271</v>
      </c>
      <c r="F499" s="125"/>
      <c r="G499" s="124">
        <v>1279</v>
      </c>
      <c r="H499" s="124"/>
      <c r="I499" s="124"/>
      <c r="J499" s="124">
        <v>1287</v>
      </c>
      <c r="K499" s="124">
        <v>1309</v>
      </c>
      <c r="L499" s="124">
        <v>1290</v>
      </c>
      <c r="M499" s="124">
        <v>1298</v>
      </c>
    </row>
    <row r="500" spans="1:13" s="122" customFormat="1" ht="34.5" customHeight="1" x14ac:dyDescent="0.25">
      <c r="A500" s="123">
        <v>7</v>
      </c>
      <c r="B500" s="124">
        <v>1228</v>
      </c>
      <c r="C500" s="124">
        <v>1236</v>
      </c>
      <c r="D500" s="124">
        <v>1250</v>
      </c>
      <c r="E500" s="124">
        <v>1271</v>
      </c>
      <c r="F500" s="125"/>
      <c r="G500" s="124">
        <v>1279</v>
      </c>
      <c r="H500" s="124"/>
      <c r="I500" s="124">
        <v>1280</v>
      </c>
      <c r="J500" s="124">
        <v>1287</v>
      </c>
      <c r="K500" s="124"/>
      <c r="L500" s="124">
        <v>1290</v>
      </c>
      <c r="M500" s="124">
        <v>1301</v>
      </c>
    </row>
    <row r="501" spans="1:13" s="122" customFormat="1" ht="34.5" customHeight="1" x14ac:dyDescent="0.25">
      <c r="A501" s="123">
        <v>8</v>
      </c>
      <c r="B501" s="124"/>
      <c r="C501" s="124">
        <v>1236</v>
      </c>
      <c r="D501" s="124">
        <v>1250</v>
      </c>
      <c r="E501" s="124"/>
      <c r="F501" s="125">
        <v>1275</v>
      </c>
      <c r="G501" s="124">
        <v>1272</v>
      </c>
      <c r="H501" s="124">
        <v>1263</v>
      </c>
      <c r="I501" s="124">
        <v>1280</v>
      </c>
      <c r="J501" s="124">
        <v>1290</v>
      </c>
      <c r="K501" s="124"/>
      <c r="L501" s="124">
        <v>1290</v>
      </c>
      <c r="M501" s="124">
        <v>1301</v>
      </c>
    </row>
    <row r="502" spans="1:13" s="122" customFormat="1" ht="34.5" customHeight="1" x14ac:dyDescent="0.25">
      <c r="A502" s="123">
        <v>9</v>
      </c>
      <c r="B502" s="124"/>
      <c r="C502" s="124">
        <v>1236</v>
      </c>
      <c r="D502" s="124">
        <v>1257</v>
      </c>
      <c r="E502" s="124"/>
      <c r="F502" s="125">
        <v>1275</v>
      </c>
      <c r="G502" s="124">
        <v>1260</v>
      </c>
      <c r="H502" s="124">
        <v>1263</v>
      </c>
      <c r="I502" s="124">
        <v>1280</v>
      </c>
      <c r="J502" s="124"/>
      <c r="K502" s="124">
        <v>1305</v>
      </c>
      <c r="L502" s="124">
        <v>1290</v>
      </c>
      <c r="M502" s="124"/>
    </row>
    <row r="503" spans="1:13" s="122" customFormat="1" ht="34.5" customHeight="1" x14ac:dyDescent="0.25">
      <c r="A503" s="123">
        <v>10</v>
      </c>
      <c r="B503" s="124">
        <v>1233</v>
      </c>
      <c r="C503" s="124">
        <v>1236</v>
      </c>
      <c r="D503" s="124">
        <v>1257</v>
      </c>
      <c r="E503" s="124">
        <v>1271</v>
      </c>
      <c r="F503" s="125">
        <v>1275</v>
      </c>
      <c r="G503" s="124"/>
      <c r="H503" s="124">
        <v>1263</v>
      </c>
      <c r="I503" s="124">
        <v>1282</v>
      </c>
      <c r="J503" s="124"/>
      <c r="K503" s="124">
        <v>1293</v>
      </c>
      <c r="L503" s="124">
        <v>1290</v>
      </c>
      <c r="M503" s="124"/>
    </row>
    <row r="504" spans="1:13" s="122" customFormat="1" ht="34.5" customHeight="1" x14ac:dyDescent="0.25">
      <c r="A504" s="123">
        <v>11</v>
      </c>
      <c r="B504" s="124">
        <v>1238</v>
      </c>
      <c r="C504" s="124">
        <v>1240</v>
      </c>
      <c r="D504" s="124"/>
      <c r="E504" s="124">
        <v>1275</v>
      </c>
      <c r="F504" s="125">
        <v>1285</v>
      </c>
      <c r="G504" s="124"/>
      <c r="H504" s="124">
        <v>1263</v>
      </c>
      <c r="I504" s="124">
        <v>1282</v>
      </c>
      <c r="J504" s="124"/>
      <c r="K504" s="124">
        <v>1298</v>
      </c>
      <c r="L504" s="124"/>
      <c r="M504" s="124">
        <v>1301</v>
      </c>
    </row>
    <row r="505" spans="1:13" s="122" customFormat="1" ht="34.5" customHeight="1" x14ac:dyDescent="0.25">
      <c r="A505" s="123">
        <v>12</v>
      </c>
      <c r="B505" s="124">
        <v>1241</v>
      </c>
      <c r="C505" s="124"/>
      <c r="D505" s="124"/>
      <c r="E505" s="124">
        <v>1275</v>
      </c>
      <c r="F505" s="125">
        <v>1283</v>
      </c>
      <c r="G505" s="124">
        <v>1258</v>
      </c>
      <c r="H505" s="124">
        <v>1263</v>
      </c>
      <c r="I505" s="124"/>
      <c r="J505" s="124"/>
      <c r="K505" s="124"/>
      <c r="L505" s="124"/>
      <c r="M505" s="124">
        <v>1306</v>
      </c>
    </row>
    <row r="506" spans="1:13" s="122" customFormat="1" ht="34.5" customHeight="1" x14ac:dyDescent="0.25">
      <c r="A506" s="123">
        <v>13</v>
      </c>
      <c r="B506" s="124">
        <v>1243</v>
      </c>
      <c r="C506" s="124"/>
      <c r="D506" s="124">
        <v>1257</v>
      </c>
      <c r="E506" s="124">
        <v>1275</v>
      </c>
      <c r="F506" s="125"/>
      <c r="G506" s="124">
        <v>1258</v>
      </c>
      <c r="H506" s="124">
        <v>1285</v>
      </c>
      <c r="I506" s="124"/>
      <c r="J506" s="124"/>
      <c r="K506" s="124">
        <v>1295</v>
      </c>
      <c r="L506" s="124">
        <v>1300</v>
      </c>
      <c r="M506" s="124">
        <v>1308</v>
      </c>
    </row>
    <row r="507" spans="1:13" s="122" customFormat="1" ht="34.5" customHeight="1" x14ac:dyDescent="0.25">
      <c r="A507" s="123">
        <v>14</v>
      </c>
      <c r="B507" s="124">
        <v>1243</v>
      </c>
      <c r="C507" s="124">
        <v>1240</v>
      </c>
      <c r="D507" s="124">
        <v>1257</v>
      </c>
      <c r="E507" s="124">
        <v>1275</v>
      </c>
      <c r="F507" s="125"/>
      <c r="G507" s="124">
        <v>1262</v>
      </c>
      <c r="H507" s="124">
        <v>1285</v>
      </c>
      <c r="I507" s="124">
        <v>1282</v>
      </c>
      <c r="J507" s="124"/>
      <c r="K507" s="124"/>
      <c r="L507" s="124">
        <v>1300</v>
      </c>
      <c r="M507" s="124">
        <v>1308</v>
      </c>
    </row>
    <row r="508" spans="1:13" s="122" customFormat="1" ht="34.5" customHeight="1" x14ac:dyDescent="0.25">
      <c r="A508" s="123">
        <v>15</v>
      </c>
      <c r="B508" s="124"/>
      <c r="C508" s="124">
        <v>1240</v>
      </c>
      <c r="D508" s="124">
        <v>1265</v>
      </c>
      <c r="E508" s="124"/>
      <c r="F508" s="125">
        <v>1283</v>
      </c>
      <c r="G508" s="124">
        <v>1265</v>
      </c>
      <c r="H508" s="124"/>
      <c r="I508" s="124">
        <v>1282</v>
      </c>
      <c r="J508" s="124"/>
      <c r="K508" s="124"/>
      <c r="L508" s="124">
        <v>1298</v>
      </c>
      <c r="M508" s="124">
        <v>1308</v>
      </c>
    </row>
    <row r="509" spans="1:13" s="122" customFormat="1" ht="34.5" customHeight="1" x14ac:dyDescent="0.25">
      <c r="A509" s="123">
        <v>16</v>
      </c>
      <c r="B509" s="124"/>
      <c r="C509" s="124">
        <v>1240</v>
      </c>
      <c r="D509" s="124">
        <v>1265</v>
      </c>
      <c r="E509" s="124"/>
      <c r="F509" s="125">
        <v>1283</v>
      </c>
      <c r="G509" s="124">
        <v>1265</v>
      </c>
      <c r="H509" s="124"/>
      <c r="I509" s="124">
        <v>1282</v>
      </c>
      <c r="J509" s="124"/>
      <c r="K509" s="124">
        <v>1297</v>
      </c>
      <c r="L509" s="124">
        <v>1298</v>
      </c>
      <c r="M509" s="124"/>
    </row>
    <row r="510" spans="1:13" s="122" customFormat="1" ht="34.5" customHeight="1" x14ac:dyDescent="0.25">
      <c r="A510" s="123">
        <v>17</v>
      </c>
      <c r="B510" s="124">
        <v>1233</v>
      </c>
      <c r="C510" s="124">
        <v>1240</v>
      </c>
      <c r="D510" s="124">
        <v>1265</v>
      </c>
      <c r="E510" s="124">
        <v>1285</v>
      </c>
      <c r="F510" s="125">
        <v>1285</v>
      </c>
      <c r="G510" s="124"/>
      <c r="H510" s="124">
        <v>1280</v>
      </c>
      <c r="I510" s="124">
        <v>1282</v>
      </c>
      <c r="J510" s="124"/>
      <c r="K510" s="124">
        <v>1294</v>
      </c>
      <c r="L510" s="124">
        <v>1298</v>
      </c>
      <c r="M510" s="124"/>
    </row>
    <row r="511" spans="1:13" s="122" customFormat="1" ht="34.5" customHeight="1" x14ac:dyDescent="0.25">
      <c r="A511" s="123">
        <v>18</v>
      </c>
      <c r="B511" s="124">
        <v>1235</v>
      </c>
      <c r="C511" s="124">
        <v>1240</v>
      </c>
      <c r="D511" s="124"/>
      <c r="E511" s="124">
        <v>1282</v>
      </c>
      <c r="F511" s="125">
        <v>1285</v>
      </c>
      <c r="G511" s="124"/>
      <c r="H511" s="124">
        <v>1280</v>
      </c>
      <c r="I511" s="124">
        <v>1282</v>
      </c>
      <c r="J511" s="124">
        <v>1291</v>
      </c>
      <c r="K511" s="124">
        <v>1297</v>
      </c>
      <c r="L511" s="124"/>
      <c r="M511" s="124">
        <v>1310</v>
      </c>
    </row>
    <row r="512" spans="1:13" s="122" customFormat="1" ht="34.5" customHeight="1" x14ac:dyDescent="0.25">
      <c r="A512" s="123">
        <v>19</v>
      </c>
      <c r="B512" s="124">
        <v>1240</v>
      </c>
      <c r="C512" s="124"/>
      <c r="D512" s="124"/>
      <c r="E512" s="124">
        <v>1282</v>
      </c>
      <c r="F512" s="125">
        <v>1287</v>
      </c>
      <c r="G512" s="124">
        <v>1267</v>
      </c>
      <c r="H512" s="124">
        <v>1280</v>
      </c>
      <c r="I512" s="124"/>
      <c r="J512" s="124">
        <v>1291</v>
      </c>
      <c r="K512" s="124">
        <v>1299</v>
      </c>
      <c r="L512" s="124"/>
      <c r="M512" s="124">
        <v>1310</v>
      </c>
    </row>
    <row r="513" spans="1:14" s="122" customFormat="1" ht="34.5" customHeight="1" x14ac:dyDescent="0.25">
      <c r="A513" s="123">
        <v>20</v>
      </c>
      <c r="B513" s="124">
        <v>1240</v>
      </c>
      <c r="C513" s="124"/>
      <c r="D513" s="124">
        <v>1265</v>
      </c>
      <c r="E513" s="124">
        <v>1282</v>
      </c>
      <c r="F513" s="125"/>
      <c r="G513" s="124">
        <v>1267</v>
      </c>
      <c r="H513" s="124"/>
      <c r="I513" s="124"/>
      <c r="J513" s="124">
        <v>1291</v>
      </c>
      <c r="K513" s="124">
        <v>1294</v>
      </c>
      <c r="L513" s="124">
        <v>1298</v>
      </c>
      <c r="M513" s="124">
        <v>1305</v>
      </c>
    </row>
    <row r="514" spans="1:14" s="122" customFormat="1" ht="34.5" customHeight="1" x14ac:dyDescent="0.25">
      <c r="A514" s="123">
        <v>21</v>
      </c>
      <c r="B514" s="124">
        <v>1240</v>
      </c>
      <c r="C514" s="124">
        <v>1243</v>
      </c>
      <c r="D514" s="124"/>
      <c r="E514" s="124">
        <v>1282</v>
      </c>
      <c r="F514" s="125"/>
      <c r="G514" s="124">
        <v>1267</v>
      </c>
      <c r="H514" s="124"/>
      <c r="I514" s="124">
        <v>1282</v>
      </c>
      <c r="J514" s="124">
        <v>1291</v>
      </c>
      <c r="K514" s="124"/>
      <c r="L514" s="124"/>
      <c r="M514" s="124">
        <v>1305</v>
      </c>
    </row>
    <row r="515" spans="1:14" s="122" customFormat="1" ht="34.5" customHeight="1" x14ac:dyDescent="0.25">
      <c r="A515" s="123">
        <v>22</v>
      </c>
      <c r="B515" s="124"/>
      <c r="C515" s="124">
        <v>1243</v>
      </c>
      <c r="D515" s="124">
        <v>1265</v>
      </c>
      <c r="E515" s="124"/>
      <c r="F515" s="125">
        <v>1290</v>
      </c>
      <c r="G515" s="124">
        <v>1253</v>
      </c>
      <c r="H515" s="124"/>
      <c r="I515" s="124">
        <v>1282</v>
      </c>
      <c r="J515" s="124">
        <v>1291</v>
      </c>
      <c r="K515" s="124"/>
      <c r="L515" s="124">
        <v>1298</v>
      </c>
      <c r="M515" s="124">
        <v>1305</v>
      </c>
    </row>
    <row r="516" spans="1:14" s="122" customFormat="1" ht="34.5" customHeight="1" x14ac:dyDescent="0.25">
      <c r="A516" s="123">
        <v>23</v>
      </c>
      <c r="B516" s="124"/>
      <c r="C516" s="124">
        <v>1243</v>
      </c>
      <c r="D516" s="124">
        <v>1265</v>
      </c>
      <c r="E516" s="124"/>
      <c r="F516" s="125">
        <v>1290</v>
      </c>
      <c r="G516" s="124">
        <v>1253</v>
      </c>
      <c r="H516" s="124"/>
      <c r="I516" s="124">
        <v>1282</v>
      </c>
      <c r="J516" s="124"/>
      <c r="K516" s="124">
        <v>1294</v>
      </c>
      <c r="L516" s="124">
        <v>1298</v>
      </c>
      <c r="M516" s="124"/>
    </row>
    <row r="517" spans="1:14" s="122" customFormat="1" ht="34.5" customHeight="1" x14ac:dyDescent="0.25">
      <c r="A517" s="123">
        <v>24</v>
      </c>
      <c r="B517" s="124">
        <v>1240</v>
      </c>
      <c r="C517" s="124">
        <v>1245</v>
      </c>
      <c r="D517" s="124">
        <v>1265</v>
      </c>
      <c r="E517" s="124">
        <v>1282</v>
      </c>
      <c r="F517" s="125">
        <v>1290</v>
      </c>
      <c r="G517" s="124"/>
      <c r="H517" s="124">
        <v>1280</v>
      </c>
      <c r="I517" s="124">
        <v>1282</v>
      </c>
      <c r="J517" s="124"/>
      <c r="K517" s="124">
        <v>1294</v>
      </c>
      <c r="L517" s="124">
        <v>1298</v>
      </c>
      <c r="M517" s="124"/>
    </row>
    <row r="518" spans="1:14" s="122" customFormat="1" ht="34.5" customHeight="1" x14ac:dyDescent="0.25">
      <c r="A518" s="123">
        <v>25</v>
      </c>
      <c r="B518" s="124">
        <v>1234</v>
      </c>
      <c r="C518" s="124">
        <v>1245</v>
      </c>
      <c r="D518" s="124"/>
      <c r="E518" s="124">
        <v>1282</v>
      </c>
      <c r="F518" s="125">
        <v>1290</v>
      </c>
      <c r="G518" s="124"/>
      <c r="H518" s="124">
        <v>1280</v>
      </c>
      <c r="I518" s="124">
        <v>1282</v>
      </c>
      <c r="J518" s="124">
        <v>1291</v>
      </c>
      <c r="K518" s="124">
        <v>1299</v>
      </c>
      <c r="L518" s="124"/>
      <c r="M518" s="124">
        <v>1305</v>
      </c>
    </row>
    <row r="519" spans="1:14" s="122" customFormat="1" ht="34.5" customHeight="1" x14ac:dyDescent="0.25">
      <c r="A519" s="123">
        <v>26</v>
      </c>
      <c r="B519" s="124">
        <v>1235</v>
      </c>
      <c r="C519" s="124"/>
      <c r="D519" s="124"/>
      <c r="E519" s="124">
        <v>1282</v>
      </c>
      <c r="F519" s="125">
        <v>1290</v>
      </c>
      <c r="G519" s="124">
        <v>1253</v>
      </c>
      <c r="H519" s="124">
        <v>1280</v>
      </c>
      <c r="I519" s="124"/>
      <c r="J519" s="124">
        <v>1291</v>
      </c>
      <c r="K519" s="124">
        <v>1299</v>
      </c>
      <c r="L519" s="124"/>
      <c r="M519" s="124">
        <v>1305</v>
      </c>
    </row>
    <row r="520" spans="1:14" s="122" customFormat="1" ht="34.5" customHeight="1" x14ac:dyDescent="0.25">
      <c r="A520" s="123">
        <v>27</v>
      </c>
      <c r="B520" s="124">
        <v>1234</v>
      </c>
      <c r="C520" s="124"/>
      <c r="D520" s="124">
        <v>1270</v>
      </c>
      <c r="E520" s="124">
        <v>1274</v>
      </c>
      <c r="F520" s="125"/>
      <c r="G520" s="124">
        <v>1253</v>
      </c>
      <c r="H520" s="124">
        <v>1275</v>
      </c>
      <c r="I520" s="124"/>
      <c r="J520" s="124">
        <v>1291</v>
      </c>
      <c r="K520" s="124">
        <v>1299</v>
      </c>
      <c r="L520" s="124">
        <v>1300</v>
      </c>
      <c r="M520" s="124">
        <v>1305</v>
      </c>
    </row>
    <row r="521" spans="1:14" s="122" customFormat="1" ht="34.5" customHeight="1" x14ac:dyDescent="0.25">
      <c r="A521" s="123">
        <v>28</v>
      </c>
      <c r="B521" s="124">
        <v>1234</v>
      </c>
      <c r="C521" s="124">
        <v>1245</v>
      </c>
      <c r="D521" s="124">
        <v>1273</v>
      </c>
      <c r="E521" s="124">
        <v>1274</v>
      </c>
      <c r="F521" s="125"/>
      <c r="G521" s="124">
        <v>1257</v>
      </c>
      <c r="H521" s="124">
        <v>1275</v>
      </c>
      <c r="I521" s="124">
        <v>1282</v>
      </c>
      <c r="J521" s="124">
        <v>1291</v>
      </c>
      <c r="K521" s="124"/>
      <c r="L521" s="124">
        <v>1300</v>
      </c>
      <c r="M521" s="124">
        <v>1299</v>
      </c>
    </row>
    <row r="522" spans="1:14" s="122" customFormat="1" ht="34.5" customHeight="1" x14ac:dyDescent="0.25">
      <c r="A522" s="123">
        <v>29</v>
      </c>
      <c r="B522" s="124"/>
      <c r="C522" s="124">
        <v>1245</v>
      </c>
      <c r="D522" s="124">
        <v>1277</v>
      </c>
      <c r="E522" s="124"/>
      <c r="F522" s="125">
        <v>1290</v>
      </c>
      <c r="G522" s="124">
        <v>1257</v>
      </c>
      <c r="H522" s="124"/>
      <c r="I522" s="124">
        <v>1282</v>
      </c>
      <c r="J522" s="124">
        <v>1291</v>
      </c>
      <c r="K522" s="124"/>
      <c r="L522" s="124">
        <v>1300</v>
      </c>
      <c r="M522" s="124">
        <v>1299</v>
      </c>
    </row>
    <row r="523" spans="1:14" s="122" customFormat="1" ht="34.5" customHeight="1" x14ac:dyDescent="0.25">
      <c r="A523" s="123">
        <v>30</v>
      </c>
      <c r="B523" s="124"/>
      <c r="C523" s="124"/>
      <c r="D523" s="124">
        <v>1277</v>
      </c>
      <c r="E523" s="124"/>
      <c r="F523" s="125">
        <v>1290</v>
      </c>
      <c r="G523" s="124">
        <v>1257</v>
      </c>
      <c r="H523" s="124"/>
      <c r="I523" s="124">
        <v>1282</v>
      </c>
      <c r="J523" s="124"/>
      <c r="K523" s="124">
        <v>1299</v>
      </c>
      <c r="L523" s="124">
        <v>1295</v>
      </c>
      <c r="M523" s="124"/>
    </row>
    <row r="524" spans="1:14" s="122" customFormat="1" ht="34.5" customHeight="1" thickBot="1" x14ac:dyDescent="0.3">
      <c r="A524" s="127">
        <v>31</v>
      </c>
      <c r="B524" s="129">
        <v>1234</v>
      </c>
      <c r="C524" s="129"/>
      <c r="D524" s="129">
        <v>1279</v>
      </c>
      <c r="E524" s="129"/>
      <c r="F524" s="130">
        <v>1290</v>
      </c>
      <c r="G524" s="129"/>
      <c r="H524" s="129">
        <v>1275</v>
      </c>
      <c r="I524" s="129">
        <v>1282</v>
      </c>
      <c r="J524" s="128"/>
      <c r="K524" s="129">
        <v>1299</v>
      </c>
      <c r="L524" s="129"/>
      <c r="M524" s="129"/>
    </row>
    <row r="525" spans="1:14" s="122" customFormat="1" ht="34.5" customHeight="1" thickBot="1" x14ac:dyDescent="0.3">
      <c r="A525" s="161" t="s">
        <v>15</v>
      </c>
      <c r="B525" s="162">
        <f>AVERAGE(B494:B524)</f>
        <v>1234.8499999999999</v>
      </c>
      <c r="C525" s="162">
        <f>AVERAGE(C494:C522)</f>
        <v>1239.6666666666667</v>
      </c>
      <c r="D525" s="162">
        <f>AVERAGE(D494:D524)</f>
        <v>1260.8636363636363</v>
      </c>
      <c r="E525" s="162">
        <f>AVERAGE(E497:E524)</f>
        <v>1277.3684210526317</v>
      </c>
      <c r="F525" s="162">
        <f t="shared" ref="F525:K525" si="14">AVERAGE(F494:F524)</f>
        <v>1283.8571428571429</v>
      </c>
      <c r="G525" s="162">
        <f t="shared" si="14"/>
        <v>1265.6818181818182</v>
      </c>
      <c r="H525" s="162">
        <f t="shared" si="14"/>
        <v>1272.578947368421</v>
      </c>
      <c r="I525" s="162">
        <f t="shared" si="14"/>
        <v>1280.5217391304348</v>
      </c>
      <c r="J525" s="162">
        <f t="shared" si="14"/>
        <v>1289.0625</v>
      </c>
      <c r="K525" s="162">
        <f t="shared" si="14"/>
        <v>1297.6666666666667</v>
      </c>
      <c r="L525" s="162">
        <f>AVERAGE(L494:L524)</f>
        <v>1295.7142857142858</v>
      </c>
      <c r="M525" s="162">
        <f>AVERAGE(M494:M524)</f>
        <v>1303.4761904761904</v>
      </c>
    </row>
    <row r="526" spans="1:14" s="66" customFormat="1" ht="34.5" customHeight="1" x14ac:dyDescent="0.25">
      <c r="A526" s="206" t="s">
        <v>33</v>
      </c>
      <c r="B526" s="206"/>
      <c r="C526" s="206"/>
      <c r="D526" s="206"/>
      <c r="E526" s="206"/>
      <c r="F526" s="206"/>
      <c r="G526" s="206"/>
      <c r="H526" s="206"/>
      <c r="I526" s="206"/>
      <c r="J526" s="206"/>
      <c r="K526" s="206"/>
      <c r="L526" s="206"/>
      <c r="M526" s="206"/>
    </row>
    <row r="527" spans="1:14" s="66" customFormat="1" ht="34.5" customHeight="1" thickBot="1" x14ac:dyDescent="0.3">
      <c r="A527" s="207" t="s">
        <v>1</v>
      </c>
      <c r="B527" s="207"/>
      <c r="C527" s="207"/>
      <c r="D527" s="207"/>
      <c r="E527" s="207"/>
      <c r="F527" s="207"/>
      <c r="G527" s="207"/>
      <c r="H527" s="207"/>
      <c r="I527" s="207"/>
      <c r="J527" s="207"/>
      <c r="K527" s="207"/>
      <c r="L527" s="207"/>
      <c r="M527" s="207"/>
    </row>
    <row r="528" spans="1:14" ht="34.5" customHeight="1" thickBot="1" x14ac:dyDescent="0.3">
      <c r="A528" s="119" t="s">
        <v>2</v>
      </c>
      <c r="B528" s="120" t="s">
        <v>3</v>
      </c>
      <c r="C528" s="120" t="s">
        <v>4</v>
      </c>
      <c r="D528" s="120" t="s">
        <v>5</v>
      </c>
      <c r="E528" s="120" t="s">
        <v>6</v>
      </c>
      <c r="F528" s="120" t="s">
        <v>7</v>
      </c>
      <c r="G528" s="120" t="s">
        <v>8</v>
      </c>
      <c r="H528" s="120" t="s">
        <v>9</v>
      </c>
      <c r="I528" s="120" t="s">
        <v>10</v>
      </c>
      <c r="J528" s="120" t="s">
        <v>11</v>
      </c>
      <c r="K528" s="120" t="s">
        <v>12</v>
      </c>
      <c r="L528" s="120" t="s">
        <v>21</v>
      </c>
      <c r="M528" s="120" t="s">
        <v>14</v>
      </c>
      <c r="N528" s="78"/>
    </row>
    <row r="529" spans="1:13" s="122" customFormat="1" ht="34.5" customHeight="1" x14ac:dyDescent="0.25">
      <c r="A529" s="121">
        <v>1</v>
      </c>
      <c r="B529" s="70"/>
      <c r="C529" s="70">
        <v>1275</v>
      </c>
      <c r="D529" s="70">
        <v>1247</v>
      </c>
      <c r="E529" s="70"/>
      <c r="F529" s="69"/>
      <c r="G529" s="70">
        <v>1245</v>
      </c>
      <c r="H529" s="70"/>
      <c r="I529" s="70">
        <v>1257</v>
      </c>
      <c r="J529" s="71"/>
      <c r="K529" s="71"/>
      <c r="L529" s="71">
        <v>1259</v>
      </c>
      <c r="M529" s="71"/>
    </row>
    <row r="530" spans="1:13" s="122" customFormat="1" ht="34.5" customHeight="1" x14ac:dyDescent="0.25">
      <c r="A530" s="123">
        <v>2</v>
      </c>
      <c r="B530" s="124">
        <v>1299</v>
      </c>
      <c r="C530" s="124">
        <v>1275</v>
      </c>
      <c r="D530" s="124">
        <v>1254</v>
      </c>
      <c r="E530" s="124">
        <v>1252</v>
      </c>
      <c r="F530" s="125">
        <v>1251</v>
      </c>
      <c r="G530" s="124"/>
      <c r="H530" s="124">
        <v>1253</v>
      </c>
      <c r="I530" s="124">
        <v>1257</v>
      </c>
      <c r="J530" s="72"/>
      <c r="K530" s="72">
        <v>1258</v>
      </c>
      <c r="L530" s="72">
        <v>1259</v>
      </c>
      <c r="M530" s="72"/>
    </row>
    <row r="531" spans="1:13" s="122" customFormat="1" ht="34.5" customHeight="1" x14ac:dyDescent="0.25">
      <c r="A531" s="123">
        <v>3</v>
      </c>
      <c r="B531" s="124">
        <v>1304</v>
      </c>
      <c r="C531" s="124"/>
      <c r="D531" s="124"/>
      <c r="E531" s="124">
        <v>1252</v>
      </c>
      <c r="F531" s="125">
        <v>1251</v>
      </c>
      <c r="G531" s="124"/>
      <c r="H531" s="124">
        <v>1253</v>
      </c>
      <c r="I531" s="124">
        <v>1257</v>
      </c>
      <c r="J531" s="72"/>
      <c r="K531" s="72">
        <v>1258</v>
      </c>
      <c r="L531" s="72"/>
      <c r="M531" s="72">
        <v>1247</v>
      </c>
    </row>
    <row r="532" spans="1:13" s="122" customFormat="1" ht="34.5" customHeight="1" x14ac:dyDescent="0.25">
      <c r="A532" s="123">
        <v>4</v>
      </c>
      <c r="B532" s="124">
        <v>1301</v>
      </c>
      <c r="C532" s="124"/>
      <c r="D532" s="124"/>
      <c r="E532" s="124">
        <v>1250</v>
      </c>
      <c r="F532" s="125">
        <v>1251</v>
      </c>
      <c r="G532" s="124">
        <v>1242</v>
      </c>
      <c r="H532" s="124">
        <v>1255</v>
      </c>
      <c r="I532" s="124"/>
      <c r="J532" s="72"/>
      <c r="K532" s="72">
        <v>1258</v>
      </c>
      <c r="L532" s="72"/>
      <c r="M532" s="72">
        <v>1248</v>
      </c>
    </row>
    <row r="533" spans="1:13" s="122" customFormat="1" ht="34.5" customHeight="1" x14ac:dyDescent="0.25">
      <c r="A533" s="123">
        <v>5</v>
      </c>
      <c r="B533" s="124">
        <v>1303</v>
      </c>
      <c r="C533" s="124">
        <v>1275</v>
      </c>
      <c r="D533" s="124">
        <v>1254</v>
      </c>
      <c r="E533" s="124">
        <v>1249</v>
      </c>
      <c r="F533" s="125"/>
      <c r="G533" s="124">
        <v>1247</v>
      </c>
      <c r="H533" s="124">
        <v>1255</v>
      </c>
      <c r="I533" s="124"/>
      <c r="J533" s="72"/>
      <c r="K533" s="72">
        <v>1259</v>
      </c>
      <c r="L533" s="72">
        <v>1257</v>
      </c>
      <c r="M533" s="72">
        <v>1248</v>
      </c>
    </row>
    <row r="534" spans="1:13" s="122" customFormat="1" ht="34.5" customHeight="1" x14ac:dyDescent="0.25">
      <c r="A534" s="123">
        <v>6</v>
      </c>
      <c r="B534" s="124"/>
      <c r="C534" s="124">
        <v>1285</v>
      </c>
      <c r="D534" s="124">
        <v>1254</v>
      </c>
      <c r="E534" s="124"/>
      <c r="F534" s="125"/>
      <c r="G534" s="124">
        <v>1247</v>
      </c>
      <c r="H534" s="124">
        <v>1263</v>
      </c>
      <c r="I534" s="124">
        <v>1257</v>
      </c>
      <c r="J534" s="72">
        <v>1251</v>
      </c>
      <c r="K534" s="72"/>
      <c r="L534" s="72">
        <v>1257</v>
      </c>
      <c r="M534" s="72">
        <v>1248</v>
      </c>
    </row>
    <row r="535" spans="1:13" s="122" customFormat="1" ht="34.5" customHeight="1" x14ac:dyDescent="0.25">
      <c r="A535" s="123">
        <v>7</v>
      </c>
      <c r="B535" s="124"/>
      <c r="C535" s="124">
        <v>1282</v>
      </c>
      <c r="D535" s="124">
        <v>1254</v>
      </c>
      <c r="E535" s="124"/>
      <c r="F535" s="125">
        <v>1252</v>
      </c>
      <c r="G535" s="124">
        <v>1247</v>
      </c>
      <c r="H535" s="124"/>
      <c r="I535" s="124">
        <v>1257</v>
      </c>
      <c r="J535" s="72">
        <v>1251</v>
      </c>
      <c r="K535" s="72"/>
      <c r="L535" s="72">
        <v>1254</v>
      </c>
      <c r="M535" s="72">
        <v>1253</v>
      </c>
    </row>
    <row r="536" spans="1:13" s="122" customFormat="1" ht="34.5" customHeight="1" x14ac:dyDescent="0.25">
      <c r="A536" s="123">
        <v>8</v>
      </c>
      <c r="B536" s="124">
        <v>1303</v>
      </c>
      <c r="C536" s="124">
        <v>1274</v>
      </c>
      <c r="D536" s="124">
        <v>1264</v>
      </c>
      <c r="E536" s="124">
        <v>1252</v>
      </c>
      <c r="F536" s="125">
        <v>1252</v>
      </c>
      <c r="G536" s="124">
        <v>1250</v>
      </c>
      <c r="H536" s="124"/>
      <c r="I536" s="124">
        <v>1260</v>
      </c>
      <c r="J536" s="72"/>
      <c r="K536" s="72">
        <v>1259</v>
      </c>
      <c r="L536" s="72">
        <v>1254</v>
      </c>
      <c r="M536" s="72"/>
    </row>
    <row r="537" spans="1:13" s="122" customFormat="1" ht="34.5" customHeight="1" x14ac:dyDescent="0.25">
      <c r="A537" s="123">
        <v>9</v>
      </c>
      <c r="B537" s="124">
        <v>1302</v>
      </c>
      <c r="C537" s="124">
        <v>1274</v>
      </c>
      <c r="D537" s="124">
        <v>1264</v>
      </c>
      <c r="E537" s="124">
        <v>1253</v>
      </c>
      <c r="F537" s="125">
        <v>1251</v>
      </c>
      <c r="G537" s="124"/>
      <c r="H537" s="124">
        <v>1260</v>
      </c>
      <c r="I537" s="124">
        <v>1262</v>
      </c>
      <c r="J537" s="146"/>
      <c r="K537" s="146">
        <v>1259</v>
      </c>
      <c r="L537" s="146">
        <v>1254</v>
      </c>
      <c r="M537" s="146"/>
    </row>
    <row r="538" spans="1:13" s="122" customFormat="1" ht="34.5" customHeight="1" x14ac:dyDescent="0.25">
      <c r="A538" s="123">
        <v>10</v>
      </c>
      <c r="B538" s="124">
        <v>1302</v>
      </c>
      <c r="C538" s="124"/>
      <c r="D538" s="124"/>
      <c r="E538" s="124">
        <v>1252</v>
      </c>
      <c r="F538" s="125">
        <v>1250</v>
      </c>
      <c r="G538" s="124"/>
      <c r="H538" s="124">
        <v>1257</v>
      </c>
      <c r="I538" s="124"/>
      <c r="J538" s="146">
        <v>1254</v>
      </c>
      <c r="K538" s="146">
        <v>1259</v>
      </c>
      <c r="L538" s="146"/>
      <c r="M538" s="146"/>
    </row>
    <row r="539" spans="1:13" s="122" customFormat="1" ht="34.5" customHeight="1" x14ac:dyDescent="0.25">
      <c r="A539" s="123">
        <v>11</v>
      </c>
      <c r="B539" s="124">
        <v>1301</v>
      </c>
      <c r="C539" s="124"/>
      <c r="D539" s="124"/>
      <c r="E539" s="124">
        <v>1252</v>
      </c>
      <c r="F539" s="125">
        <v>1251</v>
      </c>
      <c r="G539" s="124">
        <v>1250</v>
      </c>
      <c r="H539" s="124"/>
      <c r="I539" s="124"/>
      <c r="J539" s="146">
        <v>1259</v>
      </c>
      <c r="K539" s="146">
        <v>1259</v>
      </c>
      <c r="L539" s="146"/>
      <c r="M539" s="146">
        <v>1253</v>
      </c>
    </row>
    <row r="540" spans="1:13" s="122" customFormat="1" ht="34.5" customHeight="1" x14ac:dyDescent="0.25">
      <c r="A540" s="123">
        <v>12</v>
      </c>
      <c r="B540" s="124">
        <v>1303</v>
      </c>
      <c r="C540" s="124">
        <v>1279</v>
      </c>
      <c r="D540" s="124">
        <v>1260</v>
      </c>
      <c r="E540" s="124">
        <v>1252</v>
      </c>
      <c r="F540" s="125"/>
      <c r="G540" s="124">
        <v>1250</v>
      </c>
      <c r="H540" s="124">
        <v>1257</v>
      </c>
      <c r="I540" s="124"/>
      <c r="J540" s="146">
        <v>1259</v>
      </c>
      <c r="K540" s="146">
        <v>1259</v>
      </c>
      <c r="L540" s="146">
        <v>1254</v>
      </c>
      <c r="M540" s="146">
        <v>1251</v>
      </c>
    </row>
    <row r="541" spans="1:13" s="122" customFormat="1" ht="34.5" customHeight="1" x14ac:dyDescent="0.25">
      <c r="A541" s="123">
        <v>13</v>
      </c>
      <c r="B541" s="124"/>
      <c r="C541" s="124">
        <v>1279</v>
      </c>
      <c r="D541" s="124">
        <v>1260</v>
      </c>
      <c r="E541" s="124"/>
      <c r="F541" s="125"/>
      <c r="G541" s="124">
        <v>1250</v>
      </c>
      <c r="H541" s="124">
        <v>1258</v>
      </c>
      <c r="I541" s="124">
        <v>1259</v>
      </c>
      <c r="J541" s="146">
        <v>1259</v>
      </c>
      <c r="K541" s="146"/>
      <c r="L541" s="146">
        <v>1255</v>
      </c>
      <c r="M541" s="146">
        <v>1251</v>
      </c>
    </row>
    <row r="542" spans="1:13" s="122" customFormat="1" ht="34.5" customHeight="1" x14ac:dyDescent="0.25">
      <c r="A542" s="123">
        <v>14</v>
      </c>
      <c r="B542" s="124"/>
      <c r="C542" s="124">
        <v>1279</v>
      </c>
      <c r="D542" s="124">
        <v>1250</v>
      </c>
      <c r="E542" s="124"/>
      <c r="F542" s="125">
        <v>1253</v>
      </c>
      <c r="G542" s="124">
        <v>1250</v>
      </c>
      <c r="H542" s="124"/>
      <c r="I542" s="124">
        <v>1259</v>
      </c>
      <c r="J542" s="146">
        <v>1259</v>
      </c>
      <c r="K542" s="146"/>
      <c r="L542" s="146">
        <v>1255</v>
      </c>
      <c r="M542" s="146">
        <v>1252</v>
      </c>
    </row>
    <row r="543" spans="1:13" s="122" customFormat="1" ht="34.5" customHeight="1" x14ac:dyDescent="0.25">
      <c r="A543" s="123">
        <v>15</v>
      </c>
      <c r="B543" s="124">
        <v>1303</v>
      </c>
      <c r="C543" s="124">
        <v>1279</v>
      </c>
      <c r="D543" s="124">
        <v>1252</v>
      </c>
      <c r="E543" s="124">
        <v>1252</v>
      </c>
      <c r="F543" s="125">
        <v>1252</v>
      </c>
      <c r="G543" s="124">
        <v>1250</v>
      </c>
      <c r="H543" s="124"/>
      <c r="I543" s="124">
        <v>1259</v>
      </c>
      <c r="J543" s="146"/>
      <c r="K543" s="146">
        <v>1260</v>
      </c>
      <c r="L543" s="146">
        <v>1255</v>
      </c>
      <c r="M543" s="146"/>
    </row>
    <row r="544" spans="1:13" s="122" customFormat="1" ht="34.5" customHeight="1" x14ac:dyDescent="0.25">
      <c r="A544" s="123">
        <v>16</v>
      </c>
      <c r="B544" s="124">
        <v>1303</v>
      </c>
      <c r="C544" s="124">
        <v>1279</v>
      </c>
      <c r="D544" s="124">
        <v>1252</v>
      </c>
      <c r="E544" s="124">
        <v>1249</v>
      </c>
      <c r="F544" s="125">
        <v>1254</v>
      </c>
      <c r="G544" s="124"/>
      <c r="H544" s="124">
        <v>1264</v>
      </c>
      <c r="I544" s="124">
        <v>1259</v>
      </c>
      <c r="J544" s="146"/>
      <c r="K544" s="146">
        <v>1260</v>
      </c>
      <c r="L544" s="146">
        <v>1252</v>
      </c>
      <c r="M544" s="146"/>
    </row>
    <row r="545" spans="1:13" s="122" customFormat="1" ht="34.5" customHeight="1" x14ac:dyDescent="0.25">
      <c r="A545" s="123">
        <v>17</v>
      </c>
      <c r="B545" s="124">
        <v>1294</v>
      </c>
      <c r="C545" s="124"/>
      <c r="D545" s="124"/>
      <c r="E545" s="124">
        <v>1248</v>
      </c>
      <c r="F545" s="125">
        <v>1254</v>
      </c>
      <c r="G545" s="124"/>
      <c r="H545" s="124">
        <v>1260</v>
      </c>
      <c r="I545" s="124">
        <v>1254</v>
      </c>
      <c r="J545" s="146">
        <v>1259</v>
      </c>
      <c r="K545" s="146">
        <v>1260</v>
      </c>
      <c r="L545" s="146"/>
      <c r="M545" s="146">
        <v>1252</v>
      </c>
    </row>
    <row r="546" spans="1:13" s="122" customFormat="1" ht="34.5" customHeight="1" x14ac:dyDescent="0.25">
      <c r="A546" s="123">
        <v>18</v>
      </c>
      <c r="B546" s="124">
        <v>1294</v>
      </c>
      <c r="C546" s="124"/>
      <c r="D546" s="124"/>
      <c r="E546" s="124">
        <v>1248</v>
      </c>
      <c r="F546" s="125">
        <v>1251</v>
      </c>
      <c r="G546" s="124">
        <v>1250</v>
      </c>
      <c r="H546" s="124">
        <v>1259</v>
      </c>
      <c r="I546" s="124"/>
      <c r="J546" s="146">
        <v>1256</v>
      </c>
      <c r="K546" s="146">
        <v>1260</v>
      </c>
      <c r="L546" s="146"/>
      <c r="M546" s="146">
        <v>1252</v>
      </c>
    </row>
    <row r="547" spans="1:13" s="122" customFormat="1" ht="34.5" customHeight="1" x14ac:dyDescent="0.25">
      <c r="A547" s="123">
        <v>19</v>
      </c>
      <c r="B547" s="124">
        <v>1294</v>
      </c>
      <c r="C547" s="124">
        <v>1273</v>
      </c>
      <c r="D547" s="124">
        <v>1252</v>
      </c>
      <c r="E547" s="124">
        <v>1250</v>
      </c>
      <c r="F547" s="125"/>
      <c r="G547" s="124">
        <v>1250</v>
      </c>
      <c r="H547" s="124">
        <v>1259</v>
      </c>
      <c r="I547" s="124"/>
      <c r="J547" s="146">
        <v>1256</v>
      </c>
      <c r="K547" s="146">
        <v>1258</v>
      </c>
      <c r="L547" s="146">
        <v>1252</v>
      </c>
      <c r="M547" s="146">
        <v>1254</v>
      </c>
    </row>
    <row r="548" spans="1:13" s="122" customFormat="1" ht="34.5" customHeight="1" x14ac:dyDescent="0.25">
      <c r="A548" s="123">
        <v>20</v>
      </c>
      <c r="B548" s="124"/>
      <c r="C548" s="124">
        <v>1270</v>
      </c>
      <c r="D548" s="124">
        <v>1252</v>
      </c>
      <c r="E548" s="124"/>
      <c r="F548" s="125"/>
      <c r="G548" s="124">
        <v>1245</v>
      </c>
      <c r="H548" s="124">
        <v>1259</v>
      </c>
      <c r="I548" s="124">
        <v>1254</v>
      </c>
      <c r="J548" s="146">
        <v>1256</v>
      </c>
      <c r="K548" s="146"/>
      <c r="L548" s="146">
        <v>1252</v>
      </c>
      <c r="M548" s="146">
        <v>1255</v>
      </c>
    </row>
    <row r="549" spans="1:13" s="122" customFormat="1" ht="34.5" customHeight="1" x14ac:dyDescent="0.25">
      <c r="A549" s="123">
        <v>21</v>
      </c>
      <c r="B549" s="124"/>
      <c r="C549" s="124">
        <v>1267</v>
      </c>
      <c r="D549" s="124"/>
      <c r="E549" s="124"/>
      <c r="F549" s="125">
        <v>1251</v>
      </c>
      <c r="G549" s="124">
        <v>1244</v>
      </c>
      <c r="H549" s="124"/>
      <c r="I549" s="124">
        <v>1254</v>
      </c>
      <c r="J549" s="146"/>
      <c r="K549" s="146"/>
      <c r="L549" s="146">
        <v>1252</v>
      </c>
      <c r="M549" s="146">
        <v>1255</v>
      </c>
    </row>
    <row r="550" spans="1:13" s="122" customFormat="1" ht="34.5" customHeight="1" x14ac:dyDescent="0.25">
      <c r="A550" s="123">
        <v>22</v>
      </c>
      <c r="B550" s="124">
        <v>1282</v>
      </c>
      <c r="C550" s="124">
        <v>1260</v>
      </c>
      <c r="D550" s="124">
        <v>1250</v>
      </c>
      <c r="E550" s="124"/>
      <c r="F550" s="125">
        <v>1251</v>
      </c>
      <c r="G550" s="124">
        <v>1244</v>
      </c>
      <c r="H550" s="124"/>
      <c r="I550" s="124">
        <v>1249</v>
      </c>
      <c r="J550" s="146"/>
      <c r="K550" s="146">
        <v>1258</v>
      </c>
      <c r="L550" s="146">
        <v>1249</v>
      </c>
      <c r="M550" s="146"/>
    </row>
    <row r="551" spans="1:13" s="122" customFormat="1" ht="34.5" customHeight="1" x14ac:dyDescent="0.25">
      <c r="A551" s="123">
        <v>23</v>
      </c>
      <c r="B551" s="124">
        <v>1282</v>
      </c>
      <c r="C551" s="124">
        <v>1260</v>
      </c>
      <c r="D551" s="124">
        <v>1250</v>
      </c>
      <c r="E551" s="124">
        <v>1252</v>
      </c>
      <c r="F551" s="125">
        <v>1251</v>
      </c>
      <c r="G551" s="124"/>
      <c r="H551" s="124">
        <v>1259</v>
      </c>
      <c r="I551" s="124">
        <v>1249</v>
      </c>
      <c r="J551" s="146"/>
      <c r="K551" s="146">
        <v>1260</v>
      </c>
      <c r="L551" s="146">
        <v>1249</v>
      </c>
      <c r="M551" s="146"/>
    </row>
    <row r="552" spans="1:13" s="122" customFormat="1" ht="34.5" customHeight="1" x14ac:dyDescent="0.25">
      <c r="A552" s="123">
        <v>24</v>
      </c>
      <c r="B552" s="124">
        <v>1282</v>
      </c>
      <c r="C552" s="124"/>
      <c r="D552" s="124"/>
      <c r="E552" s="124">
        <v>1249</v>
      </c>
      <c r="F552" s="125">
        <v>1245</v>
      </c>
      <c r="G552" s="124"/>
      <c r="H552" s="124">
        <v>1257</v>
      </c>
      <c r="I552" s="124">
        <v>1249</v>
      </c>
      <c r="J552" s="146">
        <v>1256</v>
      </c>
      <c r="K552" s="146">
        <v>1260</v>
      </c>
      <c r="L552" s="146"/>
      <c r="M552" s="146">
        <v>1251</v>
      </c>
    </row>
    <row r="553" spans="1:13" s="122" customFormat="1" ht="34.5" customHeight="1" x14ac:dyDescent="0.25">
      <c r="A553" s="123">
        <v>25</v>
      </c>
      <c r="B553" s="124">
        <v>1270</v>
      </c>
      <c r="C553" s="124"/>
      <c r="D553" s="124"/>
      <c r="E553" s="124">
        <v>1249</v>
      </c>
      <c r="F553" s="125">
        <v>1245</v>
      </c>
      <c r="G553" s="124"/>
      <c r="H553" s="124">
        <v>1257</v>
      </c>
      <c r="I553" s="124"/>
      <c r="J553" s="146">
        <v>1256</v>
      </c>
      <c r="K553" s="146">
        <v>1260</v>
      </c>
      <c r="L553" s="146"/>
      <c r="M553" s="146">
        <v>1251</v>
      </c>
    </row>
    <row r="554" spans="1:13" s="122" customFormat="1" ht="34.5" customHeight="1" x14ac:dyDescent="0.25">
      <c r="A554" s="123">
        <v>26</v>
      </c>
      <c r="B554" s="124">
        <v>1275</v>
      </c>
      <c r="C554" s="124">
        <v>1260</v>
      </c>
      <c r="D554" s="124">
        <v>1250</v>
      </c>
      <c r="E554" s="124">
        <v>1249</v>
      </c>
      <c r="F554" s="125"/>
      <c r="G554" s="124"/>
      <c r="H554" s="124">
        <v>1255</v>
      </c>
      <c r="I554" s="124"/>
      <c r="J554" s="146">
        <v>1250</v>
      </c>
      <c r="K554" s="146">
        <v>1260</v>
      </c>
      <c r="L554" s="146">
        <v>1247</v>
      </c>
      <c r="M554" s="146">
        <v>1249</v>
      </c>
    </row>
    <row r="555" spans="1:13" s="122" customFormat="1" ht="34.5" customHeight="1" x14ac:dyDescent="0.25">
      <c r="A555" s="123">
        <v>27</v>
      </c>
      <c r="B555" s="124"/>
      <c r="C555" s="124">
        <v>1260</v>
      </c>
      <c r="D555" s="124">
        <v>1250</v>
      </c>
      <c r="E555" s="124">
        <v>1249</v>
      </c>
      <c r="F555" s="125"/>
      <c r="G555" s="124"/>
      <c r="H555" s="124">
        <v>1255</v>
      </c>
      <c r="I555" s="124">
        <v>1249</v>
      </c>
      <c r="J555" s="146">
        <v>1250</v>
      </c>
      <c r="K555" s="146"/>
      <c r="L555" s="146">
        <v>1247</v>
      </c>
      <c r="M555" s="146">
        <v>1249</v>
      </c>
    </row>
    <row r="556" spans="1:13" s="122" customFormat="1" ht="34.5" customHeight="1" x14ac:dyDescent="0.25">
      <c r="A556" s="123">
        <v>28</v>
      </c>
      <c r="B556" s="124"/>
      <c r="C556" s="124">
        <v>1252</v>
      </c>
      <c r="D556" s="124">
        <v>1250</v>
      </c>
      <c r="E556" s="124"/>
      <c r="F556" s="125">
        <v>1246</v>
      </c>
      <c r="G556" s="124"/>
      <c r="H556" s="124"/>
      <c r="I556" s="124">
        <v>1249</v>
      </c>
      <c r="J556" s="146">
        <v>1250</v>
      </c>
      <c r="K556" s="146"/>
      <c r="L556" s="146">
        <v>1247</v>
      </c>
      <c r="M556" s="146">
        <v>1249</v>
      </c>
    </row>
    <row r="557" spans="1:13" s="122" customFormat="1" ht="34.5" customHeight="1" x14ac:dyDescent="0.25">
      <c r="A557" s="123">
        <v>29</v>
      </c>
      <c r="B557" s="124">
        <v>1275</v>
      </c>
      <c r="C557" s="124"/>
      <c r="D557" s="124">
        <v>1255</v>
      </c>
      <c r="E557" s="124"/>
      <c r="F557" s="125">
        <v>1245</v>
      </c>
      <c r="G557" s="124"/>
      <c r="H557" s="124"/>
      <c r="I557" s="124">
        <v>1249</v>
      </c>
      <c r="J557" s="146"/>
      <c r="K557" s="146">
        <v>1258</v>
      </c>
      <c r="L557" s="146">
        <v>1247</v>
      </c>
      <c r="M557" s="146"/>
    </row>
    <row r="558" spans="1:13" s="122" customFormat="1" ht="34.5" customHeight="1" x14ac:dyDescent="0.25">
      <c r="A558" s="123">
        <v>30</v>
      </c>
      <c r="B558" s="124">
        <v>1272</v>
      </c>
      <c r="C558" s="124"/>
      <c r="D558" s="124">
        <v>1255</v>
      </c>
      <c r="E558" s="124">
        <v>1251</v>
      </c>
      <c r="F558" s="125">
        <v>1245</v>
      </c>
      <c r="G558" s="124"/>
      <c r="H558" s="124">
        <v>1257</v>
      </c>
      <c r="I558" s="124">
        <v>1249</v>
      </c>
      <c r="J558" s="146"/>
      <c r="K558" s="146">
        <v>1259</v>
      </c>
      <c r="L558" s="147"/>
      <c r="M558" s="146"/>
    </row>
    <row r="559" spans="1:13" s="122" customFormat="1" ht="34.5" customHeight="1" thickBot="1" x14ac:dyDescent="0.3">
      <c r="A559" s="127">
        <v>31</v>
      </c>
      <c r="B559" s="129">
        <v>1274</v>
      </c>
      <c r="C559" s="129"/>
      <c r="D559" s="129"/>
      <c r="E559" s="129"/>
      <c r="F559" s="130">
        <v>1242</v>
      </c>
      <c r="G559" s="129"/>
      <c r="H559" s="129">
        <v>1257</v>
      </c>
      <c r="I559" s="129">
        <v>1248</v>
      </c>
      <c r="J559" s="128"/>
      <c r="K559" s="148">
        <v>1259</v>
      </c>
      <c r="L559" s="149"/>
      <c r="M559" s="148"/>
    </row>
    <row r="560" spans="1:13" s="122" customFormat="1" ht="34.5" customHeight="1" thickBot="1" x14ac:dyDescent="0.3">
      <c r="A560" s="161" t="s">
        <v>15</v>
      </c>
      <c r="B560" s="162">
        <f>AVERAGE(B529:B559)</f>
        <v>1291.7272727272727</v>
      </c>
      <c r="C560" s="162">
        <f t="shared" ref="C560:M560" si="15">AVERAGE(C529:C559)</f>
        <v>1271.8499999999999</v>
      </c>
      <c r="D560" s="162">
        <f t="shared" si="15"/>
        <v>1253.7619047619048</v>
      </c>
      <c r="E560" s="162">
        <f t="shared" si="15"/>
        <v>1250.5</v>
      </c>
      <c r="F560" s="162">
        <f t="shared" si="15"/>
        <v>1249.7272727272727</v>
      </c>
      <c r="G560" s="162">
        <f t="shared" si="15"/>
        <v>1247.5625</v>
      </c>
      <c r="H560" s="162">
        <f t="shared" si="15"/>
        <v>1257.5714285714287</v>
      </c>
      <c r="I560" s="162">
        <f t="shared" si="15"/>
        <v>1254.3636363636363</v>
      </c>
      <c r="J560" s="162">
        <f t="shared" si="15"/>
        <v>1255.0625</v>
      </c>
      <c r="K560" s="162">
        <f t="shared" si="15"/>
        <v>1259.090909090909</v>
      </c>
      <c r="L560" s="162">
        <f t="shared" si="15"/>
        <v>1252.7142857142858</v>
      </c>
      <c r="M560" s="162">
        <f t="shared" si="15"/>
        <v>1250.9473684210527</v>
      </c>
    </row>
    <row r="561" spans="1:15" s="66" customFormat="1" ht="34.5" customHeight="1" x14ac:dyDescent="0.25">
      <c r="A561" s="206" t="s">
        <v>34</v>
      </c>
      <c r="B561" s="206"/>
      <c r="C561" s="206"/>
      <c r="D561" s="206"/>
      <c r="E561" s="206"/>
      <c r="F561" s="206"/>
      <c r="G561" s="206"/>
      <c r="H561" s="206"/>
      <c r="I561" s="206"/>
      <c r="J561" s="206"/>
      <c r="K561" s="206"/>
      <c r="L561" s="206"/>
      <c r="M561" s="206"/>
    </row>
    <row r="562" spans="1:15" s="66" customFormat="1" ht="34.5" customHeight="1" thickBot="1" x14ac:dyDescent="0.3">
      <c r="A562" s="207" t="s">
        <v>1</v>
      </c>
      <c r="B562" s="207"/>
      <c r="C562" s="207"/>
      <c r="D562" s="207"/>
      <c r="E562" s="207"/>
      <c r="F562" s="207"/>
      <c r="G562" s="207"/>
      <c r="H562" s="207"/>
      <c r="I562" s="207"/>
      <c r="J562" s="207"/>
      <c r="K562" s="207"/>
      <c r="L562" s="207"/>
      <c r="M562" s="207"/>
    </row>
    <row r="563" spans="1:15" ht="34.5" customHeight="1" thickBot="1" x14ac:dyDescent="0.3">
      <c r="A563" s="119" t="s">
        <v>2</v>
      </c>
      <c r="B563" s="120" t="s">
        <v>3</v>
      </c>
      <c r="C563" s="120" t="s">
        <v>4</v>
      </c>
      <c r="D563" s="120" t="s">
        <v>5</v>
      </c>
      <c r="E563" s="120" t="s">
        <v>6</v>
      </c>
      <c r="F563" s="120" t="s">
        <v>7</v>
      </c>
      <c r="G563" s="120" t="s">
        <v>8</v>
      </c>
      <c r="H563" s="120" t="s">
        <v>9</v>
      </c>
      <c r="I563" s="120" t="s">
        <v>10</v>
      </c>
      <c r="J563" s="120" t="s">
        <v>11</v>
      </c>
      <c r="K563" s="120" t="s">
        <v>12</v>
      </c>
      <c r="L563" s="120" t="s">
        <v>21</v>
      </c>
      <c r="M563" s="120" t="s">
        <v>14</v>
      </c>
      <c r="N563" s="78"/>
    </row>
    <row r="564" spans="1:15" s="122" customFormat="1" ht="34.5" customHeight="1" x14ac:dyDescent="0.25">
      <c r="A564" s="121">
        <v>1</v>
      </c>
      <c r="B564" s="71"/>
      <c r="C564" s="71">
        <v>1234</v>
      </c>
      <c r="D564" s="71">
        <v>1220</v>
      </c>
      <c r="E564" s="71">
        <v>1206</v>
      </c>
      <c r="F564" s="73"/>
      <c r="G564" s="71"/>
      <c r="H564" s="71">
        <v>1199</v>
      </c>
      <c r="I564" s="71">
        <v>1199</v>
      </c>
      <c r="J564" s="71"/>
      <c r="K564" s="71">
        <v>1204</v>
      </c>
      <c r="L564" s="74">
        <v>1206</v>
      </c>
      <c r="M564" s="71"/>
      <c r="N564" s="150"/>
      <c r="O564" s="150"/>
    </row>
    <row r="565" spans="1:15" s="122" customFormat="1" ht="34.5" customHeight="1" x14ac:dyDescent="0.25">
      <c r="A565" s="123">
        <v>2</v>
      </c>
      <c r="B565" s="72">
        <v>1252</v>
      </c>
      <c r="C565" s="72"/>
      <c r="D565" s="72"/>
      <c r="E565" s="72">
        <v>1207</v>
      </c>
      <c r="F565" s="75">
        <v>1197</v>
      </c>
      <c r="G565" s="72"/>
      <c r="H565" s="72">
        <v>1199</v>
      </c>
      <c r="I565" s="72">
        <v>1199</v>
      </c>
      <c r="J565" s="72">
        <v>1205</v>
      </c>
      <c r="K565" s="72">
        <v>1204</v>
      </c>
      <c r="L565" s="76"/>
      <c r="M565" s="76">
        <v>1194.576</v>
      </c>
    </row>
    <row r="566" spans="1:15" s="122" customFormat="1" ht="34.5" customHeight="1" x14ac:dyDescent="0.25">
      <c r="A566" s="123">
        <v>3</v>
      </c>
      <c r="B566" s="72">
        <v>1252</v>
      </c>
      <c r="C566" s="72"/>
      <c r="D566" s="72"/>
      <c r="E566" s="72">
        <v>1207</v>
      </c>
      <c r="F566" s="75">
        <v>1199</v>
      </c>
      <c r="G566" s="72">
        <v>1199</v>
      </c>
      <c r="H566" s="72">
        <v>1199</v>
      </c>
      <c r="I566" s="72"/>
      <c r="J566" s="72">
        <v>1204</v>
      </c>
      <c r="K566" s="72">
        <v>1206</v>
      </c>
      <c r="L566" s="76"/>
      <c r="M566" s="76">
        <v>1194.3109999999999</v>
      </c>
    </row>
    <row r="567" spans="1:15" s="122" customFormat="1" ht="34.5" customHeight="1" x14ac:dyDescent="0.25">
      <c r="A567" s="123">
        <v>4</v>
      </c>
      <c r="B567" s="72">
        <v>1250</v>
      </c>
      <c r="C567" s="72">
        <v>1234</v>
      </c>
      <c r="D567" s="72">
        <v>1220</v>
      </c>
      <c r="E567" s="72">
        <v>1204</v>
      </c>
      <c r="F567" s="75"/>
      <c r="G567" s="72">
        <v>1199</v>
      </c>
      <c r="H567" s="72">
        <v>1200</v>
      </c>
      <c r="I567" s="72"/>
      <c r="J567" s="72">
        <v>1206</v>
      </c>
      <c r="K567" s="72">
        <v>1207</v>
      </c>
      <c r="L567" s="77">
        <v>1206</v>
      </c>
      <c r="M567" s="76">
        <v>1194.2059999999999</v>
      </c>
    </row>
    <row r="568" spans="1:15" s="122" customFormat="1" ht="34.5" customHeight="1" x14ac:dyDescent="0.25">
      <c r="A568" s="123">
        <v>5</v>
      </c>
      <c r="B568" s="72"/>
      <c r="C568" s="72">
        <v>1236</v>
      </c>
      <c r="D568" s="72">
        <v>1222</v>
      </c>
      <c r="E568" s="72">
        <v>1204</v>
      </c>
      <c r="F568" s="75"/>
      <c r="G568" s="72">
        <v>1199</v>
      </c>
      <c r="H568" s="72">
        <v>1200</v>
      </c>
      <c r="I568" s="72">
        <v>1201</v>
      </c>
      <c r="J568" s="72">
        <v>1206</v>
      </c>
      <c r="K568" s="72"/>
      <c r="L568" s="77">
        <v>1205</v>
      </c>
      <c r="M568" s="76">
        <v>1194.8019999999999</v>
      </c>
    </row>
    <row r="569" spans="1:15" s="122" customFormat="1" ht="34.5" customHeight="1" x14ac:dyDescent="0.25">
      <c r="A569" s="123">
        <v>6</v>
      </c>
      <c r="B569" s="72"/>
      <c r="C569" s="72">
        <v>1235</v>
      </c>
      <c r="D569" s="72">
        <v>1225</v>
      </c>
      <c r="E569" s="72"/>
      <c r="F569" s="75">
        <v>1203</v>
      </c>
      <c r="G569" s="72">
        <v>1196</v>
      </c>
      <c r="H569" s="72"/>
      <c r="I569" s="72">
        <v>1202</v>
      </c>
      <c r="J569" s="72">
        <v>1209</v>
      </c>
      <c r="K569" s="72"/>
      <c r="L569" s="77">
        <v>1204</v>
      </c>
      <c r="M569" s="76">
        <v>1195.366</v>
      </c>
    </row>
    <row r="570" spans="1:15" s="122" customFormat="1" ht="34.5" customHeight="1" x14ac:dyDescent="0.25">
      <c r="A570" s="123">
        <v>7</v>
      </c>
      <c r="B570" s="72">
        <v>1253</v>
      </c>
      <c r="C570" s="72">
        <v>1236</v>
      </c>
      <c r="D570" s="72">
        <v>1225</v>
      </c>
      <c r="E570" s="72"/>
      <c r="F570" s="75">
        <v>1205</v>
      </c>
      <c r="G570" s="72">
        <v>1198</v>
      </c>
      <c r="H570" s="72"/>
      <c r="I570" s="72">
        <v>1202</v>
      </c>
      <c r="J570" s="72"/>
      <c r="K570" s="72">
        <v>1207</v>
      </c>
      <c r="L570" s="77">
        <v>1204</v>
      </c>
      <c r="M570" s="76"/>
    </row>
    <row r="571" spans="1:15" s="122" customFormat="1" ht="34.5" customHeight="1" x14ac:dyDescent="0.25">
      <c r="A571" s="123">
        <v>8</v>
      </c>
      <c r="B571" s="72">
        <v>1253</v>
      </c>
      <c r="C571" s="72">
        <v>1238</v>
      </c>
      <c r="D571" s="72">
        <v>1225</v>
      </c>
      <c r="E571" s="72">
        <v>1205</v>
      </c>
      <c r="F571" s="75">
        <v>1202</v>
      </c>
      <c r="G571" s="72"/>
      <c r="H571" s="72">
        <v>1201</v>
      </c>
      <c r="I571" s="72">
        <v>1202</v>
      </c>
      <c r="J571" s="72"/>
      <c r="K571" s="72">
        <v>1208</v>
      </c>
      <c r="L571" s="77">
        <v>1204</v>
      </c>
      <c r="M571" s="76"/>
    </row>
    <row r="572" spans="1:15" s="122" customFormat="1" ht="34.5" customHeight="1" x14ac:dyDescent="0.25">
      <c r="A572" s="123">
        <v>9</v>
      </c>
      <c r="B572" s="146">
        <v>1253</v>
      </c>
      <c r="C572" s="146"/>
      <c r="D572" s="146"/>
      <c r="E572" s="146">
        <v>1205</v>
      </c>
      <c r="F572" s="151">
        <v>1201</v>
      </c>
      <c r="G572" s="146"/>
      <c r="H572" s="146">
        <v>1202</v>
      </c>
      <c r="I572" s="146">
        <v>1202</v>
      </c>
      <c r="J572" s="146">
        <v>1210</v>
      </c>
      <c r="K572" s="146">
        <v>1207</v>
      </c>
      <c r="L572" s="152"/>
      <c r="M572" s="152">
        <v>1196.973</v>
      </c>
    </row>
    <row r="573" spans="1:15" s="122" customFormat="1" ht="34.5" customHeight="1" x14ac:dyDescent="0.25">
      <c r="A573" s="123">
        <v>10</v>
      </c>
      <c r="B573" s="146">
        <v>1252</v>
      </c>
      <c r="C573" s="146"/>
      <c r="D573" s="146"/>
      <c r="E573" s="146">
        <v>1205</v>
      </c>
      <c r="F573" s="151">
        <v>1204</v>
      </c>
      <c r="G573" s="146">
        <v>1198</v>
      </c>
      <c r="H573" s="146">
        <v>1202</v>
      </c>
      <c r="I573" s="146"/>
      <c r="J573" s="146">
        <v>1214</v>
      </c>
      <c r="K573" s="146">
        <v>1208</v>
      </c>
      <c r="L573" s="152"/>
      <c r="M573" s="153"/>
    </row>
    <row r="574" spans="1:15" s="122" customFormat="1" ht="34.5" customHeight="1" x14ac:dyDescent="0.25">
      <c r="A574" s="123">
        <v>11</v>
      </c>
      <c r="B574" s="146">
        <v>1252</v>
      </c>
      <c r="C574" s="146">
        <v>1235</v>
      </c>
      <c r="D574" s="146">
        <v>1222</v>
      </c>
      <c r="E574" s="146">
        <v>1205</v>
      </c>
      <c r="F574" s="151"/>
      <c r="G574" s="146">
        <v>1201</v>
      </c>
      <c r="H574" s="146">
        <v>1202</v>
      </c>
      <c r="I574" s="146"/>
      <c r="J574" s="146"/>
      <c r="K574" s="146">
        <v>1207</v>
      </c>
      <c r="L574" s="154">
        <v>1204</v>
      </c>
      <c r="M574" s="152">
        <v>1195.5170000000001</v>
      </c>
    </row>
    <row r="575" spans="1:15" s="122" customFormat="1" ht="34.5" customHeight="1" x14ac:dyDescent="0.25">
      <c r="A575" s="123">
        <v>12</v>
      </c>
      <c r="B575" s="146"/>
      <c r="C575" s="146">
        <v>1236</v>
      </c>
      <c r="D575" s="146">
        <v>1222</v>
      </c>
      <c r="E575" s="146"/>
      <c r="F575" s="151"/>
      <c r="G575" s="146">
        <v>1201</v>
      </c>
      <c r="H575" s="146">
        <v>1203</v>
      </c>
      <c r="I575" s="146">
        <v>1212</v>
      </c>
      <c r="J575" s="146">
        <v>1209</v>
      </c>
      <c r="K575" s="146"/>
      <c r="L575" s="154">
        <v>1205</v>
      </c>
      <c r="M575" s="152">
        <v>1196.232</v>
      </c>
    </row>
    <row r="576" spans="1:15" s="122" customFormat="1" ht="34.5" customHeight="1" x14ac:dyDescent="0.25">
      <c r="A576" s="123">
        <v>13</v>
      </c>
      <c r="B576" s="146"/>
      <c r="C576" s="146">
        <v>1235</v>
      </c>
      <c r="D576" s="146">
        <v>1221</v>
      </c>
      <c r="E576" s="146"/>
      <c r="F576" s="151" t="s">
        <v>35</v>
      </c>
      <c r="G576" s="146">
        <v>1201</v>
      </c>
      <c r="H576" s="146"/>
      <c r="I576" s="146">
        <v>1209</v>
      </c>
      <c r="J576" s="146">
        <v>1209</v>
      </c>
      <c r="K576" s="146"/>
      <c r="L576" s="154">
        <v>1204</v>
      </c>
      <c r="M576" s="152">
        <v>1195.665</v>
      </c>
    </row>
    <row r="577" spans="1:13" s="122" customFormat="1" ht="34.5" customHeight="1" x14ac:dyDescent="0.25">
      <c r="A577" s="123">
        <v>14</v>
      </c>
      <c r="B577" s="146">
        <v>1252</v>
      </c>
      <c r="C577" s="146">
        <v>1232</v>
      </c>
      <c r="D577" s="146">
        <v>1217</v>
      </c>
      <c r="E577" s="146"/>
      <c r="F577" s="151">
        <v>1203</v>
      </c>
      <c r="G577" s="146">
        <v>1200</v>
      </c>
      <c r="H577" s="146"/>
      <c r="I577" s="146">
        <v>1208</v>
      </c>
      <c r="J577" s="146"/>
      <c r="K577" s="146">
        <v>1208</v>
      </c>
      <c r="L577" s="152">
        <v>1196.77</v>
      </c>
      <c r="M577" s="152"/>
    </row>
    <row r="578" spans="1:13" s="122" customFormat="1" ht="34.5" customHeight="1" x14ac:dyDescent="0.25">
      <c r="A578" s="123">
        <v>15</v>
      </c>
      <c r="B578" s="146">
        <v>1249</v>
      </c>
      <c r="C578" s="146">
        <v>1229</v>
      </c>
      <c r="D578" s="146">
        <v>1214</v>
      </c>
      <c r="E578" s="146">
        <v>1206</v>
      </c>
      <c r="F578" s="151">
        <v>1201</v>
      </c>
      <c r="G578" s="146"/>
      <c r="H578" s="146">
        <v>1207</v>
      </c>
      <c r="I578" s="146">
        <v>1209</v>
      </c>
      <c r="J578" s="146"/>
      <c r="K578" s="146">
        <v>1205</v>
      </c>
      <c r="L578" s="146">
        <v>1196.595</v>
      </c>
      <c r="M578" s="152"/>
    </row>
    <row r="579" spans="1:13" s="122" customFormat="1" ht="34.5" customHeight="1" x14ac:dyDescent="0.25">
      <c r="A579" s="123">
        <v>16</v>
      </c>
      <c r="B579" s="146">
        <v>1249</v>
      </c>
      <c r="C579" s="146"/>
      <c r="D579" s="146"/>
      <c r="E579" s="146">
        <v>1206</v>
      </c>
      <c r="F579" s="151">
        <v>1200</v>
      </c>
      <c r="G579" s="146"/>
      <c r="H579" s="146">
        <v>1205</v>
      </c>
      <c r="I579" s="146">
        <v>1209</v>
      </c>
      <c r="J579" s="146">
        <v>1207</v>
      </c>
      <c r="K579" s="146">
        <v>1205</v>
      </c>
      <c r="L579" s="146"/>
      <c r="M579" s="152">
        <v>1196.1890000000001</v>
      </c>
    </row>
    <row r="580" spans="1:13" s="122" customFormat="1" ht="34.5" customHeight="1" x14ac:dyDescent="0.25">
      <c r="A580" s="123">
        <v>17</v>
      </c>
      <c r="B580" s="146">
        <v>1249</v>
      </c>
      <c r="C580" s="146"/>
      <c r="D580" s="146"/>
      <c r="E580" s="146">
        <v>1205</v>
      </c>
      <c r="F580" s="151">
        <v>1202</v>
      </c>
      <c r="G580" s="146"/>
      <c r="H580" s="146">
        <v>1202</v>
      </c>
      <c r="I580" s="146"/>
      <c r="J580" s="146">
        <v>1207</v>
      </c>
      <c r="K580" s="146">
        <v>1205</v>
      </c>
      <c r="L580" s="146"/>
      <c r="M580" s="152">
        <v>1195.5119999999999</v>
      </c>
    </row>
    <row r="581" spans="1:13" s="122" customFormat="1" ht="34.5" customHeight="1" x14ac:dyDescent="0.25">
      <c r="A581" s="123">
        <v>18</v>
      </c>
      <c r="B581" s="146">
        <v>1249</v>
      </c>
      <c r="C581" s="146">
        <v>1226</v>
      </c>
      <c r="D581" s="146">
        <v>1213</v>
      </c>
      <c r="E581" s="146">
        <v>1205</v>
      </c>
      <c r="F581" s="151"/>
      <c r="G581" s="146"/>
      <c r="H581" s="146">
        <v>1202</v>
      </c>
      <c r="I581" s="146"/>
      <c r="J581" s="146">
        <v>1207</v>
      </c>
      <c r="K581" s="146">
        <v>1206</v>
      </c>
      <c r="L581" s="146">
        <v>1196.8140000000001</v>
      </c>
      <c r="M581" s="152">
        <v>1194.8399999999999</v>
      </c>
    </row>
    <row r="582" spans="1:13" s="122" customFormat="1" ht="34.5" customHeight="1" x14ac:dyDescent="0.25">
      <c r="A582" s="123">
        <v>19</v>
      </c>
      <c r="B582" s="146"/>
      <c r="C582" s="146">
        <v>1225</v>
      </c>
      <c r="D582" s="146">
        <v>1210</v>
      </c>
      <c r="E582" s="146">
        <v>1200</v>
      </c>
      <c r="F582" s="151"/>
      <c r="G582" s="146"/>
      <c r="H582" s="146">
        <v>1200</v>
      </c>
      <c r="I582" s="146">
        <v>1208</v>
      </c>
      <c r="J582" s="146">
        <v>1206</v>
      </c>
      <c r="K582" s="146"/>
      <c r="L582" s="146">
        <v>1196.8030000000001</v>
      </c>
      <c r="M582" s="152">
        <v>1194.4680000000001</v>
      </c>
    </row>
    <row r="583" spans="1:13" s="122" customFormat="1" ht="34.5" customHeight="1" x14ac:dyDescent="0.25">
      <c r="A583" s="123">
        <v>20</v>
      </c>
      <c r="B583" s="146"/>
      <c r="C583" s="146">
        <v>1220</v>
      </c>
      <c r="D583" s="146">
        <v>1210</v>
      </c>
      <c r="E583" s="146"/>
      <c r="F583" s="151">
        <v>1200</v>
      </c>
      <c r="G583" s="146">
        <v>1202</v>
      </c>
      <c r="H583" s="146"/>
      <c r="I583" s="146">
        <v>1208</v>
      </c>
      <c r="J583" s="146"/>
      <c r="K583" s="146"/>
      <c r="L583" s="147"/>
      <c r="M583" s="152">
        <v>1195.223</v>
      </c>
    </row>
    <row r="584" spans="1:13" s="122" customFormat="1" ht="34.5" customHeight="1" x14ac:dyDescent="0.25">
      <c r="A584" s="123">
        <v>21</v>
      </c>
      <c r="B584" s="146">
        <v>1248</v>
      </c>
      <c r="C584" s="146">
        <v>1217</v>
      </c>
      <c r="D584" s="146"/>
      <c r="E584" s="146"/>
      <c r="F584" s="151">
        <v>1200</v>
      </c>
      <c r="G584" s="146">
        <v>1200</v>
      </c>
      <c r="H584" s="146"/>
      <c r="I584" s="146"/>
      <c r="J584" s="146"/>
      <c r="K584" s="146">
        <v>1204</v>
      </c>
      <c r="L584" s="146">
        <v>1197.0989999999999</v>
      </c>
      <c r="M584" s="152"/>
    </row>
    <row r="585" spans="1:13" s="122" customFormat="1" ht="34.5" customHeight="1" x14ac:dyDescent="0.25">
      <c r="A585" s="123">
        <v>22</v>
      </c>
      <c r="B585" s="146">
        <v>1248</v>
      </c>
      <c r="C585" s="146">
        <v>1220</v>
      </c>
      <c r="D585" s="146"/>
      <c r="E585" s="146">
        <v>1201</v>
      </c>
      <c r="F585" s="151">
        <v>1200</v>
      </c>
      <c r="G585" s="146"/>
      <c r="H585" s="146">
        <v>1200</v>
      </c>
      <c r="I585" s="146"/>
      <c r="J585" s="146"/>
      <c r="K585" s="146">
        <v>1203</v>
      </c>
      <c r="L585" s="152">
        <v>1196.5</v>
      </c>
      <c r="M585" s="152"/>
    </row>
    <row r="586" spans="1:13" s="122" customFormat="1" ht="34.5" customHeight="1" x14ac:dyDescent="0.25">
      <c r="A586" s="123">
        <v>23</v>
      </c>
      <c r="B586" s="146">
        <v>1238</v>
      </c>
      <c r="C586" s="146"/>
      <c r="D586" s="146"/>
      <c r="E586" s="146">
        <v>1199</v>
      </c>
      <c r="F586" s="151">
        <v>1200</v>
      </c>
      <c r="G586" s="146"/>
      <c r="H586" s="146">
        <v>1200</v>
      </c>
      <c r="I586" s="146"/>
      <c r="J586" s="146">
        <v>1205</v>
      </c>
      <c r="K586" s="146">
        <v>1203</v>
      </c>
      <c r="L586" s="146"/>
      <c r="M586" s="152">
        <v>1194.8209999999999</v>
      </c>
    </row>
    <row r="587" spans="1:13" s="122" customFormat="1" ht="34.5" customHeight="1" x14ac:dyDescent="0.25">
      <c r="A587" s="123">
        <v>24</v>
      </c>
      <c r="B587" s="146">
        <v>1236</v>
      </c>
      <c r="C587" s="146"/>
      <c r="D587" s="146"/>
      <c r="E587" s="146">
        <v>1197</v>
      </c>
      <c r="F587" s="151">
        <v>1195</v>
      </c>
      <c r="G587" s="146">
        <v>1203</v>
      </c>
      <c r="H587" s="146">
        <v>1200</v>
      </c>
      <c r="I587" s="146"/>
      <c r="J587" s="146">
        <v>1202</v>
      </c>
      <c r="K587" s="146">
        <v>1204</v>
      </c>
      <c r="L587" s="146"/>
      <c r="M587" s="152">
        <v>1195.3900000000001</v>
      </c>
    </row>
    <row r="588" spans="1:13" s="122" customFormat="1" ht="34.5" customHeight="1" x14ac:dyDescent="0.25">
      <c r="A588" s="123">
        <v>25</v>
      </c>
      <c r="B588" s="146">
        <v>1235</v>
      </c>
      <c r="C588" s="146">
        <v>1222</v>
      </c>
      <c r="D588" s="146">
        <v>1213</v>
      </c>
      <c r="E588" s="146">
        <v>1195</v>
      </c>
      <c r="F588" s="151"/>
      <c r="G588" s="146">
        <v>1203</v>
      </c>
      <c r="H588" s="146">
        <v>1198</v>
      </c>
      <c r="I588" s="146"/>
      <c r="J588" s="146">
        <v>1202</v>
      </c>
      <c r="K588" s="146">
        <v>1203</v>
      </c>
      <c r="L588" s="146">
        <v>1195.0920000000001</v>
      </c>
      <c r="M588" s="153"/>
    </row>
    <row r="589" spans="1:13" s="122" customFormat="1" ht="34.5" customHeight="1" x14ac:dyDescent="0.25">
      <c r="A589" s="123">
        <v>26</v>
      </c>
      <c r="B589" s="146"/>
      <c r="C589" s="146">
        <v>1221</v>
      </c>
      <c r="D589" s="146">
        <v>1212</v>
      </c>
      <c r="E589" s="146">
        <v>1196</v>
      </c>
      <c r="F589" s="151"/>
      <c r="G589" s="146">
        <v>1203</v>
      </c>
      <c r="H589" s="146">
        <v>1200</v>
      </c>
      <c r="I589" s="146"/>
      <c r="J589" s="146">
        <v>1203</v>
      </c>
      <c r="K589" s="146"/>
      <c r="L589" s="146">
        <v>1195.2260000000001</v>
      </c>
      <c r="M589" s="152">
        <v>1195.5029999999999</v>
      </c>
    </row>
    <row r="590" spans="1:13" s="122" customFormat="1" ht="34.5" customHeight="1" x14ac:dyDescent="0.25">
      <c r="A590" s="123">
        <v>27</v>
      </c>
      <c r="B590" s="146"/>
      <c r="C590" s="146">
        <v>1220</v>
      </c>
      <c r="D590" s="146">
        <v>1209</v>
      </c>
      <c r="E590" s="146"/>
      <c r="F590" s="151">
        <v>1196</v>
      </c>
      <c r="G590" s="146">
        <v>1203</v>
      </c>
      <c r="H590" s="146"/>
      <c r="I590" s="146">
        <v>1212</v>
      </c>
      <c r="J590" s="146">
        <v>1203</v>
      </c>
      <c r="K590" s="146"/>
      <c r="L590" s="146">
        <v>1194.4459999999999</v>
      </c>
      <c r="M590" s="152">
        <v>1195.511</v>
      </c>
    </row>
    <row r="591" spans="1:13" s="122" customFormat="1" ht="34.5" customHeight="1" x14ac:dyDescent="0.25">
      <c r="A591" s="123">
        <v>28</v>
      </c>
      <c r="B591" s="146">
        <v>1238</v>
      </c>
      <c r="C591" s="146">
        <v>1221</v>
      </c>
      <c r="D591" s="146">
        <v>1209</v>
      </c>
      <c r="E591" s="146"/>
      <c r="F591" s="151">
        <v>1197</v>
      </c>
      <c r="G591" s="146">
        <v>1198</v>
      </c>
      <c r="H591" s="146"/>
      <c r="I591" s="146">
        <v>1207</v>
      </c>
      <c r="J591" s="146"/>
      <c r="K591" s="146">
        <v>1203</v>
      </c>
      <c r="L591" s="146">
        <v>1194.1969999999999</v>
      </c>
      <c r="M591" s="152"/>
    </row>
    <row r="592" spans="1:13" s="122" customFormat="1" ht="34.5" customHeight="1" x14ac:dyDescent="0.25">
      <c r="A592" s="123">
        <v>29</v>
      </c>
      <c r="B592" s="146">
        <v>1237</v>
      </c>
      <c r="C592" s="124"/>
      <c r="D592" s="146">
        <v>1205</v>
      </c>
      <c r="E592" s="146">
        <v>1195</v>
      </c>
      <c r="F592" s="151">
        <v>1197</v>
      </c>
      <c r="G592" s="146"/>
      <c r="H592" s="146">
        <v>1199</v>
      </c>
      <c r="I592" s="146">
        <v>1206</v>
      </c>
      <c r="J592" s="146"/>
      <c r="K592" s="146">
        <v>1203</v>
      </c>
      <c r="L592" s="146">
        <v>1193.9680000000001</v>
      </c>
      <c r="M592" s="152"/>
    </row>
    <row r="593" spans="1:14" s="122" customFormat="1" ht="34.5" customHeight="1" x14ac:dyDescent="0.25">
      <c r="A593" s="123">
        <v>30</v>
      </c>
      <c r="B593" s="146">
        <v>1238</v>
      </c>
      <c r="C593" s="124"/>
      <c r="D593" s="146"/>
      <c r="E593" s="146">
        <v>1195</v>
      </c>
      <c r="F593" s="151">
        <v>1197</v>
      </c>
      <c r="G593" s="146"/>
      <c r="H593" s="146">
        <v>1199</v>
      </c>
      <c r="I593" s="146">
        <v>1206</v>
      </c>
      <c r="J593" s="146">
        <v>1203</v>
      </c>
      <c r="K593" s="147"/>
      <c r="L593" s="146"/>
      <c r="M593" s="152">
        <v>1195.347</v>
      </c>
    </row>
    <row r="594" spans="1:14" s="122" customFormat="1" ht="34.5" customHeight="1" thickBot="1" x14ac:dyDescent="0.3">
      <c r="A594" s="127">
        <v>31</v>
      </c>
      <c r="B594" s="148">
        <v>1238</v>
      </c>
      <c r="C594" s="129"/>
      <c r="D594" s="148"/>
      <c r="E594" s="129"/>
      <c r="F594" s="155">
        <v>1197</v>
      </c>
      <c r="G594" s="129"/>
      <c r="H594" s="148">
        <v>1199</v>
      </c>
      <c r="I594" s="148"/>
      <c r="J594" s="149"/>
      <c r="K594" s="148">
        <v>1204</v>
      </c>
      <c r="L594" s="149"/>
      <c r="M594" s="156">
        <v>1195.7819999999999</v>
      </c>
    </row>
    <row r="595" spans="1:14" s="122" customFormat="1" ht="34.5" customHeight="1" thickBot="1" x14ac:dyDescent="0.3">
      <c r="A595" s="161" t="s">
        <v>15</v>
      </c>
      <c r="B595" s="162">
        <f>AVERAGE(B564:B594)</f>
        <v>1246.409090909091</v>
      </c>
      <c r="C595" s="162">
        <f t="shared" ref="C595:I595" si="16">AVERAGE(C564:C594)</f>
        <v>1228.5999999999999</v>
      </c>
      <c r="D595" s="162">
        <f t="shared" si="16"/>
        <v>1216.5263157894738</v>
      </c>
      <c r="E595" s="162">
        <f t="shared" si="16"/>
        <v>1202.2857142857142</v>
      </c>
      <c r="F595" s="162">
        <f t="shared" si="16"/>
        <v>1199.8095238095239</v>
      </c>
      <c r="G595" s="162">
        <f t="shared" si="16"/>
        <v>1200.2352941176471</v>
      </c>
      <c r="H595" s="162">
        <f t="shared" si="16"/>
        <v>1200.7826086956522</v>
      </c>
      <c r="I595" s="162">
        <f t="shared" si="16"/>
        <v>1205.6111111111111</v>
      </c>
      <c r="J595" s="162">
        <f>AVERAGE(J564:J594)</f>
        <v>1206.1578947368421</v>
      </c>
      <c r="K595" s="162">
        <f>AVERAGE(K564:K594)</f>
        <v>1205.1818181818182</v>
      </c>
      <c r="L595" s="166">
        <f>AVERAGE(L564:L594)</f>
        <v>1199.7755</v>
      </c>
      <c r="M595" s="166">
        <f>AVERAGE(M564:M594)</f>
        <v>1195.3117000000002</v>
      </c>
      <c r="N595" s="157"/>
    </row>
    <row r="596" spans="1:14" s="66" customFormat="1" ht="34.5" customHeight="1" x14ac:dyDescent="0.25">
      <c r="A596" s="206" t="s">
        <v>36</v>
      </c>
      <c r="B596" s="206"/>
      <c r="C596" s="206"/>
      <c r="D596" s="206"/>
      <c r="E596" s="206"/>
      <c r="F596" s="206"/>
      <c r="G596" s="206"/>
      <c r="H596" s="206"/>
      <c r="I596" s="206"/>
      <c r="J596" s="206"/>
      <c r="K596" s="206"/>
      <c r="L596" s="206"/>
      <c r="M596" s="206"/>
    </row>
    <row r="597" spans="1:14" s="66" customFormat="1" ht="34.5" customHeight="1" thickBot="1" x14ac:dyDescent="0.3">
      <c r="A597" s="207" t="s">
        <v>1</v>
      </c>
      <c r="B597" s="207"/>
      <c r="C597" s="207"/>
      <c r="D597" s="207"/>
      <c r="E597" s="207"/>
      <c r="F597" s="207"/>
      <c r="G597" s="207"/>
      <c r="H597" s="207"/>
      <c r="I597" s="207"/>
      <c r="J597" s="207"/>
      <c r="K597" s="207"/>
      <c r="L597" s="207"/>
      <c r="M597" s="207"/>
    </row>
    <row r="598" spans="1:14" ht="34.5" customHeight="1" thickBot="1" x14ac:dyDescent="0.3">
      <c r="A598" s="119" t="s">
        <v>2</v>
      </c>
      <c r="B598" s="120" t="s">
        <v>3</v>
      </c>
      <c r="C598" s="120" t="s">
        <v>4</v>
      </c>
      <c r="D598" s="120" t="s">
        <v>5</v>
      </c>
      <c r="E598" s="120" t="s">
        <v>6</v>
      </c>
      <c r="F598" s="120" t="s">
        <v>7</v>
      </c>
      <c r="G598" s="120" t="s">
        <v>8</v>
      </c>
      <c r="H598" s="120" t="s">
        <v>9</v>
      </c>
      <c r="I598" s="120" t="s">
        <v>10</v>
      </c>
      <c r="J598" s="120" t="s">
        <v>11</v>
      </c>
      <c r="K598" s="120" t="s">
        <v>12</v>
      </c>
      <c r="L598" s="120" t="s">
        <v>21</v>
      </c>
      <c r="M598" s="120" t="s">
        <v>14</v>
      </c>
      <c r="N598" s="78"/>
    </row>
    <row r="599" spans="1:14" s="122" customFormat="1" ht="34.5" customHeight="1" x14ac:dyDescent="0.25">
      <c r="A599" s="121">
        <v>1</v>
      </c>
      <c r="B599" s="79"/>
      <c r="C599" s="79"/>
      <c r="D599" s="71"/>
      <c r="E599" s="79">
        <v>1194.5360000000001</v>
      </c>
      <c r="F599" s="71"/>
      <c r="G599" s="72"/>
      <c r="H599" s="71">
        <v>1193.4949999999999</v>
      </c>
      <c r="I599" s="71">
        <v>1193.5989999999999</v>
      </c>
      <c r="J599" s="71">
        <v>1200.3140000000001</v>
      </c>
      <c r="K599" s="71">
        <v>1192.441</v>
      </c>
      <c r="L599" s="74"/>
      <c r="M599" s="71">
        <v>1196.375</v>
      </c>
      <c r="N599" s="157"/>
    </row>
    <row r="600" spans="1:14" s="122" customFormat="1" ht="34.5" customHeight="1" x14ac:dyDescent="0.25">
      <c r="A600" s="123">
        <v>2</v>
      </c>
      <c r="B600" s="72">
        <v>1195.681</v>
      </c>
      <c r="C600" s="72"/>
      <c r="D600" s="72"/>
      <c r="E600" s="72"/>
      <c r="F600" s="72">
        <v>1194.4839999999999</v>
      </c>
      <c r="G600" s="80">
        <v>1192.905</v>
      </c>
      <c r="H600" s="72">
        <v>1192.9760000000001</v>
      </c>
      <c r="I600" s="72"/>
      <c r="J600" s="72">
        <v>1200.8610000000001</v>
      </c>
      <c r="K600" s="72">
        <v>1193.008</v>
      </c>
      <c r="L600" s="76"/>
      <c r="M600" s="76">
        <v>1196.9860000000001</v>
      </c>
    </row>
    <row r="601" spans="1:14" s="122" customFormat="1" ht="34.5" customHeight="1" x14ac:dyDescent="0.25">
      <c r="A601" s="123">
        <v>3</v>
      </c>
      <c r="B601" s="72">
        <v>1195.182</v>
      </c>
      <c r="C601" s="72">
        <v>1192.692</v>
      </c>
      <c r="D601" s="72">
        <v>1194.7650000000001</v>
      </c>
      <c r="E601" s="72">
        <v>1193.7919999999999</v>
      </c>
      <c r="F601" s="72"/>
      <c r="G601" s="72">
        <v>1193.9269999999999</v>
      </c>
      <c r="H601" s="72">
        <v>1193.229</v>
      </c>
      <c r="I601" s="72"/>
      <c r="J601" s="72">
        <v>1197.0820000000001</v>
      </c>
      <c r="K601" s="72"/>
      <c r="L601" s="76">
        <v>1198.912</v>
      </c>
      <c r="M601" s="76">
        <v>1196.5119999999999</v>
      </c>
    </row>
    <row r="602" spans="1:14" s="122" customFormat="1" ht="34.5" customHeight="1" x14ac:dyDescent="0.25">
      <c r="A602" s="123">
        <v>4</v>
      </c>
      <c r="B602" s="72"/>
      <c r="C602" s="72">
        <v>1193.223</v>
      </c>
      <c r="D602" s="72">
        <v>1196.077</v>
      </c>
      <c r="E602" s="72">
        <v>1193.471</v>
      </c>
      <c r="F602" s="72"/>
      <c r="G602" s="72"/>
      <c r="H602" s="72">
        <v>1192.5889999999999</v>
      </c>
      <c r="I602" s="76">
        <v>1194.22</v>
      </c>
      <c r="J602" s="76">
        <v>1194.9000000000001</v>
      </c>
      <c r="K602" s="72"/>
      <c r="L602" s="76">
        <v>1199.182</v>
      </c>
      <c r="M602" s="76">
        <v>1196.3489999999999</v>
      </c>
    </row>
    <row r="603" spans="1:14" s="122" customFormat="1" ht="34.5" customHeight="1" x14ac:dyDescent="0.25">
      <c r="A603" s="123">
        <v>5</v>
      </c>
      <c r="B603" s="72"/>
      <c r="C603" s="72">
        <v>1192.7650000000001</v>
      </c>
      <c r="D603" s="72">
        <v>1196.107</v>
      </c>
      <c r="E603" s="72"/>
      <c r="F603" s="76">
        <v>1195.46</v>
      </c>
      <c r="G603" s="72"/>
      <c r="H603" s="72"/>
      <c r="I603" s="72">
        <v>1194.7950000000001</v>
      </c>
      <c r="J603" s="72">
        <v>1195.549</v>
      </c>
      <c r="K603" s="72"/>
      <c r="L603" s="76">
        <v>1218.82</v>
      </c>
      <c r="M603" s="76">
        <v>1195.992</v>
      </c>
    </row>
    <row r="604" spans="1:14" s="122" customFormat="1" ht="34.5" customHeight="1" x14ac:dyDescent="0.25">
      <c r="A604" s="123">
        <v>6</v>
      </c>
      <c r="B604" s="72"/>
      <c r="C604" s="76">
        <v>1193.29</v>
      </c>
      <c r="D604" s="72">
        <v>1198.164</v>
      </c>
      <c r="E604" s="76"/>
      <c r="F604" s="72">
        <v>1195.498</v>
      </c>
      <c r="G604" s="72"/>
      <c r="H604" s="72"/>
      <c r="I604" s="72">
        <v>1194.9169999999999</v>
      </c>
      <c r="J604" s="72"/>
      <c r="K604" s="72">
        <v>1193.963</v>
      </c>
      <c r="L604" s="76">
        <v>1218.8209999999999</v>
      </c>
      <c r="M604" s="76"/>
    </row>
    <row r="605" spans="1:14" s="122" customFormat="1" ht="34.5" customHeight="1" x14ac:dyDescent="0.25">
      <c r="A605" s="123">
        <v>7</v>
      </c>
      <c r="B605" s="72">
        <v>1197.433</v>
      </c>
      <c r="C605" s="72">
        <v>1193.173</v>
      </c>
      <c r="D605" s="72">
        <v>1198.789</v>
      </c>
      <c r="E605" s="72">
        <v>1193.7840000000001</v>
      </c>
      <c r="F605" s="72">
        <v>1195.0650000000001</v>
      </c>
      <c r="G605" s="72"/>
      <c r="H605" s="72">
        <v>1192.9380000000001</v>
      </c>
      <c r="I605" s="72">
        <v>1195.491</v>
      </c>
      <c r="J605" s="72"/>
      <c r="K605" s="72">
        <v>1202.492</v>
      </c>
      <c r="L605" s="76">
        <v>1218.539</v>
      </c>
      <c r="M605" s="76"/>
    </row>
    <row r="606" spans="1:14" s="122" customFormat="1" ht="34.5" customHeight="1" x14ac:dyDescent="0.25">
      <c r="A606" s="123">
        <v>8</v>
      </c>
      <c r="B606" s="72">
        <v>1196.8340000000001</v>
      </c>
      <c r="C606" s="72"/>
      <c r="D606" s="72"/>
      <c r="E606" s="72">
        <v>1194.559</v>
      </c>
      <c r="F606" s="72">
        <v>1193.7660000000001</v>
      </c>
      <c r="G606" s="72"/>
      <c r="H606" s="72">
        <v>1193.2570000000001</v>
      </c>
      <c r="I606" s="72">
        <v>1197.2550000000001</v>
      </c>
      <c r="J606" s="72">
        <v>1195.2840000000001</v>
      </c>
      <c r="K606" s="76">
        <v>1194.22</v>
      </c>
      <c r="L606" s="77"/>
      <c r="M606" s="76">
        <v>1197.2929999999999</v>
      </c>
    </row>
    <row r="607" spans="1:14" s="122" customFormat="1" ht="34.5" customHeight="1" x14ac:dyDescent="0.25">
      <c r="A607" s="123">
        <v>9</v>
      </c>
      <c r="B607" s="146">
        <v>1195.8610000000001</v>
      </c>
      <c r="C607" s="146"/>
      <c r="D607" s="146"/>
      <c r="E607" s="141">
        <v>1194.837</v>
      </c>
      <c r="F607" s="141">
        <v>1193.163</v>
      </c>
      <c r="G607" s="141">
        <v>1193.9970000000001</v>
      </c>
      <c r="H607" s="146">
        <v>1193.3530000000001</v>
      </c>
      <c r="I607" s="146"/>
      <c r="J607" s="146">
        <v>1195.489</v>
      </c>
      <c r="K607" s="152">
        <v>1194.3699999999999</v>
      </c>
      <c r="L607" s="152"/>
      <c r="M607" s="152">
        <v>1198.6790000000001</v>
      </c>
    </row>
    <row r="608" spans="1:14" s="122" customFormat="1" ht="34.5" customHeight="1" x14ac:dyDescent="0.25">
      <c r="A608" s="123">
        <v>10</v>
      </c>
      <c r="B608" s="152">
        <v>1196.44</v>
      </c>
      <c r="C608" s="152">
        <v>1193.6569999999999</v>
      </c>
      <c r="D608" s="146">
        <v>1198.769</v>
      </c>
      <c r="E608" s="158">
        <v>1194.6959999999999</v>
      </c>
      <c r="F608" s="141"/>
      <c r="G608" s="141">
        <v>1195.6210000000001</v>
      </c>
      <c r="H608" s="146">
        <v>1193.355</v>
      </c>
      <c r="I608" s="146"/>
      <c r="J608" s="146"/>
      <c r="K608" s="146">
        <v>1195.6189999999999</v>
      </c>
      <c r="L608" s="152">
        <v>1196.8969999999999</v>
      </c>
      <c r="M608" s="153"/>
    </row>
    <row r="609" spans="1:13" s="122" customFormat="1" ht="34.5" customHeight="1" x14ac:dyDescent="0.25">
      <c r="A609" s="123">
        <v>11</v>
      </c>
      <c r="B609" s="146"/>
      <c r="C609" s="152">
        <v>1193.6600000000001</v>
      </c>
      <c r="D609" s="146">
        <v>1197.9459999999999</v>
      </c>
      <c r="E609" s="158">
        <v>1195.576</v>
      </c>
      <c r="F609" s="141"/>
      <c r="G609" s="141">
        <v>1194.5840000000001</v>
      </c>
      <c r="H609" s="146">
        <v>1194.056</v>
      </c>
      <c r="I609" s="146"/>
      <c r="J609" s="146">
        <v>1194.6610000000001</v>
      </c>
      <c r="K609" s="146"/>
      <c r="L609" s="152">
        <v>1196.4449999999999</v>
      </c>
      <c r="M609" s="152">
        <v>1199.1369999999999</v>
      </c>
    </row>
    <row r="610" spans="1:13" s="122" customFormat="1" ht="34.5" customHeight="1" x14ac:dyDescent="0.25">
      <c r="A610" s="123">
        <v>12</v>
      </c>
      <c r="B610" s="146"/>
      <c r="C610" s="152">
        <v>1193.4690000000001</v>
      </c>
      <c r="D610" s="146">
        <v>1195.9390000000001</v>
      </c>
      <c r="E610" s="158"/>
      <c r="F610" s="141">
        <v>1193.6880000000001</v>
      </c>
      <c r="G610" s="141">
        <v>1193.951</v>
      </c>
      <c r="H610" s="146"/>
      <c r="I610" s="146"/>
      <c r="J610" s="146">
        <v>1194.038</v>
      </c>
      <c r="K610" s="146"/>
      <c r="L610" s="152">
        <v>1196.847</v>
      </c>
      <c r="M610" s="152">
        <v>1200.7639999999999</v>
      </c>
    </row>
    <row r="611" spans="1:13" s="122" customFormat="1" ht="34.5" customHeight="1" x14ac:dyDescent="0.25">
      <c r="A611" s="123">
        <v>13</v>
      </c>
      <c r="B611" s="146">
        <v>1196.1569999999999</v>
      </c>
      <c r="C611" s="146">
        <v>1192.8409999999999</v>
      </c>
      <c r="D611" s="146">
        <v>1195.165</v>
      </c>
      <c r="E611" s="141"/>
      <c r="F611" s="141">
        <v>1193.8440000000001</v>
      </c>
      <c r="G611" s="141">
        <v>1193.7950000000001</v>
      </c>
      <c r="H611" s="146"/>
      <c r="I611" s="146"/>
      <c r="J611" s="146"/>
      <c r="K611" s="146">
        <v>1194.0250000000001</v>
      </c>
      <c r="L611" s="152">
        <v>1198.29</v>
      </c>
      <c r="M611" s="152"/>
    </row>
    <row r="612" spans="1:13" s="122" customFormat="1" ht="34.5" customHeight="1" x14ac:dyDescent="0.25">
      <c r="A612" s="123">
        <v>14</v>
      </c>
      <c r="B612" s="146">
        <v>1195.817</v>
      </c>
      <c r="C612" s="146">
        <v>1192.691</v>
      </c>
      <c r="D612" s="146">
        <v>1195.086</v>
      </c>
      <c r="E612" s="141">
        <v>1195.6389999999999</v>
      </c>
      <c r="F612" s="141">
        <v>1193.623</v>
      </c>
      <c r="G612" s="141"/>
      <c r="H612" s="146"/>
      <c r="I612" s="146"/>
      <c r="J612" s="146"/>
      <c r="K612" s="146">
        <v>1193.885</v>
      </c>
      <c r="L612" s="152">
        <v>1197.989</v>
      </c>
      <c r="M612" s="152"/>
    </row>
    <row r="613" spans="1:13" s="122" customFormat="1" ht="34.5" customHeight="1" x14ac:dyDescent="0.25">
      <c r="A613" s="123">
        <v>15</v>
      </c>
      <c r="B613" s="146">
        <v>1194.8150000000001</v>
      </c>
      <c r="C613" s="146"/>
      <c r="D613" s="146"/>
      <c r="E613" s="141">
        <v>1195.646</v>
      </c>
      <c r="F613" s="141">
        <v>1193.5930000000001</v>
      </c>
      <c r="G613" s="141"/>
      <c r="H613" s="146">
        <v>1195.163</v>
      </c>
      <c r="I613" s="146"/>
      <c r="J613" s="146">
        <v>1194.5889999999999</v>
      </c>
      <c r="K613" s="146">
        <v>1193.288</v>
      </c>
      <c r="L613" s="152"/>
      <c r="M613" s="152">
        <v>1201.6590000000001</v>
      </c>
    </row>
    <row r="614" spans="1:13" s="122" customFormat="1" ht="34.5" customHeight="1" x14ac:dyDescent="0.25">
      <c r="A614" s="123">
        <v>16</v>
      </c>
      <c r="B614" s="146">
        <v>1194.5719999999999</v>
      </c>
      <c r="C614" s="146"/>
      <c r="D614" s="146"/>
      <c r="E614" s="141">
        <v>1195.0909999999999</v>
      </c>
      <c r="F614" s="141">
        <v>1193.4659999999999</v>
      </c>
      <c r="G614" s="141">
        <v>1193.671</v>
      </c>
      <c r="H614" s="146">
        <v>1194.136</v>
      </c>
      <c r="I614" s="146"/>
      <c r="J614" s="146">
        <v>1194.673</v>
      </c>
      <c r="K614" s="146">
        <v>1193.3389999999999</v>
      </c>
      <c r="L614" s="152"/>
      <c r="M614" s="152">
        <v>1205.423</v>
      </c>
    </row>
    <row r="615" spans="1:13" s="122" customFormat="1" ht="34.5" customHeight="1" x14ac:dyDescent="0.25">
      <c r="A615" s="123">
        <v>17</v>
      </c>
      <c r="B615" s="146">
        <v>1194.5329999999999</v>
      </c>
      <c r="C615" s="146">
        <v>1193.144</v>
      </c>
      <c r="D615" s="146">
        <v>1195.079</v>
      </c>
      <c r="E615" s="141">
        <v>1195.3710000000001</v>
      </c>
      <c r="F615" s="141"/>
      <c r="G615" s="141">
        <v>1193.316</v>
      </c>
      <c r="H615" s="146">
        <v>1194.5909999999999</v>
      </c>
      <c r="I615" s="146"/>
      <c r="J615" s="146">
        <v>1193.5889999999999</v>
      </c>
      <c r="K615" s="146">
        <v>1193.2239999999999</v>
      </c>
      <c r="L615" s="152">
        <v>1197.0060000000001</v>
      </c>
      <c r="M615" s="152">
        <v>1201.4549999999999</v>
      </c>
    </row>
    <row r="616" spans="1:13" s="122" customFormat="1" ht="34.5" customHeight="1" x14ac:dyDescent="0.25">
      <c r="A616" s="123">
        <v>18</v>
      </c>
      <c r="B616" s="146"/>
      <c r="C616" s="146">
        <v>1193.0909999999999</v>
      </c>
      <c r="D616" s="146">
        <v>1195.6790000000001</v>
      </c>
      <c r="E616" s="141">
        <v>1195.038</v>
      </c>
      <c r="F616" s="141"/>
      <c r="G616" s="158">
        <v>1193.83</v>
      </c>
      <c r="H616" s="146">
        <v>1195.1110000000001</v>
      </c>
      <c r="I616" s="146">
        <v>1196.9259999999999</v>
      </c>
      <c r="J616" s="146">
        <v>1193.5909999999999</v>
      </c>
      <c r="K616" s="146"/>
      <c r="L616" s="152">
        <v>1198.1880000000001</v>
      </c>
      <c r="M616" s="152">
        <v>1205.114</v>
      </c>
    </row>
    <row r="617" spans="1:13" s="122" customFormat="1" ht="34.5" customHeight="1" x14ac:dyDescent="0.25">
      <c r="A617" s="123">
        <v>19</v>
      </c>
      <c r="B617" s="146"/>
      <c r="C617" s="146">
        <v>1193.095</v>
      </c>
      <c r="D617" s="146">
        <v>1195.2270000000001</v>
      </c>
      <c r="E617" s="141"/>
      <c r="F617" s="141">
        <v>1193.1869999999999</v>
      </c>
      <c r="G617" s="158">
        <v>1194.5899999999999</v>
      </c>
      <c r="H617" s="146"/>
      <c r="I617" s="146">
        <v>1201.645</v>
      </c>
      <c r="J617" s="146">
        <v>1193.5340000000001</v>
      </c>
      <c r="K617" s="146"/>
      <c r="L617" s="152">
        <v>1199.4059999999999</v>
      </c>
      <c r="M617" s="152">
        <v>1205.8389999999999</v>
      </c>
    </row>
    <row r="618" spans="1:13" s="122" customFormat="1" ht="34.5" customHeight="1" x14ac:dyDescent="0.25">
      <c r="A618" s="123">
        <v>20</v>
      </c>
      <c r="B618" s="141">
        <v>1194.799</v>
      </c>
      <c r="C618" s="141">
        <v>1193.008</v>
      </c>
      <c r="D618" s="146">
        <v>1195.4639999999999</v>
      </c>
      <c r="E618" s="141"/>
      <c r="F618" s="141">
        <v>1193.3030000000001</v>
      </c>
      <c r="G618" s="141">
        <v>1193.989</v>
      </c>
      <c r="H618" s="146"/>
      <c r="I618" s="146">
        <v>1201.376</v>
      </c>
      <c r="J618" s="146"/>
      <c r="K618" s="146">
        <v>1192.693</v>
      </c>
      <c r="L618" s="152">
        <v>1197.2239999999999</v>
      </c>
      <c r="M618" s="152"/>
    </row>
    <row r="619" spans="1:13" s="122" customFormat="1" ht="34.5" customHeight="1" x14ac:dyDescent="0.25">
      <c r="A619" s="123">
        <v>21</v>
      </c>
      <c r="B619" s="146">
        <v>1195.002</v>
      </c>
      <c r="C619" s="146">
        <v>1193.2670000000001</v>
      </c>
      <c r="D619" s="146"/>
      <c r="E619" s="141">
        <v>1195.0260000000001</v>
      </c>
      <c r="F619" s="141">
        <v>1193.029</v>
      </c>
      <c r="G619" s="141"/>
      <c r="H619" s="146">
        <v>1195.9459999999999</v>
      </c>
      <c r="I619" s="146">
        <v>1202.1890000000001</v>
      </c>
      <c r="J619" s="146"/>
      <c r="K619" s="152">
        <v>1193.51</v>
      </c>
      <c r="L619" s="152">
        <v>1195.982</v>
      </c>
      <c r="M619" s="152"/>
    </row>
    <row r="620" spans="1:13" s="122" customFormat="1" ht="34.5" customHeight="1" x14ac:dyDescent="0.25">
      <c r="A620" s="123">
        <v>22</v>
      </c>
      <c r="B620" s="146">
        <v>1194.7809999999999</v>
      </c>
      <c r="C620" s="146"/>
      <c r="D620" s="146"/>
      <c r="E620" s="141">
        <v>1195.752</v>
      </c>
      <c r="F620" s="141">
        <v>1192.9280000000001</v>
      </c>
      <c r="G620" s="141"/>
      <c r="H620" s="146">
        <v>1197.374</v>
      </c>
      <c r="I620" s="146">
        <v>1202.4870000000001</v>
      </c>
      <c r="J620" s="152">
        <v>1193.6300000000001</v>
      </c>
      <c r="K620" s="146">
        <v>1193.7270000000001</v>
      </c>
      <c r="L620" s="152"/>
      <c r="M620" s="152">
        <v>1205.77</v>
      </c>
    </row>
    <row r="621" spans="1:13" s="122" customFormat="1" ht="34.5" customHeight="1" x14ac:dyDescent="0.25">
      <c r="A621" s="123">
        <v>23</v>
      </c>
      <c r="B621" s="146">
        <v>1194.2249999999999</v>
      </c>
      <c r="C621" s="146"/>
      <c r="D621" s="146"/>
      <c r="E621" s="141">
        <v>1196.0060000000001</v>
      </c>
      <c r="F621" s="141">
        <v>1192.6030000000001</v>
      </c>
      <c r="G621" s="141">
        <v>1194.039</v>
      </c>
      <c r="H621" s="146">
        <v>1198.846</v>
      </c>
      <c r="I621" s="146"/>
      <c r="J621" s="146">
        <v>1193.924</v>
      </c>
      <c r="K621" s="146">
        <v>1199.7550000000001</v>
      </c>
      <c r="L621" s="152"/>
      <c r="M621" s="152">
        <v>1204.5909999999999</v>
      </c>
    </row>
    <row r="622" spans="1:13" s="122" customFormat="1" ht="34.5" customHeight="1" x14ac:dyDescent="0.25">
      <c r="A622" s="123">
        <v>24</v>
      </c>
      <c r="B622" s="146">
        <v>1193.9639999999999</v>
      </c>
      <c r="C622" s="146">
        <v>1194.6959999999999</v>
      </c>
      <c r="D622" s="146">
        <v>1195.973</v>
      </c>
      <c r="E622" s="141">
        <v>1195.1189999999999</v>
      </c>
      <c r="F622" s="141"/>
      <c r="G622" s="141">
        <v>1194.0070000000001</v>
      </c>
      <c r="H622" s="146">
        <v>1199.3520000000001</v>
      </c>
      <c r="I622" s="146"/>
      <c r="J622" s="152">
        <v>1193.3</v>
      </c>
      <c r="K622" s="146">
        <v>1200.817</v>
      </c>
      <c r="L622" s="152">
        <v>1197.1569999999999</v>
      </c>
      <c r="M622" s="152">
        <v>1206.318</v>
      </c>
    </row>
    <row r="623" spans="1:13" s="122" customFormat="1" ht="34.5" customHeight="1" x14ac:dyDescent="0.25">
      <c r="A623" s="123">
        <v>25</v>
      </c>
      <c r="B623" s="146"/>
      <c r="C623" s="146">
        <v>1194.579</v>
      </c>
      <c r="D623" s="146">
        <v>1195.8789999999999</v>
      </c>
      <c r="E623" s="141">
        <v>1194.335</v>
      </c>
      <c r="F623" s="141"/>
      <c r="G623" s="141">
        <v>1194.027</v>
      </c>
      <c r="H623" s="146">
        <v>1195.614</v>
      </c>
      <c r="I623" s="146">
        <v>1201.239</v>
      </c>
      <c r="J623" s="146">
        <v>1193.2650000000001</v>
      </c>
      <c r="K623" s="146"/>
      <c r="L623" s="152">
        <v>1198.6320000000001</v>
      </c>
      <c r="M623" s="152">
        <v>1206.546</v>
      </c>
    </row>
    <row r="624" spans="1:13" s="122" customFormat="1" ht="34.5" customHeight="1" x14ac:dyDescent="0.25">
      <c r="A624" s="123">
        <v>26</v>
      </c>
      <c r="B624" s="146"/>
      <c r="C624" s="146">
        <v>1194.162</v>
      </c>
      <c r="D624" s="146">
        <v>1195.9290000000001</v>
      </c>
      <c r="E624" s="141"/>
      <c r="F624" s="141">
        <v>1192.6669999999999</v>
      </c>
      <c r="G624" s="141">
        <v>1194.3979999999999</v>
      </c>
      <c r="H624" s="146"/>
      <c r="I624" s="146">
        <v>1206.8879999999999</v>
      </c>
      <c r="J624" s="146">
        <v>1193.2650000000001</v>
      </c>
      <c r="K624" s="146"/>
      <c r="L624" s="152">
        <v>1198.942</v>
      </c>
      <c r="M624" s="152">
        <v>1205.056</v>
      </c>
    </row>
    <row r="625" spans="1:14" s="122" customFormat="1" ht="34.5" customHeight="1" x14ac:dyDescent="0.25">
      <c r="A625" s="123">
        <v>27</v>
      </c>
      <c r="B625" s="152">
        <v>1193.5</v>
      </c>
      <c r="C625" s="152">
        <v>1193.7660000000001</v>
      </c>
      <c r="D625" s="146">
        <v>1195.403</v>
      </c>
      <c r="E625" s="158"/>
      <c r="F625" s="141">
        <v>1192.9269999999999</v>
      </c>
      <c r="G625" s="158">
        <v>1193.57</v>
      </c>
      <c r="H625" s="146"/>
      <c r="I625" s="146">
        <v>1202.5840000000001</v>
      </c>
      <c r="J625" s="146"/>
      <c r="K625" s="152">
        <v>1200.4000000000001</v>
      </c>
      <c r="L625" s="152">
        <v>1200.008</v>
      </c>
      <c r="M625" s="152"/>
    </row>
    <row r="626" spans="1:14" s="122" customFormat="1" ht="34.5" customHeight="1" x14ac:dyDescent="0.25">
      <c r="A626" s="123">
        <v>28</v>
      </c>
      <c r="B626" s="146">
        <v>1193.3789999999999</v>
      </c>
      <c r="C626" s="146">
        <v>1193.6880000000001</v>
      </c>
      <c r="D626" s="146">
        <v>1194.3810000000001</v>
      </c>
      <c r="E626" s="158">
        <v>1194.3140000000001</v>
      </c>
      <c r="F626" s="141">
        <v>1192.4680000000001</v>
      </c>
      <c r="G626" s="141"/>
      <c r="H626" s="146">
        <v>1195.6189999999999</v>
      </c>
      <c r="I626" s="146">
        <v>1199.046</v>
      </c>
      <c r="J626" s="146"/>
      <c r="K626" s="146">
        <v>1197.8610000000001</v>
      </c>
      <c r="L626" s="152">
        <v>1198.4179999999999</v>
      </c>
      <c r="M626" s="152"/>
    </row>
    <row r="627" spans="1:14" s="122" customFormat="1" ht="34.5" customHeight="1" x14ac:dyDescent="0.25">
      <c r="A627" s="123">
        <v>29</v>
      </c>
      <c r="B627" s="146">
        <v>1192.3679999999999</v>
      </c>
      <c r="C627" s="124"/>
      <c r="D627" s="146"/>
      <c r="E627" s="158">
        <v>1194.5519999999999</v>
      </c>
      <c r="F627" s="141">
        <v>1192.461</v>
      </c>
      <c r="G627" s="141"/>
      <c r="H627" s="146">
        <v>1195.711</v>
      </c>
      <c r="I627" s="146">
        <v>1198.8869999999999</v>
      </c>
      <c r="J627" s="146">
        <v>1193.479</v>
      </c>
      <c r="K627" s="146">
        <v>1194.9259999999999</v>
      </c>
      <c r="L627" s="152"/>
      <c r="M627" s="152">
        <v>1204.0920000000001</v>
      </c>
    </row>
    <row r="628" spans="1:14" s="122" customFormat="1" ht="34.5" customHeight="1" x14ac:dyDescent="0.25">
      <c r="A628" s="123">
        <v>30</v>
      </c>
      <c r="B628" s="152">
        <v>1192.48</v>
      </c>
      <c r="C628" s="124"/>
      <c r="D628" s="146"/>
      <c r="E628" s="158">
        <v>1194.31</v>
      </c>
      <c r="F628" s="141">
        <v>1192.345</v>
      </c>
      <c r="G628" s="141">
        <v>1193.615</v>
      </c>
      <c r="H628" s="146">
        <v>1195.3309999999999</v>
      </c>
      <c r="I628" s="146"/>
      <c r="J628" s="146">
        <v>1193.319</v>
      </c>
      <c r="K628" s="146">
        <v>1195.817</v>
      </c>
      <c r="L628" s="152"/>
      <c r="M628" s="152">
        <v>1204.4780000000001</v>
      </c>
    </row>
    <row r="629" spans="1:14" s="122" customFormat="1" ht="34.5" customHeight="1" thickBot="1" x14ac:dyDescent="0.3">
      <c r="A629" s="127">
        <v>31</v>
      </c>
      <c r="B629" s="159">
        <v>1192.931</v>
      </c>
      <c r="C629" s="129"/>
      <c r="D629" s="148">
        <v>1194.3679999999999</v>
      </c>
      <c r="E629" s="129"/>
      <c r="F629" s="138"/>
      <c r="G629" s="129"/>
      <c r="H629" s="148">
        <v>1194.086</v>
      </c>
      <c r="I629" s="148"/>
      <c r="J629" s="149"/>
      <c r="K629" s="148">
        <v>1200.376</v>
      </c>
      <c r="L629" s="152"/>
      <c r="M629" s="156">
        <v>1203.1189999999999</v>
      </c>
    </row>
    <row r="630" spans="1:14" s="122" customFormat="1" ht="34.5" customHeight="1" thickBot="1" x14ac:dyDescent="0.3">
      <c r="A630" s="161" t="s">
        <v>15</v>
      </c>
      <c r="B630" s="167">
        <f>AVERAGE(B599:B629)</f>
        <v>1194.7978095238093</v>
      </c>
      <c r="C630" s="167">
        <f t="shared" ref="C630:I630" si="17">AVERAGE(C599:C629)</f>
        <v>1193.3978500000001</v>
      </c>
      <c r="D630" s="167">
        <f t="shared" si="17"/>
        <v>1196.00945</v>
      </c>
      <c r="E630" s="168">
        <f>AVERAGE(E599:E629)</f>
        <v>1194.8309523809523</v>
      </c>
      <c r="F630" s="168">
        <f t="shared" si="17"/>
        <v>1193.5032380952382</v>
      </c>
      <c r="G630" s="168">
        <f t="shared" si="17"/>
        <v>1193.990666666667</v>
      </c>
      <c r="H630" s="167">
        <f t="shared" si="17"/>
        <v>1194.8239999999998</v>
      </c>
      <c r="I630" s="167">
        <f t="shared" si="17"/>
        <v>1198.9714999999999</v>
      </c>
      <c r="J630" s="167">
        <f>AVERAGE(J599:J629)</f>
        <v>1194.8731428571427</v>
      </c>
      <c r="K630" s="167">
        <f>AVERAGE(K599:K629)</f>
        <v>1195.6252727272729</v>
      </c>
      <c r="L630" s="167">
        <f>AVERAGE(L599:L629)</f>
        <v>1201.0852500000001</v>
      </c>
      <c r="M630" s="167">
        <f>AVERAGE(M599:M629)</f>
        <v>1201.7066818181816</v>
      </c>
    </row>
    <row r="631" spans="1:14" s="66" customFormat="1" ht="34.5" customHeight="1" x14ac:dyDescent="0.25">
      <c r="A631" s="206" t="s">
        <v>37</v>
      </c>
      <c r="B631" s="206"/>
      <c r="C631" s="206"/>
      <c r="D631" s="206"/>
      <c r="E631" s="206"/>
      <c r="F631" s="206"/>
      <c r="G631" s="206"/>
      <c r="H631" s="206"/>
      <c r="I631" s="206"/>
      <c r="J631" s="206"/>
      <c r="K631" s="206"/>
      <c r="L631" s="206"/>
      <c r="M631" s="206"/>
    </row>
    <row r="632" spans="1:14" s="66" customFormat="1" ht="34.5" customHeight="1" thickBot="1" x14ac:dyDescent="0.3">
      <c r="A632" s="207" t="s">
        <v>1</v>
      </c>
      <c r="B632" s="207"/>
      <c r="C632" s="207"/>
      <c r="D632" s="207"/>
      <c r="E632" s="207"/>
      <c r="F632" s="207"/>
      <c r="G632" s="207"/>
      <c r="H632" s="207"/>
      <c r="I632" s="207"/>
      <c r="J632" s="207"/>
      <c r="K632" s="207"/>
      <c r="L632" s="207"/>
      <c r="M632" s="207"/>
    </row>
    <row r="633" spans="1:14" ht="34.5" customHeight="1" thickBot="1" x14ac:dyDescent="0.3">
      <c r="A633" s="119" t="s">
        <v>2</v>
      </c>
      <c r="B633" s="120" t="s">
        <v>3</v>
      </c>
      <c r="C633" s="120" t="s">
        <v>4</v>
      </c>
      <c r="D633" s="120" t="s">
        <v>38</v>
      </c>
      <c r="E633" s="120" t="s">
        <v>6</v>
      </c>
      <c r="F633" s="120" t="s">
        <v>7</v>
      </c>
      <c r="G633" s="120" t="s">
        <v>8</v>
      </c>
      <c r="H633" s="120" t="s">
        <v>9</v>
      </c>
      <c r="I633" s="120" t="s">
        <v>10</v>
      </c>
      <c r="J633" s="120" t="s">
        <v>11</v>
      </c>
      <c r="K633" s="120" t="s">
        <v>12</v>
      </c>
      <c r="L633" s="120" t="s">
        <v>21</v>
      </c>
      <c r="M633" s="120" t="s">
        <v>14</v>
      </c>
      <c r="N633" s="78"/>
    </row>
    <row r="634" spans="1:14" s="122" customFormat="1" ht="34.5" customHeight="1" x14ac:dyDescent="0.25">
      <c r="A634" s="121">
        <v>1</v>
      </c>
      <c r="B634" s="79"/>
      <c r="C634" s="79"/>
      <c r="D634" s="71">
        <v>1193.4970000000001</v>
      </c>
      <c r="E634" s="79"/>
      <c r="F634" s="71"/>
      <c r="G634" s="72"/>
      <c r="H634" s="71">
        <v>1218.989</v>
      </c>
      <c r="I634" s="71"/>
      <c r="J634" s="71">
        <v>1215.5060000000001</v>
      </c>
      <c r="K634" s="71">
        <v>1237.1610000000001</v>
      </c>
      <c r="L634" s="71">
        <v>1250.1469999999999</v>
      </c>
      <c r="M634" s="71">
        <v>1251.4290000000001</v>
      </c>
      <c r="N634" s="157"/>
    </row>
    <row r="635" spans="1:14" s="122" customFormat="1" ht="34.5" customHeight="1" x14ac:dyDescent="0.25">
      <c r="A635" s="123">
        <v>2</v>
      </c>
      <c r="B635" s="72">
        <v>1202.665</v>
      </c>
      <c r="C635" s="72">
        <v>1193.6210000000001</v>
      </c>
      <c r="D635" s="76">
        <v>1194.3599999999999</v>
      </c>
      <c r="E635" s="72"/>
      <c r="F635" s="72"/>
      <c r="G635" s="80"/>
      <c r="H635" s="76">
        <v>1218.75</v>
      </c>
      <c r="I635" s="72"/>
      <c r="J635" s="72">
        <v>1217.2360000000001</v>
      </c>
      <c r="K635" s="72"/>
      <c r="L635" s="76">
        <v>1253.5899999999999</v>
      </c>
      <c r="M635" s="76">
        <v>1251.4190000000001</v>
      </c>
    </row>
    <row r="636" spans="1:14" s="122" customFormat="1" ht="34.5" customHeight="1" x14ac:dyDescent="0.25">
      <c r="A636" s="123">
        <v>3</v>
      </c>
      <c r="B636" s="72"/>
      <c r="C636" s="72">
        <v>1194.1469999999999</v>
      </c>
      <c r="D636" s="72">
        <v>1194.374</v>
      </c>
      <c r="E636" s="72"/>
      <c r="F636" s="76">
        <v>1228.5</v>
      </c>
      <c r="G636" s="72"/>
      <c r="H636" s="72"/>
      <c r="I636" s="72"/>
      <c r="J636" s="72">
        <v>1216.4680000000001</v>
      </c>
      <c r="K636" s="72"/>
      <c r="L636" s="76">
        <v>1249.69</v>
      </c>
      <c r="M636" s="76">
        <v>1251.184</v>
      </c>
    </row>
    <row r="637" spans="1:14" s="122" customFormat="1" ht="34.5" customHeight="1" x14ac:dyDescent="0.25">
      <c r="A637" s="123">
        <v>4</v>
      </c>
      <c r="B637" s="72"/>
      <c r="C637" s="72">
        <v>1193.509</v>
      </c>
      <c r="D637" s="72">
        <v>1194.046</v>
      </c>
      <c r="E637" s="72"/>
      <c r="F637" s="76">
        <v>1228.5</v>
      </c>
      <c r="G637" s="72"/>
      <c r="H637" s="72"/>
      <c r="I637" s="76"/>
      <c r="J637" s="76"/>
      <c r="K637" s="72">
        <v>1230.981</v>
      </c>
      <c r="L637" s="76">
        <v>1247.316</v>
      </c>
      <c r="M637" s="76"/>
    </row>
    <row r="638" spans="1:14" s="122" customFormat="1" ht="34.5" customHeight="1" x14ac:dyDescent="0.25">
      <c r="A638" s="123">
        <v>5</v>
      </c>
      <c r="B638" s="72">
        <v>1206.9639999999999</v>
      </c>
      <c r="C638" s="72">
        <v>1193.559</v>
      </c>
      <c r="D638" s="72">
        <v>1194.6110000000001</v>
      </c>
      <c r="E638" s="72"/>
      <c r="F638" s="76">
        <v>1229.5</v>
      </c>
      <c r="G638" s="72"/>
      <c r="H638" s="72">
        <v>1218.482</v>
      </c>
      <c r="I638" s="72"/>
      <c r="J638" s="72"/>
      <c r="K638" s="72">
        <v>1230.752</v>
      </c>
      <c r="L638" s="76">
        <v>1247.7059999999999</v>
      </c>
      <c r="M638" s="76"/>
    </row>
    <row r="639" spans="1:14" s="122" customFormat="1" ht="34.5" customHeight="1" x14ac:dyDescent="0.25">
      <c r="A639" s="123">
        <v>6</v>
      </c>
      <c r="B639" s="72"/>
      <c r="C639" s="76">
        <v>1193.5029999999999</v>
      </c>
      <c r="D639" s="72"/>
      <c r="E639" s="76"/>
      <c r="F639" s="76">
        <v>1236</v>
      </c>
      <c r="G639" s="72"/>
      <c r="H639" s="72">
        <v>1219.828</v>
      </c>
      <c r="I639" s="72"/>
      <c r="J639" s="72">
        <v>1218.0530000000001</v>
      </c>
      <c r="K639" s="76">
        <v>1230.2</v>
      </c>
      <c r="L639" s="76"/>
      <c r="M639" s="76">
        <v>1251.473</v>
      </c>
    </row>
    <row r="640" spans="1:14" s="122" customFormat="1" ht="34.5" customHeight="1" x14ac:dyDescent="0.25">
      <c r="A640" s="123">
        <v>7</v>
      </c>
      <c r="B640" s="76">
        <v>1221.5899999999999</v>
      </c>
      <c r="C640" s="72"/>
      <c r="D640" s="72"/>
      <c r="E640" s="72"/>
      <c r="F640" s="76">
        <v>1231.75</v>
      </c>
      <c r="G640" s="72"/>
      <c r="H640" s="72">
        <v>1209.002</v>
      </c>
      <c r="I640" s="72"/>
      <c r="J640" s="72">
        <v>1220.8679999999999</v>
      </c>
      <c r="K640" s="72">
        <v>1231.1189999999999</v>
      </c>
      <c r="L640" s="76"/>
      <c r="M640" s="76">
        <v>1254.6479999999999</v>
      </c>
    </row>
    <row r="641" spans="1:13" s="122" customFormat="1" ht="34.5" customHeight="1" x14ac:dyDescent="0.25">
      <c r="A641" s="123">
        <v>8</v>
      </c>
      <c r="B641" s="72">
        <v>1220.0360000000001</v>
      </c>
      <c r="C641" s="72"/>
      <c r="D641" s="72">
        <v>1195.441</v>
      </c>
      <c r="E641" s="72"/>
      <c r="F641" s="72"/>
      <c r="G641" s="72"/>
      <c r="H641" s="72">
        <v>1221.3009999999999</v>
      </c>
      <c r="I641" s="72"/>
      <c r="J641" s="72">
        <v>1220.7370000000001</v>
      </c>
      <c r="K641" s="76"/>
      <c r="L641" s="76">
        <v>1247.7249999999999</v>
      </c>
      <c r="M641" s="76">
        <v>1267.0530000000001</v>
      </c>
    </row>
    <row r="642" spans="1:13" s="122" customFormat="1" ht="34.5" customHeight="1" x14ac:dyDescent="0.25">
      <c r="A642" s="123">
        <v>9</v>
      </c>
      <c r="B642" s="146">
        <v>1209.4459999999999</v>
      </c>
      <c r="C642" s="146">
        <v>1194.556</v>
      </c>
      <c r="D642" s="146">
        <v>1198.1669999999999</v>
      </c>
      <c r="E642" s="141"/>
      <c r="F642" s="141"/>
      <c r="G642" s="141"/>
      <c r="H642" s="76">
        <v>1221</v>
      </c>
      <c r="I642" s="146">
        <v>1236.5129999999999</v>
      </c>
      <c r="J642" s="146">
        <v>1217.3689999999999</v>
      </c>
      <c r="K642" s="152"/>
      <c r="L642" s="152">
        <v>1247.2439999999999</v>
      </c>
      <c r="M642" s="152">
        <v>1263.432</v>
      </c>
    </row>
    <row r="643" spans="1:13" s="122" customFormat="1" ht="34.5" customHeight="1" x14ac:dyDescent="0.25">
      <c r="A643" s="123">
        <v>10</v>
      </c>
      <c r="B643" s="152"/>
      <c r="C643" s="152">
        <v>1194.981</v>
      </c>
      <c r="D643" s="146">
        <v>1196.914</v>
      </c>
      <c r="E643" s="158"/>
      <c r="F643" s="76">
        <v>1228</v>
      </c>
      <c r="G643" s="141"/>
      <c r="H643" s="146"/>
      <c r="I643" s="146">
        <v>1236.4680000000001</v>
      </c>
      <c r="J643" s="146">
        <v>1217.921</v>
      </c>
      <c r="K643" s="146"/>
      <c r="L643" s="152">
        <v>1247.279</v>
      </c>
      <c r="M643" s="153"/>
    </row>
    <row r="644" spans="1:13" s="122" customFormat="1" ht="34.5" customHeight="1" x14ac:dyDescent="0.25">
      <c r="A644" s="123">
        <v>11</v>
      </c>
      <c r="B644" s="146"/>
      <c r="C644" s="152">
        <v>1194.877</v>
      </c>
      <c r="D644" s="146">
        <v>1197.558</v>
      </c>
      <c r="E644" s="158"/>
      <c r="F644" s="158">
        <v>1229.5</v>
      </c>
      <c r="G644" s="141"/>
      <c r="H644" s="146"/>
      <c r="I644" s="152">
        <v>1232.45</v>
      </c>
      <c r="J644" s="146"/>
      <c r="K644" s="146">
        <v>1235.3620000000001</v>
      </c>
      <c r="L644" s="152">
        <v>1246.7829999999999</v>
      </c>
      <c r="M644" s="152"/>
    </row>
    <row r="645" spans="1:13" s="122" customFormat="1" ht="34.5" customHeight="1" x14ac:dyDescent="0.25">
      <c r="A645" s="123">
        <v>12</v>
      </c>
      <c r="B645" s="146">
        <v>1205.1389999999999</v>
      </c>
      <c r="C645" s="152">
        <v>1193.8989999999999</v>
      </c>
      <c r="D645" s="146">
        <v>1200.3520000000001</v>
      </c>
      <c r="E645" s="158"/>
      <c r="F645" s="158">
        <v>1233</v>
      </c>
      <c r="G645" s="141"/>
      <c r="H645" s="152">
        <v>1220.01</v>
      </c>
      <c r="I645" s="152">
        <v>1234.1600000000001</v>
      </c>
      <c r="J645" s="146"/>
      <c r="K645" s="146">
        <v>1233.586</v>
      </c>
      <c r="L645" s="152">
        <v>1248.2460000000001</v>
      </c>
      <c r="M645" s="152"/>
    </row>
    <row r="646" spans="1:13" s="122" customFormat="1" ht="34.5" customHeight="1" x14ac:dyDescent="0.25">
      <c r="A646" s="123">
        <v>13</v>
      </c>
      <c r="B646" s="152">
        <v>1207.05</v>
      </c>
      <c r="C646" s="146">
        <v>1193.2860000000001</v>
      </c>
      <c r="D646" s="146"/>
      <c r="E646" s="141"/>
      <c r="F646" s="158">
        <v>1232.5</v>
      </c>
      <c r="G646" s="141"/>
      <c r="H646" s="146">
        <v>1220.222</v>
      </c>
      <c r="I646" s="152">
        <v>1234</v>
      </c>
      <c r="J646" s="146">
        <v>1220.287</v>
      </c>
      <c r="K646" s="146">
        <v>1236.2860000000001</v>
      </c>
      <c r="L646" s="152"/>
      <c r="M646" s="152">
        <v>1271.768</v>
      </c>
    </row>
    <row r="647" spans="1:13" s="122" customFormat="1" ht="34.5" customHeight="1" x14ac:dyDescent="0.25">
      <c r="A647" s="123">
        <v>14</v>
      </c>
      <c r="B647" s="146">
        <v>1206.788</v>
      </c>
      <c r="C647" s="146"/>
      <c r="D647" s="146"/>
      <c r="E647" s="141"/>
      <c r="F647" s="158">
        <v>1230</v>
      </c>
      <c r="G647" s="141">
        <v>1246.7629999999999</v>
      </c>
      <c r="H647" s="146"/>
      <c r="I647" s="146"/>
      <c r="J647" s="152">
        <v>1225.48</v>
      </c>
      <c r="K647" s="146">
        <v>1241.5309999999999</v>
      </c>
      <c r="L647" s="152"/>
      <c r="M647" s="152">
        <v>1296.06</v>
      </c>
    </row>
    <row r="648" spans="1:13" s="122" customFormat="1" ht="34.5" customHeight="1" x14ac:dyDescent="0.25">
      <c r="A648" s="123">
        <v>15</v>
      </c>
      <c r="B648" s="146">
        <v>1200.1949999999999</v>
      </c>
      <c r="C648" s="146"/>
      <c r="D648" s="146">
        <v>1203.2449999999999</v>
      </c>
      <c r="E648" s="141"/>
      <c r="F648" s="141"/>
      <c r="G648" s="141">
        <v>1248.952</v>
      </c>
      <c r="H648" s="146">
        <v>1229.6479999999999</v>
      </c>
      <c r="I648" s="146"/>
      <c r="J648" s="146">
        <v>1221.2080000000001</v>
      </c>
      <c r="K648" s="146">
        <v>1250.4649999999999</v>
      </c>
      <c r="L648" s="152">
        <v>1247.261</v>
      </c>
      <c r="M648" s="152">
        <v>1289.4939999999999</v>
      </c>
    </row>
    <row r="649" spans="1:13" s="122" customFormat="1" ht="34.5" customHeight="1" x14ac:dyDescent="0.25">
      <c r="A649" s="123">
        <v>16</v>
      </c>
      <c r="B649" s="146">
        <v>1201.585</v>
      </c>
      <c r="C649" s="146">
        <v>1194.9369999999999</v>
      </c>
      <c r="D649" s="146">
        <v>1203.4549999999999</v>
      </c>
      <c r="E649" s="141"/>
      <c r="F649" s="141"/>
      <c r="G649" s="158">
        <v>1246.97</v>
      </c>
      <c r="H649" s="152">
        <v>1229</v>
      </c>
      <c r="I649" s="146">
        <v>1217.1089999999999</v>
      </c>
      <c r="J649" s="146">
        <v>1219.6289999999999</v>
      </c>
      <c r="K649" s="146"/>
      <c r="L649" s="152">
        <v>1247.1869999999999</v>
      </c>
      <c r="M649" s="152">
        <v>1307.8689999999999</v>
      </c>
    </row>
    <row r="650" spans="1:13" s="122" customFormat="1" ht="34.5" customHeight="1" x14ac:dyDescent="0.25">
      <c r="A650" s="123">
        <v>17</v>
      </c>
      <c r="B650" s="146"/>
      <c r="C650" s="146">
        <v>1194.529</v>
      </c>
      <c r="D650" s="146">
        <v>1202.5989999999999</v>
      </c>
      <c r="E650" s="141"/>
      <c r="F650" s="141">
        <v>1229.127</v>
      </c>
      <c r="G650" s="141">
        <v>1247.9670000000001</v>
      </c>
      <c r="H650" s="146"/>
      <c r="I650" s="146">
        <v>1214.0129999999999</v>
      </c>
      <c r="J650" s="146">
        <v>1219.405</v>
      </c>
      <c r="K650" s="146"/>
      <c r="L650" s="152">
        <v>1247.5309999999999</v>
      </c>
      <c r="M650" s="152">
        <v>1331.4459999999999</v>
      </c>
    </row>
    <row r="651" spans="1:13" s="122" customFormat="1" ht="34.5" customHeight="1" x14ac:dyDescent="0.25">
      <c r="A651" s="123">
        <v>18</v>
      </c>
      <c r="B651" s="146"/>
      <c r="C651" s="146">
        <v>1194.066</v>
      </c>
      <c r="D651" s="152">
        <v>1201</v>
      </c>
      <c r="E651" s="141"/>
      <c r="F651" s="141">
        <v>1221.893</v>
      </c>
      <c r="G651" s="158"/>
      <c r="H651" s="146"/>
      <c r="I651" s="146">
        <v>1214.6289999999999</v>
      </c>
      <c r="J651" s="146"/>
      <c r="K651" s="146">
        <v>1250.5630000000001</v>
      </c>
      <c r="L651" s="152">
        <v>1247.2439999999999</v>
      </c>
      <c r="M651" s="152"/>
    </row>
    <row r="652" spans="1:13" s="122" customFormat="1" ht="34.5" customHeight="1" x14ac:dyDescent="0.25">
      <c r="A652" s="123">
        <v>19</v>
      </c>
      <c r="B652" s="146">
        <v>1200.383</v>
      </c>
      <c r="C652" s="146">
        <v>1193.777</v>
      </c>
      <c r="D652" s="152">
        <v>1201</v>
      </c>
      <c r="E652" s="141">
        <v>1208</v>
      </c>
      <c r="F652" s="158">
        <v>1214.45</v>
      </c>
      <c r="G652" s="158"/>
      <c r="H652" s="146">
        <v>1240.3710000000001</v>
      </c>
      <c r="I652" s="146">
        <v>1214.0830000000001</v>
      </c>
      <c r="J652" s="146"/>
      <c r="K652" s="146">
        <v>1240.309</v>
      </c>
      <c r="L652" s="152">
        <v>1247.5060000000001</v>
      </c>
      <c r="M652" s="152"/>
    </row>
    <row r="653" spans="1:13" s="122" customFormat="1" ht="34.5" customHeight="1" x14ac:dyDescent="0.25">
      <c r="A653" s="123">
        <v>20</v>
      </c>
      <c r="B653" s="141">
        <v>1200.818</v>
      </c>
      <c r="C653" s="141">
        <v>1193.3320000000001</v>
      </c>
      <c r="D653" s="152"/>
      <c r="E653" s="141">
        <v>1222</v>
      </c>
      <c r="F653" s="141">
        <v>1217.1790000000001</v>
      </c>
      <c r="G653" s="141"/>
      <c r="H653" s="146">
        <v>1239.806</v>
      </c>
      <c r="I653" s="152"/>
      <c r="J653" s="146">
        <v>1219.846</v>
      </c>
      <c r="K653" s="146">
        <v>1242.586</v>
      </c>
      <c r="L653" s="152"/>
      <c r="M653" s="152">
        <v>1456.4570000000001</v>
      </c>
    </row>
    <row r="654" spans="1:13" s="122" customFormat="1" ht="34.5" customHeight="1" x14ac:dyDescent="0.25">
      <c r="A654" s="123">
        <v>21</v>
      </c>
      <c r="B654" s="146">
        <v>1198.2139999999999</v>
      </c>
      <c r="C654" s="146"/>
      <c r="D654" s="152"/>
      <c r="E654" s="160">
        <v>1235</v>
      </c>
      <c r="F654" s="141">
        <v>1218.1869999999999</v>
      </c>
      <c r="G654" s="158">
        <v>1249.8499999999999</v>
      </c>
      <c r="H654" s="146">
        <v>1237.5139999999999</v>
      </c>
      <c r="I654" s="146"/>
      <c r="J654" s="146">
        <v>1221.615</v>
      </c>
      <c r="K654" s="152">
        <v>1248.0350000000001</v>
      </c>
      <c r="L654" s="152"/>
      <c r="M654" s="152">
        <v>1435.1310000000001</v>
      </c>
    </row>
    <row r="655" spans="1:13" s="122" customFormat="1" ht="34.5" customHeight="1" x14ac:dyDescent="0.25">
      <c r="A655" s="123">
        <v>22</v>
      </c>
      <c r="B655" s="146">
        <v>1196.809</v>
      </c>
      <c r="C655" s="146"/>
      <c r="D655" s="152">
        <v>1201</v>
      </c>
      <c r="E655" s="160">
        <v>1230</v>
      </c>
      <c r="F655" s="141"/>
      <c r="G655" s="141">
        <v>1252.0930000000001</v>
      </c>
      <c r="H655" s="146">
        <v>1241.4079999999999</v>
      </c>
      <c r="I655" s="146"/>
      <c r="J655" s="152">
        <v>1221.739</v>
      </c>
      <c r="K655" s="152">
        <v>1255.99</v>
      </c>
      <c r="L655" s="152">
        <v>1249.184</v>
      </c>
      <c r="M655" s="152">
        <v>1424.963</v>
      </c>
    </row>
    <row r="656" spans="1:13" s="122" customFormat="1" ht="34.5" customHeight="1" x14ac:dyDescent="0.25">
      <c r="A656" s="123">
        <v>23</v>
      </c>
      <c r="B656" s="146">
        <v>1196.2070000000001</v>
      </c>
      <c r="C656" s="146">
        <v>1193.6410000000001</v>
      </c>
      <c r="D656" s="152">
        <v>1201</v>
      </c>
      <c r="E656" s="160">
        <v>1225</v>
      </c>
      <c r="F656" s="141"/>
      <c r="G656" s="141">
        <v>1256.1890000000001</v>
      </c>
      <c r="H656" s="152">
        <v>1241.5</v>
      </c>
      <c r="I656" s="152">
        <v>1230.8900000000001</v>
      </c>
      <c r="J656" s="146">
        <v>1226.2929999999999</v>
      </c>
      <c r="K656" s="146"/>
      <c r="L656" s="152">
        <v>1250.4090000000001</v>
      </c>
      <c r="M656" s="152">
        <v>1425.951</v>
      </c>
    </row>
    <row r="657" spans="1:14" s="122" customFormat="1" ht="34.5" customHeight="1" x14ac:dyDescent="0.25">
      <c r="A657" s="123">
        <v>24</v>
      </c>
      <c r="B657" s="146"/>
      <c r="C657" s="146">
        <v>1193.788</v>
      </c>
      <c r="D657" s="152">
        <v>1201</v>
      </c>
      <c r="E657" s="160"/>
      <c r="F657" s="141"/>
      <c r="G657" s="141">
        <v>1247.905</v>
      </c>
      <c r="H657" s="146"/>
      <c r="I657" s="146">
        <v>1214.665</v>
      </c>
      <c r="J657" s="152">
        <v>1224.2809999999999</v>
      </c>
      <c r="K657" s="146"/>
      <c r="L657" s="152">
        <v>1247.5930000000001</v>
      </c>
      <c r="M657" s="152">
        <v>1444</v>
      </c>
    </row>
    <row r="658" spans="1:14" s="122" customFormat="1" ht="34.5" customHeight="1" x14ac:dyDescent="0.25">
      <c r="A658" s="123">
        <v>25</v>
      </c>
      <c r="B658" s="146"/>
      <c r="C658" s="146">
        <v>1193.4680000000001</v>
      </c>
      <c r="D658" s="146"/>
      <c r="E658" s="160"/>
      <c r="F658" s="141"/>
      <c r="G658" s="158">
        <v>1248.5</v>
      </c>
      <c r="H658" s="146"/>
      <c r="I658" s="146">
        <v>1215.752</v>
      </c>
      <c r="J658" s="146"/>
      <c r="K658" s="146">
        <v>1246.193</v>
      </c>
      <c r="L658" s="152">
        <v>1249.172</v>
      </c>
      <c r="M658" s="152"/>
    </row>
    <row r="659" spans="1:14" s="122" customFormat="1" ht="34.5" customHeight="1" x14ac:dyDescent="0.25">
      <c r="A659" s="123">
        <v>26</v>
      </c>
      <c r="B659" s="146">
        <v>1195.4570000000001</v>
      </c>
      <c r="C659" s="146">
        <v>1192.787</v>
      </c>
      <c r="D659" s="146"/>
      <c r="E659" s="160">
        <v>1223</v>
      </c>
      <c r="F659" s="141"/>
      <c r="G659" s="141"/>
      <c r="H659" s="146">
        <v>1239.8810000000001</v>
      </c>
      <c r="I659" s="152">
        <v>1218.3</v>
      </c>
      <c r="J659" s="146"/>
      <c r="K659" s="146">
        <v>1246.7909999999999</v>
      </c>
      <c r="L659" s="152">
        <v>1249.6890000000001</v>
      </c>
      <c r="M659" s="152"/>
    </row>
    <row r="660" spans="1:14" s="122" customFormat="1" ht="34.5" customHeight="1" x14ac:dyDescent="0.25">
      <c r="A660" s="123">
        <v>27</v>
      </c>
      <c r="B660" s="152">
        <v>1195.127</v>
      </c>
      <c r="C660" s="152">
        <v>1192.5</v>
      </c>
      <c r="D660" s="146"/>
      <c r="E660" s="160">
        <v>1224</v>
      </c>
      <c r="F660" s="141"/>
      <c r="G660" s="158"/>
      <c r="H660" s="146">
        <v>1239.8209999999999</v>
      </c>
      <c r="I660" s="152">
        <v>1217.5</v>
      </c>
      <c r="J660" s="146">
        <v>1220.713</v>
      </c>
      <c r="K660" s="152">
        <v>1248.441</v>
      </c>
      <c r="L660" s="152"/>
      <c r="M660" s="152">
        <v>1430.8</v>
      </c>
    </row>
    <row r="661" spans="1:14" s="122" customFormat="1" ht="34.5" customHeight="1" x14ac:dyDescent="0.25">
      <c r="A661" s="123">
        <v>28</v>
      </c>
      <c r="B661" s="146">
        <v>1194.827</v>
      </c>
      <c r="C661" s="146"/>
      <c r="D661" s="146"/>
      <c r="E661" s="160">
        <v>1231</v>
      </c>
      <c r="F661" s="141"/>
      <c r="G661" s="141">
        <v>1226.2950000000001</v>
      </c>
      <c r="H661" s="146">
        <v>1238.9159999999999</v>
      </c>
      <c r="I661" s="146"/>
      <c r="J661" s="146">
        <v>1225.586</v>
      </c>
      <c r="K661" s="146">
        <v>1250.6890000000001</v>
      </c>
      <c r="L661" s="152"/>
      <c r="M661" s="152">
        <v>1449.1780000000001</v>
      </c>
    </row>
    <row r="662" spans="1:14" s="122" customFormat="1" ht="34.5" customHeight="1" x14ac:dyDescent="0.25">
      <c r="A662" s="123">
        <v>29</v>
      </c>
      <c r="B662" s="146">
        <v>1194.0219999999999</v>
      </c>
      <c r="C662" s="124"/>
      <c r="D662" s="146"/>
      <c r="E662" s="160">
        <v>1233</v>
      </c>
      <c r="F662" s="141"/>
      <c r="G662" s="141">
        <v>1224.3240000000001</v>
      </c>
      <c r="H662" s="146">
        <v>1242.692</v>
      </c>
      <c r="I662" s="146"/>
      <c r="J662" s="152">
        <v>1229.97</v>
      </c>
      <c r="K662" s="146"/>
      <c r="L662" s="152">
        <v>1251.249</v>
      </c>
      <c r="M662" s="152">
        <v>1455.6980000000001</v>
      </c>
    </row>
    <row r="663" spans="1:14" s="122" customFormat="1" ht="34.5" customHeight="1" x14ac:dyDescent="0.25">
      <c r="A663" s="123">
        <v>30</v>
      </c>
      <c r="B663" s="152">
        <v>1193.3820000000001</v>
      </c>
      <c r="C663" s="124"/>
      <c r="D663" s="146"/>
      <c r="E663" s="160">
        <v>1233</v>
      </c>
      <c r="F663" s="141"/>
      <c r="G663" s="141">
        <v>1224.105</v>
      </c>
      <c r="H663" s="152">
        <v>1242</v>
      </c>
      <c r="I663" s="146"/>
      <c r="J663" s="146">
        <v>1235.1869999999999</v>
      </c>
      <c r="K663" s="146"/>
      <c r="L663" s="152">
        <v>1249.7819999999999</v>
      </c>
      <c r="M663" s="152">
        <v>1459.3620000000001</v>
      </c>
    </row>
    <row r="664" spans="1:14" s="122" customFormat="1" ht="34.5" customHeight="1" thickBot="1" x14ac:dyDescent="0.3">
      <c r="A664" s="127">
        <v>31</v>
      </c>
      <c r="B664" s="159"/>
      <c r="C664" s="129"/>
      <c r="D664" s="148"/>
      <c r="E664" s="129"/>
      <c r="F664" s="138"/>
      <c r="G664" s="129"/>
      <c r="H664" s="148"/>
      <c r="I664" s="148">
        <v>1215.7550000000001</v>
      </c>
      <c r="J664" s="149"/>
      <c r="K664" s="148"/>
      <c r="L664" s="152"/>
      <c r="M664" s="156">
        <v>1460.8620000000001</v>
      </c>
    </row>
    <row r="665" spans="1:14" s="122" customFormat="1" ht="34.5" customHeight="1" thickBot="1" x14ac:dyDescent="0.3">
      <c r="A665" s="161" t="s">
        <v>15</v>
      </c>
      <c r="B665" s="167">
        <f>AVERAGE(B634:B664)</f>
        <v>1202.3352</v>
      </c>
      <c r="C665" s="167">
        <f t="shared" ref="C665:M665" si="18">AVERAGE(C634:C664)</f>
        <v>1193.83815</v>
      </c>
      <c r="D665" s="167">
        <f t="shared" si="18"/>
        <v>1198.534388888889</v>
      </c>
      <c r="E665" s="167">
        <f t="shared" si="18"/>
        <v>1226.4000000000001</v>
      </c>
      <c r="F665" s="167">
        <f t="shared" si="18"/>
        <v>1227.2057333333335</v>
      </c>
      <c r="G665" s="167">
        <f t="shared" si="18"/>
        <v>1243.3260833333334</v>
      </c>
      <c r="H665" s="167">
        <f t="shared" si="18"/>
        <v>1230.0067142857142</v>
      </c>
      <c r="I665" s="167">
        <f t="shared" si="18"/>
        <v>1223.0858000000001</v>
      </c>
      <c r="J665" s="167">
        <f t="shared" si="18"/>
        <v>1221.6089545454547</v>
      </c>
      <c r="K665" s="167">
        <f t="shared" si="18"/>
        <v>1241.4231578947367</v>
      </c>
      <c r="L665" s="167">
        <f t="shared" si="18"/>
        <v>1248.6151363636363</v>
      </c>
      <c r="M665" s="167">
        <f t="shared" si="18"/>
        <v>1351.3489545454547</v>
      </c>
    </row>
    <row r="666" spans="1:14" ht="34.5" customHeight="1" x14ac:dyDescent="0.25">
      <c r="A666" s="208" t="s">
        <v>79</v>
      </c>
      <c r="B666" s="208"/>
      <c r="C666" s="208"/>
      <c r="D666" s="208"/>
      <c r="E666" s="208"/>
      <c r="F666" s="208"/>
      <c r="G666" s="208"/>
      <c r="H666" s="208"/>
      <c r="I666" s="208"/>
      <c r="J666" s="208"/>
      <c r="K666" s="208"/>
      <c r="L666" s="208"/>
      <c r="M666" s="208"/>
    </row>
    <row r="667" spans="1:14" s="66" customFormat="1" ht="34.5" customHeight="1" x14ac:dyDescent="0.25">
      <c r="A667" s="206" t="s">
        <v>39</v>
      </c>
      <c r="B667" s="206"/>
      <c r="C667" s="206"/>
      <c r="D667" s="206"/>
      <c r="E667" s="206"/>
      <c r="F667" s="206"/>
      <c r="G667" s="206"/>
      <c r="H667" s="206"/>
      <c r="I667" s="206"/>
      <c r="J667" s="206"/>
      <c r="K667" s="206"/>
      <c r="L667" s="206"/>
      <c r="M667" s="206"/>
    </row>
    <row r="668" spans="1:14" s="66" customFormat="1" ht="34.5" customHeight="1" thickBot="1" x14ac:dyDescent="0.3">
      <c r="A668" s="207" t="s">
        <v>1</v>
      </c>
      <c r="B668" s="207"/>
      <c r="C668" s="207"/>
      <c r="D668" s="207"/>
      <c r="E668" s="207"/>
      <c r="F668" s="207"/>
      <c r="G668" s="207"/>
      <c r="H668" s="207"/>
      <c r="I668" s="207"/>
      <c r="J668" s="207"/>
      <c r="K668" s="207"/>
      <c r="L668" s="207"/>
      <c r="M668" s="207"/>
    </row>
    <row r="669" spans="1:14" ht="34.5" customHeight="1" thickBot="1" x14ac:dyDescent="0.3">
      <c r="A669" s="119" t="s">
        <v>2</v>
      </c>
      <c r="B669" s="120" t="s">
        <v>3</v>
      </c>
      <c r="C669" s="120" t="s">
        <v>4</v>
      </c>
      <c r="D669" s="120" t="s">
        <v>5</v>
      </c>
      <c r="E669" s="120" t="s">
        <v>6</v>
      </c>
      <c r="F669" s="120" t="s">
        <v>7</v>
      </c>
      <c r="G669" s="120" t="s">
        <v>8</v>
      </c>
      <c r="H669" s="120" t="s">
        <v>9</v>
      </c>
      <c r="I669" s="120" t="s">
        <v>10</v>
      </c>
      <c r="J669" s="120" t="s">
        <v>11</v>
      </c>
      <c r="K669" s="120" t="s">
        <v>12</v>
      </c>
      <c r="L669" s="120" t="s">
        <v>21</v>
      </c>
      <c r="M669" s="120" t="s">
        <v>14</v>
      </c>
      <c r="N669" s="78"/>
    </row>
    <row r="670" spans="1:14" s="122" customFormat="1" ht="34.5" customHeight="1" x14ac:dyDescent="0.25">
      <c r="A670" s="121">
        <v>1</v>
      </c>
      <c r="B670" s="79"/>
      <c r="C670" s="81">
        <v>1463</v>
      </c>
      <c r="D670" s="81">
        <v>1463</v>
      </c>
      <c r="E670" s="79"/>
      <c r="F670" s="71"/>
      <c r="G670" s="76">
        <v>1494.5</v>
      </c>
      <c r="H670" s="71"/>
      <c r="I670" s="158">
        <v>1476.095</v>
      </c>
      <c r="J670" s="71">
        <v>1468.077</v>
      </c>
      <c r="K670" s="71"/>
      <c r="L670" s="71">
        <v>1478.442</v>
      </c>
      <c r="M670" s="71">
        <v>1478.4490000000001</v>
      </c>
      <c r="N670" s="157"/>
    </row>
    <row r="671" spans="1:14" s="122" customFormat="1" ht="34.5" customHeight="1" x14ac:dyDescent="0.25">
      <c r="A671" s="123">
        <v>2</v>
      </c>
      <c r="B671" s="72"/>
      <c r="C671" s="72">
        <v>1462.4849999999999</v>
      </c>
      <c r="D671" s="76">
        <v>1463</v>
      </c>
      <c r="E671" s="72"/>
      <c r="F671" s="76">
        <v>1480</v>
      </c>
      <c r="G671" s="76">
        <v>1495.25</v>
      </c>
      <c r="H671" s="76"/>
      <c r="I671" s="158">
        <v>1479.163</v>
      </c>
      <c r="J671" s="72">
        <v>1467.452</v>
      </c>
      <c r="K671" s="72"/>
      <c r="L671" s="76">
        <v>1478.921</v>
      </c>
      <c r="M671" s="76">
        <v>1478.1289999999999</v>
      </c>
    </row>
    <row r="672" spans="1:14" s="122" customFormat="1" ht="34.5" customHeight="1" x14ac:dyDescent="0.25">
      <c r="A672" s="123">
        <v>3</v>
      </c>
      <c r="B672" s="72"/>
      <c r="C672" s="76">
        <v>1461.5</v>
      </c>
      <c r="D672" s="76">
        <v>1463.5</v>
      </c>
      <c r="E672" s="72"/>
      <c r="F672" s="76">
        <v>1481</v>
      </c>
      <c r="G672" s="76">
        <v>1492</v>
      </c>
      <c r="H672" s="72"/>
      <c r="I672" s="158">
        <v>1479.25</v>
      </c>
      <c r="J672" s="76"/>
      <c r="K672" s="72"/>
      <c r="L672" s="76">
        <v>1479.1489999999999</v>
      </c>
      <c r="M672" s="76"/>
    </row>
    <row r="673" spans="1:13" s="122" customFormat="1" ht="34.5" customHeight="1" x14ac:dyDescent="0.25">
      <c r="A673" s="123">
        <v>4</v>
      </c>
      <c r="B673" s="76">
        <v>1457</v>
      </c>
      <c r="C673" s="76">
        <v>1462</v>
      </c>
      <c r="D673" s="76">
        <v>1463</v>
      </c>
      <c r="E673" s="72"/>
      <c r="F673" s="76">
        <v>1479.5</v>
      </c>
      <c r="G673" s="72"/>
      <c r="H673" s="76">
        <v>1468.3309999999999</v>
      </c>
      <c r="I673" s="158">
        <v>1476.7360000000001</v>
      </c>
      <c r="J673" s="76"/>
      <c r="K673" s="72">
        <v>1483.5840000000001</v>
      </c>
      <c r="L673" s="76">
        <v>1481.806</v>
      </c>
      <c r="M673" s="76"/>
    </row>
    <row r="674" spans="1:13" s="122" customFormat="1" ht="34.5" customHeight="1" x14ac:dyDescent="0.25">
      <c r="A674" s="123">
        <v>5</v>
      </c>
      <c r="B674" s="72">
        <v>1458.135</v>
      </c>
      <c r="C674" s="72"/>
      <c r="D674" s="72"/>
      <c r="E674" s="72"/>
      <c r="F674" s="76">
        <v>1481.5</v>
      </c>
      <c r="G674" s="72"/>
      <c r="H674" s="76">
        <v>1468.0340000000001</v>
      </c>
      <c r="I674" s="158">
        <v>1476.8869999999999</v>
      </c>
      <c r="J674" s="76">
        <v>1468.76</v>
      </c>
      <c r="K674" s="72">
        <v>1485.8510000000001</v>
      </c>
      <c r="L674" s="76"/>
      <c r="M674" s="76">
        <v>1476.7929999999999</v>
      </c>
    </row>
    <row r="675" spans="1:13" s="122" customFormat="1" ht="34.5" customHeight="1" x14ac:dyDescent="0.25">
      <c r="A675" s="123">
        <v>6</v>
      </c>
      <c r="B675" s="72"/>
      <c r="C675" s="76"/>
      <c r="D675" s="72"/>
      <c r="E675" s="76">
        <v>1467.25</v>
      </c>
      <c r="F675" s="76">
        <v>1485</v>
      </c>
      <c r="G675" s="76">
        <v>1498</v>
      </c>
      <c r="H675" s="76">
        <v>1467.4110000000001</v>
      </c>
      <c r="I675" s="158"/>
      <c r="J675" s="72">
        <v>1468.4449999999999</v>
      </c>
      <c r="K675" s="76">
        <v>1481.0530000000001</v>
      </c>
      <c r="L675" s="76"/>
      <c r="M675" s="76">
        <v>1476.85</v>
      </c>
    </row>
    <row r="676" spans="1:13" s="122" customFormat="1" ht="34.5" customHeight="1" x14ac:dyDescent="0.25">
      <c r="A676" s="123">
        <v>7</v>
      </c>
      <c r="B676" s="76">
        <v>1460.91</v>
      </c>
      <c r="C676" s="72">
        <v>1463.9839999999999</v>
      </c>
      <c r="D676" s="72"/>
      <c r="E676" s="76">
        <v>1467.75</v>
      </c>
      <c r="F676" s="76"/>
      <c r="G676" s="76">
        <v>1497.5</v>
      </c>
      <c r="H676" s="76">
        <v>1466.73</v>
      </c>
      <c r="I676" s="158"/>
      <c r="J676" s="72">
        <v>1472.547</v>
      </c>
      <c r="K676" s="76">
        <v>1481.33</v>
      </c>
      <c r="L676" s="76">
        <v>1482.056</v>
      </c>
      <c r="M676" s="76">
        <v>1477.8309999999999</v>
      </c>
    </row>
    <row r="677" spans="1:13" s="122" customFormat="1" ht="33.75" customHeight="1" x14ac:dyDescent="0.25">
      <c r="A677" s="123">
        <v>8</v>
      </c>
      <c r="B677" s="72"/>
      <c r="C677" s="76">
        <v>1463.25</v>
      </c>
      <c r="D677" s="76">
        <v>1462.75</v>
      </c>
      <c r="E677" s="76">
        <v>1468.5</v>
      </c>
      <c r="F677" s="72"/>
      <c r="G677" s="76">
        <v>1497.5</v>
      </c>
      <c r="H677" s="76">
        <v>1467.088</v>
      </c>
      <c r="I677" s="158">
        <v>1478.713</v>
      </c>
      <c r="J677" s="72">
        <v>1472.0250000000001</v>
      </c>
      <c r="K677" s="76"/>
      <c r="L677" s="76">
        <v>1482.2919999999999</v>
      </c>
      <c r="M677" s="76">
        <v>1479.1369999999999</v>
      </c>
    </row>
    <row r="678" spans="1:13" s="122" customFormat="1" ht="31.5" customHeight="1" x14ac:dyDescent="0.25">
      <c r="A678" s="123">
        <v>9</v>
      </c>
      <c r="B678" s="146"/>
      <c r="C678" s="152">
        <v>1464</v>
      </c>
      <c r="D678" s="76">
        <v>1462.5</v>
      </c>
      <c r="E678" s="141"/>
      <c r="F678" s="76">
        <v>1485</v>
      </c>
      <c r="G678" s="76">
        <v>1501</v>
      </c>
      <c r="H678" s="76"/>
      <c r="I678" s="158"/>
      <c r="J678" s="146">
        <v>1469.508</v>
      </c>
      <c r="K678" s="152"/>
      <c r="L678" s="152">
        <v>1482.2080000000001</v>
      </c>
      <c r="M678" s="152">
        <v>1478.0730000000001</v>
      </c>
    </row>
    <row r="679" spans="1:13" s="122" customFormat="1" ht="34.5" customHeight="1" x14ac:dyDescent="0.25">
      <c r="A679" s="123">
        <v>10</v>
      </c>
      <c r="B679" s="152">
        <v>1453.8530000000001</v>
      </c>
      <c r="C679" s="152">
        <v>1463.25</v>
      </c>
      <c r="D679" s="76">
        <v>1463</v>
      </c>
      <c r="E679" s="158"/>
      <c r="F679" s="76">
        <v>1482</v>
      </c>
      <c r="G679" s="76">
        <v>1502</v>
      </c>
      <c r="H679" s="76"/>
      <c r="I679" s="158">
        <v>1477.373</v>
      </c>
      <c r="J679" s="146"/>
      <c r="K679" s="146"/>
      <c r="L679" s="152">
        <v>1483.152</v>
      </c>
      <c r="M679" s="153"/>
    </row>
    <row r="680" spans="1:13" s="122" customFormat="1" ht="34.5" customHeight="1" x14ac:dyDescent="0.25">
      <c r="A680" s="123">
        <v>11</v>
      </c>
      <c r="B680" s="76">
        <v>1455</v>
      </c>
      <c r="C680" s="152">
        <v>1463.5</v>
      </c>
      <c r="D680" s="76">
        <v>1463</v>
      </c>
      <c r="E680" s="76">
        <v>1470.25</v>
      </c>
      <c r="F680" s="158">
        <v>1483.5</v>
      </c>
      <c r="G680" s="76"/>
      <c r="H680" s="76">
        <v>1477.8630000000001</v>
      </c>
      <c r="I680" s="158">
        <v>1478.7439999999999</v>
      </c>
      <c r="J680" s="146"/>
      <c r="K680" s="146">
        <v>1481.807</v>
      </c>
      <c r="L680" s="152">
        <v>1483.326</v>
      </c>
      <c r="M680" s="152"/>
    </row>
    <row r="681" spans="1:13" s="122" customFormat="1" ht="34.5" customHeight="1" x14ac:dyDescent="0.25">
      <c r="A681" s="123">
        <v>12</v>
      </c>
      <c r="B681" s="146">
        <v>1457.8420000000001</v>
      </c>
      <c r="C681" s="152"/>
      <c r="D681" s="146"/>
      <c r="E681" s="158">
        <v>1476</v>
      </c>
      <c r="F681" s="158"/>
      <c r="G681" s="76"/>
      <c r="H681" s="76">
        <v>1477.4390000000001</v>
      </c>
      <c r="I681" s="158">
        <v>1478.4259999999999</v>
      </c>
      <c r="J681" s="146">
        <v>1471.925</v>
      </c>
      <c r="K681" s="146">
        <v>1481.807</v>
      </c>
      <c r="L681" s="152"/>
      <c r="M681" s="152">
        <v>1478.71</v>
      </c>
    </row>
    <row r="682" spans="1:13" s="122" customFormat="1" ht="34.5" customHeight="1" x14ac:dyDescent="0.25">
      <c r="A682" s="123">
        <v>13</v>
      </c>
      <c r="B682" s="152">
        <v>1457.5</v>
      </c>
      <c r="C682" s="146"/>
      <c r="D682" s="146"/>
      <c r="E682" s="158">
        <v>1481.5</v>
      </c>
      <c r="F682" s="158"/>
      <c r="G682" s="76">
        <v>1501.5</v>
      </c>
      <c r="H682" s="146">
        <v>1476.425</v>
      </c>
      <c r="I682" s="158"/>
      <c r="J682" s="146">
        <v>1471.154</v>
      </c>
      <c r="K682" s="146">
        <v>1482.6610000000001</v>
      </c>
      <c r="L682" s="152"/>
      <c r="M682" s="152">
        <v>1478.4359999999999</v>
      </c>
    </row>
    <row r="683" spans="1:13" s="122" customFormat="1" ht="34.5" customHeight="1" x14ac:dyDescent="0.25">
      <c r="A683" s="123">
        <v>14</v>
      </c>
      <c r="B683" s="146">
        <v>1453.893</v>
      </c>
      <c r="C683" s="152">
        <v>1463.25</v>
      </c>
      <c r="D683" s="146"/>
      <c r="E683" s="158">
        <v>1478</v>
      </c>
      <c r="F683" s="158"/>
      <c r="G683" s="76">
        <v>1495.75</v>
      </c>
      <c r="H683" s="146"/>
      <c r="I683" s="158"/>
      <c r="J683" s="152">
        <v>1471.481</v>
      </c>
      <c r="K683" s="146">
        <v>1482.3009999999999</v>
      </c>
      <c r="L683" s="152">
        <v>1485.56</v>
      </c>
      <c r="M683" s="152">
        <v>1478.337</v>
      </c>
    </row>
    <row r="684" spans="1:13" s="122" customFormat="1" ht="34.5" customHeight="1" x14ac:dyDescent="0.25">
      <c r="A684" s="123">
        <v>15</v>
      </c>
      <c r="B684" s="146"/>
      <c r="C684" s="152">
        <v>1465</v>
      </c>
      <c r="D684" s="76">
        <v>1462.75</v>
      </c>
      <c r="E684" s="158">
        <v>1475</v>
      </c>
      <c r="F684" s="141"/>
      <c r="G684" s="76">
        <v>1496</v>
      </c>
      <c r="H684" s="146">
        <v>1476.829</v>
      </c>
      <c r="I684" s="158">
        <v>1478.087</v>
      </c>
      <c r="J684" s="146">
        <v>1470.8820000000001</v>
      </c>
      <c r="K684" s="146"/>
      <c r="L684" s="152">
        <v>1482.04</v>
      </c>
      <c r="M684" s="152">
        <v>1476.463</v>
      </c>
    </row>
    <row r="685" spans="1:13" s="122" customFormat="1" ht="34.5" customHeight="1" x14ac:dyDescent="0.25">
      <c r="A685" s="123">
        <v>16</v>
      </c>
      <c r="B685" s="146"/>
      <c r="C685" s="152">
        <v>1468</v>
      </c>
      <c r="D685" s="76">
        <v>1462.75</v>
      </c>
      <c r="E685" s="141"/>
      <c r="F685" s="141"/>
      <c r="G685" s="158">
        <v>1485.5</v>
      </c>
      <c r="H685" s="152"/>
      <c r="I685" s="158">
        <v>1476.9449999999999</v>
      </c>
      <c r="J685" s="146">
        <v>1470.8589999999999</v>
      </c>
      <c r="K685" s="146"/>
      <c r="L685" s="152">
        <v>1482.0309999999999</v>
      </c>
      <c r="M685" s="152">
        <v>1476.0039999999999</v>
      </c>
    </row>
    <row r="686" spans="1:13" s="122" customFormat="1" ht="34.5" customHeight="1" x14ac:dyDescent="0.25">
      <c r="A686" s="123">
        <v>17</v>
      </c>
      <c r="B686" s="152">
        <v>1456</v>
      </c>
      <c r="C686" s="152">
        <v>1468</v>
      </c>
      <c r="D686" s="76">
        <v>1463</v>
      </c>
      <c r="E686" s="141"/>
      <c r="F686" s="141"/>
      <c r="G686" s="158">
        <v>1486.5</v>
      </c>
      <c r="H686" s="146"/>
      <c r="I686" s="158">
        <v>1475.6949999999999</v>
      </c>
      <c r="J686" s="146"/>
      <c r="K686" s="146">
        <v>1481.479</v>
      </c>
      <c r="L686" s="152">
        <v>1481.36</v>
      </c>
      <c r="M686" s="152"/>
    </row>
    <row r="687" spans="1:13" s="122" customFormat="1" ht="34.5" customHeight="1" x14ac:dyDescent="0.25">
      <c r="A687" s="123">
        <v>18</v>
      </c>
      <c r="B687" s="152">
        <v>1465</v>
      </c>
      <c r="C687" s="152">
        <v>1461</v>
      </c>
      <c r="D687" s="152">
        <v>1463</v>
      </c>
      <c r="E687" s="158">
        <v>1476</v>
      </c>
      <c r="F687" s="141"/>
      <c r="G687" s="158"/>
      <c r="H687" s="146"/>
      <c r="I687" s="158">
        <v>1475.3119999999999</v>
      </c>
      <c r="J687" s="146"/>
      <c r="K687" s="146"/>
      <c r="L687" s="152">
        <v>1480.384</v>
      </c>
      <c r="M687" s="152"/>
    </row>
    <row r="688" spans="1:13" s="122" customFormat="1" ht="34.5" customHeight="1" x14ac:dyDescent="0.25">
      <c r="A688" s="123">
        <v>19</v>
      </c>
      <c r="B688" s="152">
        <v>1465</v>
      </c>
      <c r="C688" s="146"/>
      <c r="D688" s="152"/>
      <c r="E688" s="158">
        <v>1475</v>
      </c>
      <c r="F688" s="158"/>
      <c r="G688" s="158"/>
      <c r="H688" s="146"/>
      <c r="I688" s="158"/>
      <c r="J688" s="146">
        <v>1469.789</v>
      </c>
      <c r="K688" s="146">
        <v>1484.9590000000001</v>
      </c>
      <c r="M688" s="152">
        <v>1477.184</v>
      </c>
    </row>
    <row r="689" spans="1:14" s="122" customFormat="1" ht="34.5" customHeight="1" x14ac:dyDescent="0.25">
      <c r="A689" s="123">
        <v>20</v>
      </c>
      <c r="B689" s="152">
        <v>1465.5</v>
      </c>
      <c r="C689" s="141"/>
      <c r="D689" s="152"/>
      <c r="E689" s="158">
        <v>1474</v>
      </c>
      <c r="F689" s="141"/>
      <c r="G689" s="158">
        <v>1483</v>
      </c>
      <c r="H689" s="146"/>
      <c r="I689" s="158"/>
      <c r="J689" s="146">
        <v>1469.4469999999999</v>
      </c>
      <c r="K689" s="146">
        <v>1486.318</v>
      </c>
      <c r="L689" s="152"/>
      <c r="M689" s="152">
        <v>1476.62</v>
      </c>
    </row>
    <row r="690" spans="1:14" s="122" customFormat="1" ht="34.5" customHeight="1" x14ac:dyDescent="0.25">
      <c r="A690" s="123">
        <v>21</v>
      </c>
      <c r="B690" s="152">
        <v>1465</v>
      </c>
      <c r="C690" s="152">
        <v>1450.75</v>
      </c>
      <c r="D690" s="152"/>
      <c r="E690" s="158">
        <v>1480.5</v>
      </c>
      <c r="F690" s="141"/>
      <c r="G690" s="158">
        <v>1480.5</v>
      </c>
      <c r="H690" s="146"/>
      <c r="I690" s="158"/>
      <c r="J690" s="146">
        <v>1469.415</v>
      </c>
      <c r="K690" s="152">
        <v>1476.77</v>
      </c>
      <c r="L690" s="152">
        <v>1480.36</v>
      </c>
      <c r="M690" s="152">
        <v>1477.451</v>
      </c>
    </row>
    <row r="691" spans="1:14" s="122" customFormat="1" ht="34.5" customHeight="1" x14ac:dyDescent="0.25">
      <c r="A691" s="123">
        <v>22</v>
      </c>
      <c r="B691" s="146"/>
      <c r="C691" s="152">
        <v>1450.75</v>
      </c>
      <c r="D691" s="152">
        <v>1462.5</v>
      </c>
      <c r="E691" s="158">
        <v>1479</v>
      </c>
      <c r="F691" s="141"/>
      <c r="G691" s="158">
        <v>1478.25</v>
      </c>
      <c r="H691" s="146"/>
      <c r="I691" s="158">
        <v>1474.77</v>
      </c>
      <c r="J691" s="152">
        <v>1469.133</v>
      </c>
      <c r="K691" s="152"/>
      <c r="L691" s="152">
        <v>1480.104</v>
      </c>
      <c r="M691" s="152">
        <v>1474.3320000000001</v>
      </c>
    </row>
    <row r="692" spans="1:14" s="122" customFormat="1" ht="34.5" customHeight="1" x14ac:dyDescent="0.25">
      <c r="A692" s="123">
        <v>23</v>
      </c>
      <c r="B692" s="146"/>
      <c r="C692" s="152">
        <v>1450</v>
      </c>
      <c r="D692" s="152">
        <v>1458</v>
      </c>
      <c r="E692" s="160"/>
      <c r="F692" s="158">
        <v>1488.5</v>
      </c>
      <c r="G692" s="158">
        <v>1474.25</v>
      </c>
      <c r="H692" s="152"/>
      <c r="I692" s="158">
        <v>1472.4480000000001</v>
      </c>
      <c r="J692" s="146">
        <v>1472.134</v>
      </c>
      <c r="K692" s="146"/>
      <c r="L692" s="152">
        <v>1479.8869999999999</v>
      </c>
      <c r="M692" s="152">
        <v>1477.0730000000001</v>
      </c>
    </row>
    <row r="693" spans="1:14" s="122" customFormat="1" ht="34.5" customHeight="1" x14ac:dyDescent="0.25">
      <c r="A693" s="123">
        <v>24</v>
      </c>
      <c r="B693" s="152">
        <v>1465</v>
      </c>
      <c r="C693" s="152">
        <v>1456</v>
      </c>
      <c r="D693" s="152">
        <v>1455</v>
      </c>
      <c r="E693" s="160"/>
      <c r="F693" s="158">
        <v>1488.5</v>
      </c>
      <c r="G693" s="158">
        <v>1473.5</v>
      </c>
      <c r="H693" s="146"/>
      <c r="I693" s="158">
        <v>1472.0619999999999</v>
      </c>
      <c r="J693" s="152"/>
      <c r="K693" s="146">
        <v>1478.778</v>
      </c>
      <c r="L693" s="152">
        <v>1480.175</v>
      </c>
      <c r="M693" s="152"/>
    </row>
    <row r="694" spans="1:14" s="122" customFormat="1" ht="34.5" customHeight="1" x14ac:dyDescent="0.25">
      <c r="A694" s="123">
        <v>25</v>
      </c>
      <c r="B694" s="152">
        <v>1464.25</v>
      </c>
      <c r="C694" s="152">
        <v>1454</v>
      </c>
      <c r="D694" s="152">
        <v>1452</v>
      </c>
      <c r="E694" s="158">
        <v>1479.5</v>
      </c>
      <c r="F694" s="158">
        <v>1489</v>
      </c>
      <c r="G694" s="158"/>
      <c r="H694" s="146">
        <v>1472.933</v>
      </c>
      <c r="I694" s="158">
        <v>1469.82</v>
      </c>
      <c r="J694" s="146"/>
      <c r="K694" s="146">
        <v>1478.7339999999999</v>
      </c>
      <c r="L694" s="152">
        <v>1478.5920000000001</v>
      </c>
      <c r="M694" s="152"/>
    </row>
    <row r="695" spans="1:14" s="122" customFormat="1" ht="34.5" customHeight="1" x14ac:dyDescent="0.25">
      <c r="A695" s="123">
        <v>26</v>
      </c>
      <c r="B695" s="146">
        <v>1463.9839999999999</v>
      </c>
      <c r="C695" s="146"/>
      <c r="D695" s="146"/>
      <c r="E695" s="158">
        <v>1479.5</v>
      </c>
      <c r="F695" s="158">
        <v>1492.75</v>
      </c>
      <c r="G695" s="141"/>
      <c r="H695" s="152">
        <v>1471.93</v>
      </c>
      <c r="I695" s="158">
        <v>1469.1469999999999</v>
      </c>
      <c r="J695" s="146">
        <v>1472.3240000000001</v>
      </c>
      <c r="K695" s="146">
        <v>1476.9459999999999</v>
      </c>
      <c r="L695" s="152"/>
      <c r="M695" s="152"/>
    </row>
    <row r="696" spans="1:14" s="122" customFormat="1" ht="34.5" customHeight="1" x14ac:dyDescent="0.25">
      <c r="A696" s="123">
        <v>27</v>
      </c>
      <c r="B696" s="152">
        <v>1463.155</v>
      </c>
      <c r="C696" s="152"/>
      <c r="D696" s="146"/>
      <c r="E696" s="158">
        <v>1478</v>
      </c>
      <c r="F696" s="158">
        <v>1494.5</v>
      </c>
      <c r="G696" s="158">
        <v>1473</v>
      </c>
      <c r="H696" s="152">
        <v>1477.78</v>
      </c>
      <c r="I696" s="158"/>
      <c r="J696" s="146">
        <v>1472.3040000000001</v>
      </c>
      <c r="K696" s="152">
        <v>1476.6790000000001</v>
      </c>
      <c r="L696" s="152"/>
      <c r="M696" s="152">
        <v>1476.655</v>
      </c>
    </row>
    <row r="697" spans="1:14" s="122" customFormat="1" ht="34.5" customHeight="1" x14ac:dyDescent="0.25">
      <c r="A697" s="123">
        <v>28</v>
      </c>
      <c r="B697" s="152">
        <v>1462.49</v>
      </c>
      <c r="C697" s="146"/>
      <c r="D697" s="152">
        <v>1452</v>
      </c>
      <c r="E697" s="158">
        <v>1477.5</v>
      </c>
      <c r="F697" s="141"/>
      <c r="G697" s="158">
        <v>1469</v>
      </c>
      <c r="H697" s="146">
        <v>1477.0709999999999</v>
      </c>
      <c r="I697" s="158"/>
      <c r="J697" s="146"/>
      <c r="K697" s="146">
        <v>1477.3219999999999</v>
      </c>
      <c r="L697" s="152">
        <v>1478.6289999999999</v>
      </c>
      <c r="M697" s="152">
        <v>1474.9390000000001</v>
      </c>
    </row>
    <row r="698" spans="1:14" s="122" customFormat="1" ht="34.5" customHeight="1" x14ac:dyDescent="0.25">
      <c r="A698" s="123">
        <v>29</v>
      </c>
      <c r="B698" s="146"/>
      <c r="C698" s="124"/>
      <c r="D698" s="152">
        <v>1456</v>
      </c>
      <c r="E698" s="158">
        <v>1478.25</v>
      </c>
      <c r="F698" s="141"/>
      <c r="G698" s="158">
        <v>1468</v>
      </c>
      <c r="H698" s="146">
        <v>1476.6569999999999</v>
      </c>
      <c r="I698" s="158">
        <v>1470.9659999999999</v>
      </c>
      <c r="J698" s="152">
        <v>1472.155</v>
      </c>
      <c r="K698" s="146"/>
      <c r="L698" s="152">
        <v>1478.569</v>
      </c>
      <c r="M698" s="152">
        <v>1476.19</v>
      </c>
    </row>
    <row r="699" spans="1:14" s="122" customFormat="1" ht="34.5" customHeight="1" x14ac:dyDescent="0.25">
      <c r="A699" s="123">
        <v>30</v>
      </c>
      <c r="B699" s="152"/>
      <c r="C699" s="124"/>
      <c r="D699" s="152">
        <v>1462</v>
      </c>
      <c r="E699" s="160"/>
      <c r="F699" s="158">
        <v>1492.5</v>
      </c>
      <c r="G699" s="158">
        <v>1470</v>
      </c>
      <c r="H699" s="152"/>
      <c r="I699" s="146">
        <v>1471.2550000000001</v>
      </c>
      <c r="J699" s="146">
        <v>1472.047</v>
      </c>
      <c r="K699" s="146"/>
      <c r="L699" s="152">
        <v>1478.134</v>
      </c>
      <c r="M699" s="152">
        <v>1475.5050000000001</v>
      </c>
    </row>
    <row r="700" spans="1:14" s="122" customFormat="1" ht="34.5" customHeight="1" thickBot="1" x14ac:dyDescent="0.3">
      <c r="A700" s="127">
        <v>31</v>
      </c>
      <c r="B700" s="159">
        <v>1459.9829999999999</v>
      </c>
      <c r="C700" s="129"/>
      <c r="D700" s="152">
        <v>1463</v>
      </c>
      <c r="E700" s="129"/>
      <c r="F700" s="158">
        <v>1492.5</v>
      </c>
      <c r="G700" s="129"/>
      <c r="H700" s="148"/>
      <c r="I700" s="148">
        <v>1470.1310000000001</v>
      </c>
      <c r="J700" s="149"/>
      <c r="K700" s="148">
        <v>1480.6969999999999</v>
      </c>
      <c r="L700" s="152"/>
      <c r="M700" s="156"/>
    </row>
    <row r="701" spans="1:14" s="122" customFormat="1" ht="34.5" customHeight="1" thickBot="1" x14ac:dyDescent="0.3">
      <c r="A701" s="161" t="s">
        <v>15</v>
      </c>
      <c r="B701" s="167">
        <f>AVERAGE(B670:B700)</f>
        <v>1460.4997368421054</v>
      </c>
      <c r="C701" s="167">
        <f t="shared" ref="C701:L701" si="19">AVERAGE(C670:C700)</f>
        <v>1460.7220526315789</v>
      </c>
      <c r="D701" s="167">
        <f t="shared" si="19"/>
        <v>1460.7874999999999</v>
      </c>
      <c r="E701" s="167">
        <f t="shared" si="19"/>
        <v>1475.6388888888889</v>
      </c>
      <c r="F701" s="167">
        <f t="shared" si="19"/>
        <v>1486.3833333333334</v>
      </c>
      <c r="G701" s="167">
        <f t="shared" si="19"/>
        <v>1486.9318181818182</v>
      </c>
      <c r="H701" s="167">
        <f t="shared" si="19"/>
        <v>1473.0372142857141</v>
      </c>
      <c r="I701" s="167">
        <f t="shared" si="19"/>
        <v>1475.1440476190478</v>
      </c>
      <c r="J701" s="167">
        <f t="shared" si="19"/>
        <v>1470.5649047619049</v>
      </c>
      <c r="K701" s="167">
        <f t="shared" si="19"/>
        <v>1481.0597777777775</v>
      </c>
      <c r="L701" s="167">
        <f t="shared" si="19"/>
        <v>1480.7807727272725</v>
      </c>
      <c r="M701" s="167">
        <f>AVERAGE(M670:M700)</f>
        <v>1477.1029047619045</v>
      </c>
    </row>
    <row r="702" spans="1:14" s="66" customFormat="1" ht="34.5" customHeight="1" x14ac:dyDescent="0.25">
      <c r="A702" s="206" t="s">
        <v>80</v>
      </c>
      <c r="B702" s="206"/>
      <c r="C702" s="206"/>
      <c r="D702" s="206"/>
      <c r="E702" s="206"/>
      <c r="F702" s="206"/>
      <c r="G702" s="206"/>
      <c r="H702" s="206"/>
      <c r="I702" s="206"/>
      <c r="J702" s="206"/>
      <c r="K702" s="206"/>
      <c r="L702" s="206"/>
      <c r="M702" s="206"/>
    </row>
    <row r="703" spans="1:14" s="66" customFormat="1" ht="34.5" customHeight="1" thickBot="1" x14ac:dyDescent="0.3">
      <c r="A703" s="207" t="s">
        <v>1</v>
      </c>
      <c r="B703" s="207"/>
      <c r="C703" s="207"/>
      <c r="D703" s="207"/>
      <c r="E703" s="207"/>
      <c r="F703" s="207"/>
      <c r="G703" s="207"/>
      <c r="H703" s="207"/>
      <c r="I703" s="207"/>
      <c r="J703" s="207"/>
      <c r="K703" s="207"/>
      <c r="L703" s="207"/>
      <c r="M703" s="207"/>
    </row>
    <row r="704" spans="1:14" ht="34.5" customHeight="1" thickBot="1" x14ac:dyDescent="0.3">
      <c r="A704" s="119" t="s">
        <v>2</v>
      </c>
      <c r="B704" s="120" t="s">
        <v>3</v>
      </c>
      <c r="C704" s="120" t="s">
        <v>4</v>
      </c>
      <c r="D704" s="120" t="s">
        <v>5</v>
      </c>
      <c r="E704" s="120" t="s">
        <v>6</v>
      </c>
      <c r="F704" s="120" t="s">
        <v>7</v>
      </c>
      <c r="G704" s="120" t="s">
        <v>8</v>
      </c>
      <c r="H704" s="120" t="s">
        <v>9</v>
      </c>
      <c r="I704" s="120" t="s">
        <v>10</v>
      </c>
      <c r="J704" s="120" t="s">
        <v>11</v>
      </c>
      <c r="K704" s="120" t="s">
        <v>12</v>
      </c>
      <c r="L704" s="120" t="s">
        <v>21</v>
      </c>
      <c r="M704" s="120" t="s">
        <v>14</v>
      </c>
      <c r="N704" s="78"/>
    </row>
    <row r="705" spans="1:14" s="122" customFormat="1" ht="34.5" customHeight="1" x14ac:dyDescent="0.25">
      <c r="A705" s="121">
        <v>1</v>
      </c>
      <c r="B705" s="79"/>
      <c r="C705" s="81">
        <v>1477.306</v>
      </c>
      <c r="D705" s="81">
        <v>1475.6980000000001</v>
      </c>
      <c r="E705" s="79"/>
      <c r="F705" s="71"/>
      <c r="G705" s="76">
        <v>1482.3989999999999</v>
      </c>
      <c r="H705" s="71"/>
      <c r="I705" s="158">
        <v>1480.951</v>
      </c>
      <c r="J705" s="71">
        <v>1472.8119999999999</v>
      </c>
      <c r="K705" s="71"/>
      <c r="L705" s="98">
        <v>1464.62</v>
      </c>
      <c r="M705" s="71">
        <v>1506.3140000000001</v>
      </c>
      <c r="N705" s="157"/>
    </row>
    <row r="706" spans="1:14" s="122" customFormat="1" ht="34.5" customHeight="1" x14ac:dyDescent="0.25">
      <c r="A706" s="123">
        <v>2</v>
      </c>
      <c r="B706" s="72"/>
      <c r="C706" s="72">
        <v>1477.347</v>
      </c>
      <c r="D706" s="76">
        <v>1472.3430000000001</v>
      </c>
      <c r="E706" s="72"/>
      <c r="F706" s="76"/>
      <c r="G706" s="76">
        <v>1484.373</v>
      </c>
      <c r="H706" s="76"/>
      <c r="I706" s="158">
        <v>1481.837</v>
      </c>
      <c r="J706" s="72"/>
      <c r="K706" s="72">
        <v>1476.6559999999999</v>
      </c>
      <c r="L706" s="76">
        <v>1468.9649999999999</v>
      </c>
      <c r="M706" s="76"/>
    </row>
    <row r="707" spans="1:14" s="122" customFormat="1" ht="34.5" customHeight="1" x14ac:dyDescent="0.25">
      <c r="A707" s="123">
        <v>3</v>
      </c>
      <c r="B707" s="72">
        <v>1476.1110000000001</v>
      </c>
      <c r="C707" s="76">
        <v>1476.691</v>
      </c>
      <c r="D707" s="76">
        <v>1472.4090000000001</v>
      </c>
      <c r="E707" s="72">
        <v>1471.8810000000001</v>
      </c>
      <c r="F707" s="76"/>
      <c r="G707" s="76"/>
      <c r="H707" s="72">
        <v>1479.739</v>
      </c>
      <c r="I707" s="158">
        <v>1481.826</v>
      </c>
      <c r="J707" s="76"/>
      <c r="K707" s="72"/>
      <c r="L707" s="76">
        <v>1469.087</v>
      </c>
      <c r="M707" s="76"/>
    </row>
    <row r="708" spans="1:14" s="122" customFormat="1" ht="34.5" customHeight="1" x14ac:dyDescent="0.25">
      <c r="A708" s="123">
        <v>4</v>
      </c>
      <c r="B708" s="76">
        <v>1475.829</v>
      </c>
      <c r="C708" s="76"/>
      <c r="D708" s="76"/>
      <c r="E708" s="72">
        <v>1471.933</v>
      </c>
      <c r="F708" s="76"/>
      <c r="G708" s="72"/>
      <c r="H708" s="76">
        <v>1479.6120000000001</v>
      </c>
      <c r="I708" s="158">
        <v>1481.4970000000001</v>
      </c>
      <c r="J708" s="76">
        <v>1472.653</v>
      </c>
      <c r="K708" s="72">
        <v>1477.7249999999999</v>
      </c>
      <c r="L708" s="76"/>
      <c r="M708" s="76">
        <v>1508.942</v>
      </c>
    </row>
    <row r="709" spans="1:14" s="122" customFormat="1" ht="34.5" customHeight="1" x14ac:dyDescent="0.25">
      <c r="A709" s="123">
        <v>5</v>
      </c>
      <c r="B709" s="72">
        <v>1476.443</v>
      </c>
      <c r="C709" s="72"/>
      <c r="D709" s="72"/>
      <c r="E709" s="72">
        <v>1472.7170000000001</v>
      </c>
      <c r="F709" s="76"/>
      <c r="G709" s="72">
        <v>1483.0260000000001</v>
      </c>
      <c r="H709" s="76">
        <v>1479.412</v>
      </c>
      <c r="I709" s="158"/>
      <c r="J709" s="76">
        <v>1479.7560000000001</v>
      </c>
      <c r="K709" s="72">
        <v>1478.7349999999999</v>
      </c>
      <c r="L709" s="76"/>
      <c r="M709" s="76">
        <v>1502.3989999999999</v>
      </c>
    </row>
    <row r="710" spans="1:14" s="122" customFormat="1" ht="34.5" customHeight="1" x14ac:dyDescent="0.25">
      <c r="A710" s="123">
        <v>6</v>
      </c>
      <c r="B710" s="72"/>
      <c r="C710" s="76">
        <v>1476.9390000000001</v>
      </c>
      <c r="D710" s="72">
        <v>1474.981</v>
      </c>
      <c r="E710" s="76">
        <v>1472.8150000000001</v>
      </c>
      <c r="F710" s="76"/>
      <c r="G710" s="76">
        <v>1483.05</v>
      </c>
      <c r="H710" s="76">
        <v>1478.3420000000001</v>
      </c>
      <c r="I710" s="158"/>
      <c r="J710" s="72">
        <v>1477.365</v>
      </c>
      <c r="K710" s="76">
        <v>1480.768</v>
      </c>
      <c r="L710" s="76">
        <v>1469.366</v>
      </c>
      <c r="M710" s="76">
        <v>1518.895</v>
      </c>
    </row>
    <row r="711" spans="1:14" s="122" customFormat="1" ht="34.5" customHeight="1" x14ac:dyDescent="0.25">
      <c r="A711" s="123">
        <v>7</v>
      </c>
      <c r="B711" s="76"/>
      <c r="C711" s="76">
        <v>1477.78</v>
      </c>
      <c r="D711" s="72">
        <v>1473.7860000000001</v>
      </c>
      <c r="E711" s="76">
        <v>1473.317</v>
      </c>
      <c r="F711" s="76"/>
      <c r="G711" s="76">
        <v>1483.1289999999999</v>
      </c>
      <c r="H711" s="76">
        <v>1478.018</v>
      </c>
      <c r="I711" s="158">
        <v>1477.672</v>
      </c>
      <c r="J711" s="72">
        <v>1476.3050000000001</v>
      </c>
      <c r="K711" s="76"/>
      <c r="L711" s="76">
        <v>1474.971</v>
      </c>
      <c r="M711" s="76">
        <v>1523.9849999999999</v>
      </c>
    </row>
    <row r="712" spans="1:14" s="122" customFormat="1" ht="33.75" customHeight="1" x14ac:dyDescent="0.25">
      <c r="A712" s="123">
        <v>8</v>
      </c>
      <c r="B712" s="72"/>
      <c r="C712" s="76">
        <v>1478.32</v>
      </c>
      <c r="D712" s="76">
        <v>1474.3489999999999</v>
      </c>
      <c r="E712" s="76"/>
      <c r="F712" s="76">
        <v>1475.3</v>
      </c>
      <c r="G712" s="76">
        <v>1483.135</v>
      </c>
      <c r="H712" s="76"/>
      <c r="I712" s="158">
        <v>1479.4269999999999</v>
      </c>
      <c r="J712" s="72">
        <v>1477.607</v>
      </c>
      <c r="K712" s="76"/>
      <c r="L712" s="76">
        <v>1474.4</v>
      </c>
      <c r="M712" s="76">
        <v>1512.819</v>
      </c>
    </row>
    <row r="713" spans="1:14" s="122" customFormat="1" ht="31.5" customHeight="1" x14ac:dyDescent="0.25">
      <c r="A713" s="123">
        <v>9</v>
      </c>
      <c r="B713" s="152">
        <v>1478.76</v>
      </c>
      <c r="C713" s="152">
        <v>1477.83</v>
      </c>
      <c r="D713" s="76">
        <v>1474.4359999999999</v>
      </c>
      <c r="E713" s="141"/>
      <c r="F713" s="76">
        <v>1477.4159999999999</v>
      </c>
      <c r="G713" s="76">
        <v>1476.6949999999999</v>
      </c>
      <c r="H713" s="76"/>
      <c r="I713" s="158"/>
      <c r="J713" s="146"/>
      <c r="K713" s="152">
        <v>1483.923</v>
      </c>
      <c r="L713" s="152">
        <v>1474.49</v>
      </c>
      <c r="M713" s="152"/>
    </row>
    <row r="714" spans="1:14" s="122" customFormat="1" ht="34.5" customHeight="1" x14ac:dyDescent="0.25">
      <c r="A714" s="123">
        <v>10</v>
      </c>
      <c r="B714" s="152">
        <v>1478.9469999999999</v>
      </c>
      <c r="C714" s="152">
        <v>1478.1</v>
      </c>
      <c r="D714" s="76">
        <v>1474.585</v>
      </c>
      <c r="E714" s="158">
        <v>1474.787</v>
      </c>
      <c r="F714" s="76">
        <v>1478.6420000000001</v>
      </c>
      <c r="G714" s="76"/>
      <c r="H714" s="76"/>
      <c r="I714" s="158">
        <v>1480.24</v>
      </c>
      <c r="J714" s="146"/>
      <c r="K714" s="146">
        <v>1483.4639999999999</v>
      </c>
      <c r="L714" s="152">
        <v>1478.5050000000001</v>
      </c>
      <c r="M714" s="153"/>
    </row>
    <row r="715" spans="1:14" s="122" customFormat="1" ht="30.75" customHeight="1" x14ac:dyDescent="0.25">
      <c r="A715" s="123">
        <v>11</v>
      </c>
      <c r="B715" s="76">
        <v>1482.4749999999999</v>
      </c>
      <c r="C715" s="152"/>
      <c r="D715" s="76"/>
      <c r="E715" s="76">
        <v>1475.04</v>
      </c>
      <c r="F715" s="158">
        <v>1479.742</v>
      </c>
      <c r="G715" s="76"/>
      <c r="H715" s="76"/>
      <c r="I715" s="158">
        <v>1478.7619999999999</v>
      </c>
      <c r="J715" s="146">
        <v>1475.8009999999999</v>
      </c>
      <c r="K715" s="146">
        <v>1480.0260000000001</v>
      </c>
      <c r="L715" s="152"/>
      <c r="M715" s="152">
        <v>1512.3689999999999</v>
      </c>
    </row>
    <row r="716" spans="1:14" s="122" customFormat="1" ht="27" customHeight="1" x14ac:dyDescent="0.25">
      <c r="A716" s="123">
        <v>12</v>
      </c>
      <c r="B716" s="146">
        <v>1481.694</v>
      </c>
      <c r="C716" s="152"/>
      <c r="D716" s="146"/>
      <c r="E716" s="158">
        <v>1476.298</v>
      </c>
      <c r="F716" s="158">
        <v>1480.0840000000001</v>
      </c>
      <c r="G716" s="76">
        <v>1478.4459999999999</v>
      </c>
      <c r="H716" s="76"/>
      <c r="I716" s="158"/>
      <c r="J716" s="152">
        <v>1476.03</v>
      </c>
      <c r="K716" s="146">
        <v>1480.0239999999999</v>
      </c>
      <c r="L716" s="152"/>
      <c r="M716" s="152">
        <v>1512.681</v>
      </c>
    </row>
    <row r="717" spans="1:14" s="122" customFormat="1" ht="30" customHeight="1" x14ac:dyDescent="0.25">
      <c r="A717" s="123">
        <v>13</v>
      </c>
      <c r="B717" s="152">
        <v>1483.3620000000001</v>
      </c>
      <c r="C717" s="152">
        <v>1481.06</v>
      </c>
      <c r="D717" s="146">
        <v>1473.748</v>
      </c>
      <c r="E717" s="158">
        <v>1476.346</v>
      </c>
      <c r="F717" s="158"/>
      <c r="G717" s="76">
        <v>1484.5319999999999</v>
      </c>
      <c r="H717" s="146"/>
      <c r="I717" s="158"/>
      <c r="J717" s="146">
        <v>1475.9480000000001</v>
      </c>
      <c r="K717" s="146">
        <v>1481.3230000000001</v>
      </c>
      <c r="L717" s="152">
        <v>1488.1310000000001</v>
      </c>
      <c r="M717" s="152">
        <v>1528.1469999999999</v>
      </c>
    </row>
    <row r="718" spans="1:14" s="122" customFormat="1" ht="27.75" customHeight="1" x14ac:dyDescent="0.25">
      <c r="A718" s="123">
        <v>14</v>
      </c>
      <c r="B718" s="146"/>
      <c r="C718" s="152">
        <v>1480.57</v>
      </c>
      <c r="D718" s="146">
        <v>1473.421</v>
      </c>
      <c r="E718" s="158">
        <v>1475.826</v>
      </c>
      <c r="F718" s="158"/>
      <c r="G718" s="76">
        <v>1480.385</v>
      </c>
      <c r="H718" s="146"/>
      <c r="I718" s="158">
        <v>1484.5630000000001</v>
      </c>
      <c r="J718" s="152">
        <v>1475.982</v>
      </c>
      <c r="K718" s="146"/>
      <c r="L718" s="152">
        <v>1487.952</v>
      </c>
      <c r="M718" s="152">
        <v>1530.18</v>
      </c>
    </row>
    <row r="719" spans="1:14" s="122" customFormat="1" ht="26.25" customHeight="1" x14ac:dyDescent="0.25">
      <c r="A719" s="123">
        <v>15</v>
      </c>
      <c r="B719" s="146"/>
      <c r="C719" s="152">
        <v>1479.82</v>
      </c>
      <c r="D719" s="76">
        <v>1474.249</v>
      </c>
      <c r="E719" s="158"/>
      <c r="F719" s="141">
        <v>1480.268</v>
      </c>
      <c r="G719" s="76">
        <v>1479.058</v>
      </c>
      <c r="H719" s="146"/>
      <c r="I719" s="158">
        <v>1477.316</v>
      </c>
      <c r="J719" s="146">
        <v>1475.653</v>
      </c>
      <c r="K719" s="146"/>
      <c r="L719" s="152">
        <v>1490.8810000000001</v>
      </c>
      <c r="M719" s="152">
        <v>1536.1110000000001</v>
      </c>
    </row>
    <row r="720" spans="1:14" s="122" customFormat="1" ht="28.5" customHeight="1" x14ac:dyDescent="0.25">
      <c r="A720" s="123">
        <v>16</v>
      </c>
      <c r="B720" s="146">
        <v>1483.2729999999999</v>
      </c>
      <c r="C720" s="152">
        <v>1478.91</v>
      </c>
      <c r="D720" s="76">
        <v>1474.0429999999999</v>
      </c>
      <c r="E720" s="141"/>
      <c r="F720" s="141">
        <v>1480.211</v>
      </c>
      <c r="G720" s="158">
        <v>1482.298</v>
      </c>
      <c r="H720" s="152"/>
      <c r="I720" s="158">
        <v>1476.078</v>
      </c>
      <c r="J720" s="146"/>
      <c r="K720" s="146">
        <v>1477.6489999999999</v>
      </c>
      <c r="L720" s="152">
        <v>1489.75</v>
      </c>
      <c r="M720" s="152"/>
    </row>
    <row r="721" spans="1:13" s="122" customFormat="1" ht="30.75" customHeight="1" x14ac:dyDescent="0.25">
      <c r="A721" s="123">
        <v>17</v>
      </c>
      <c r="B721" s="152">
        <v>1483.1010000000001</v>
      </c>
      <c r="C721" s="152">
        <v>1479.54</v>
      </c>
      <c r="D721" s="76">
        <v>1473.807</v>
      </c>
      <c r="E721" s="141">
        <v>1475.7919999999999</v>
      </c>
      <c r="F721" s="141">
        <v>1479.6559999999999</v>
      </c>
      <c r="G721" s="158"/>
      <c r="H721" s="146">
        <v>1478.3530000000001</v>
      </c>
      <c r="I721" s="158">
        <v>1472.566</v>
      </c>
      <c r="J721" s="146"/>
      <c r="K721" s="146">
        <v>1481.6489999999999</v>
      </c>
      <c r="L721" s="152">
        <v>1489.8789999999999</v>
      </c>
      <c r="M721" s="152"/>
    </row>
    <row r="722" spans="1:13" s="122" customFormat="1" ht="28.5" customHeight="1" x14ac:dyDescent="0.25">
      <c r="A722" s="123">
        <v>18</v>
      </c>
      <c r="B722" s="152">
        <v>1483.588</v>
      </c>
      <c r="C722" s="152"/>
      <c r="D722" s="152"/>
      <c r="E722" s="158">
        <v>1474.9590000000001</v>
      </c>
      <c r="F722" s="141">
        <v>1483.0809999999999</v>
      </c>
      <c r="G722" s="158"/>
      <c r="H722" s="146">
        <v>1479.1659999999999</v>
      </c>
      <c r="I722" s="158">
        <v>1471.9190000000001</v>
      </c>
      <c r="J722" s="146"/>
      <c r="K722" s="146">
        <v>1480.307</v>
      </c>
      <c r="L722" s="152"/>
      <c r="M722" s="152">
        <v>1535.973</v>
      </c>
    </row>
    <row r="723" spans="1:13" s="122" customFormat="1" ht="34.5" customHeight="1" x14ac:dyDescent="0.25">
      <c r="A723" s="123">
        <v>19</v>
      </c>
      <c r="B723" s="152">
        <v>1483.3910000000001</v>
      </c>
      <c r="C723" s="146"/>
      <c r="D723" s="152"/>
      <c r="E723" s="158">
        <v>1475.2249999999999</v>
      </c>
      <c r="F723" s="158">
        <v>1483.191</v>
      </c>
      <c r="G723" s="158">
        <v>1483.673</v>
      </c>
      <c r="H723" s="146">
        <v>1479.3009999999999</v>
      </c>
      <c r="I723" s="158"/>
      <c r="J723" s="146">
        <v>1474.606</v>
      </c>
      <c r="K723" s="152">
        <v>1472.11</v>
      </c>
      <c r="M723" s="152">
        <v>1529.22</v>
      </c>
    </row>
    <row r="724" spans="1:13" s="122" customFormat="1" ht="34.5" customHeight="1" x14ac:dyDescent="0.25">
      <c r="A724" s="123">
        <v>20</v>
      </c>
      <c r="B724" s="152">
        <v>1481.9290000000001</v>
      </c>
      <c r="C724" s="158">
        <v>1458.01</v>
      </c>
      <c r="D724" s="152"/>
      <c r="E724" s="158">
        <v>1473.1959999999999</v>
      </c>
      <c r="F724" s="141"/>
      <c r="G724" s="158">
        <v>1484.366</v>
      </c>
      <c r="H724" s="146">
        <v>1479.8989999999999</v>
      </c>
      <c r="I724" s="158"/>
      <c r="J724" s="152">
        <v>1473.86</v>
      </c>
      <c r="K724" s="146">
        <v>1473.9970000000001</v>
      </c>
      <c r="L724" s="152">
        <v>1489.259</v>
      </c>
      <c r="M724" s="152">
        <v>1526.9829999999999</v>
      </c>
    </row>
    <row r="725" spans="1:13" s="122" customFormat="1" ht="34.5" customHeight="1" x14ac:dyDescent="0.25">
      <c r="A725" s="123">
        <v>21</v>
      </c>
      <c r="B725" s="152"/>
      <c r="C725" s="152">
        <v>1467.92</v>
      </c>
      <c r="D725" s="152"/>
      <c r="E725" s="158">
        <v>1472.8030000000001</v>
      </c>
      <c r="F725" s="141"/>
      <c r="G725" s="158">
        <v>1484</v>
      </c>
      <c r="H725" s="152">
        <v>1480.48</v>
      </c>
      <c r="I725" s="158">
        <v>1472.2460000000001</v>
      </c>
      <c r="J725" s="146">
        <v>1475.434</v>
      </c>
      <c r="K725" s="152"/>
      <c r="L725" s="152">
        <v>1495.867</v>
      </c>
      <c r="M725" s="152">
        <v>1527.443</v>
      </c>
    </row>
    <row r="726" spans="1:13" s="122" customFormat="1" ht="34.5" customHeight="1" x14ac:dyDescent="0.25">
      <c r="A726" s="123">
        <v>22</v>
      </c>
      <c r="B726" s="146"/>
      <c r="C726" s="152">
        <v>1470.95</v>
      </c>
      <c r="D726" s="152">
        <v>1474.471</v>
      </c>
      <c r="E726" s="158"/>
      <c r="F726" s="141">
        <v>1480.1010000000001</v>
      </c>
      <c r="G726" s="158">
        <v>1481.569</v>
      </c>
      <c r="H726" s="146"/>
      <c r="I726" s="158">
        <v>1472.0260000000001</v>
      </c>
      <c r="J726" s="152">
        <v>1475.471</v>
      </c>
      <c r="K726" s="152"/>
      <c r="L726" s="152">
        <v>1496.624</v>
      </c>
      <c r="M726" s="152">
        <v>1543.173</v>
      </c>
    </row>
    <row r="727" spans="1:13" s="122" customFormat="1" ht="34.5" customHeight="1" x14ac:dyDescent="0.25">
      <c r="A727" s="123">
        <v>23</v>
      </c>
      <c r="B727" s="146">
        <v>1476.981</v>
      </c>
      <c r="C727" s="152">
        <v>1470.82</v>
      </c>
      <c r="D727" s="152">
        <v>1474.405</v>
      </c>
      <c r="E727" s="160"/>
      <c r="F727" s="158"/>
      <c r="G727" s="158">
        <v>1482.617</v>
      </c>
      <c r="H727" s="152"/>
      <c r="I727" s="158">
        <v>1471.6479999999999</v>
      </c>
      <c r="J727" s="146"/>
      <c r="K727" s="146">
        <v>1470.614</v>
      </c>
      <c r="L727" s="152">
        <v>1494.6420000000001</v>
      </c>
      <c r="M727" s="152"/>
    </row>
    <row r="728" spans="1:13" s="122" customFormat="1" ht="34.5" customHeight="1" x14ac:dyDescent="0.25">
      <c r="A728" s="123">
        <v>24</v>
      </c>
      <c r="B728" s="152">
        <v>1478.24</v>
      </c>
      <c r="C728" s="152">
        <v>1470.31</v>
      </c>
      <c r="D728" s="152">
        <v>1474.393</v>
      </c>
      <c r="E728" s="158">
        <v>1471.8050000000001</v>
      </c>
      <c r="F728" s="158">
        <v>1481.403</v>
      </c>
      <c r="G728" s="158"/>
      <c r="H728" s="146">
        <v>1479.992</v>
      </c>
      <c r="I728" s="158">
        <v>1472.5450000000001</v>
      </c>
      <c r="J728" s="152"/>
      <c r="K728" s="146">
        <v>1466.606</v>
      </c>
      <c r="L728" s="152">
        <v>1500.11</v>
      </c>
      <c r="M728" s="152"/>
    </row>
    <row r="729" spans="1:13" s="122" customFormat="1" ht="34.5" customHeight="1" x14ac:dyDescent="0.25">
      <c r="A729" s="123">
        <v>25</v>
      </c>
      <c r="B729" s="152">
        <v>1478.0940000000001</v>
      </c>
      <c r="C729" s="152"/>
      <c r="D729" s="152"/>
      <c r="E729" s="158">
        <v>1470.7819999999999</v>
      </c>
      <c r="F729" s="158">
        <v>1483.7239999999999</v>
      </c>
      <c r="G729" s="158"/>
      <c r="H729" s="146">
        <v>1480.982</v>
      </c>
      <c r="I729" s="158">
        <v>1472.7639999999999</v>
      </c>
      <c r="J729" s="152">
        <v>1476.53</v>
      </c>
      <c r="K729" s="146">
        <v>1467.5419999999999</v>
      </c>
      <c r="L729" s="152"/>
      <c r="M729" s="152"/>
    </row>
    <row r="730" spans="1:13" s="122" customFormat="1" ht="34.5" customHeight="1" x14ac:dyDescent="0.25">
      <c r="A730" s="123">
        <v>26</v>
      </c>
      <c r="B730" s="152">
        <v>1477.11</v>
      </c>
      <c r="C730" s="146"/>
      <c r="D730" s="146"/>
      <c r="E730" s="158">
        <v>1471.25</v>
      </c>
      <c r="F730" s="158">
        <v>1484.1020000000001</v>
      </c>
      <c r="G730" s="141">
        <v>1479.4870000000001</v>
      </c>
      <c r="H730" s="152">
        <v>1481.098</v>
      </c>
      <c r="I730" s="158"/>
      <c r="J730" s="146">
        <v>1477.934</v>
      </c>
      <c r="K730" s="152">
        <v>1466.08</v>
      </c>
      <c r="L730" s="152"/>
      <c r="M730" s="152">
        <v>1569.248</v>
      </c>
    </row>
    <row r="731" spans="1:13" s="122" customFormat="1" ht="34.5" customHeight="1" x14ac:dyDescent="0.25">
      <c r="A731" s="123">
        <v>27</v>
      </c>
      <c r="B731" s="152">
        <v>1476.575</v>
      </c>
      <c r="C731" s="152"/>
      <c r="D731" s="146">
        <v>1474.798</v>
      </c>
      <c r="E731" s="158">
        <v>1471.7840000000001</v>
      </c>
      <c r="F731" s="158"/>
      <c r="G731" s="158">
        <v>1477.1610000000001</v>
      </c>
      <c r="H731" s="152">
        <v>1480.7619999999999</v>
      </c>
      <c r="I731" s="158"/>
      <c r="J731" s="146">
        <v>1475.982</v>
      </c>
      <c r="K731" s="152">
        <v>1469.932</v>
      </c>
      <c r="L731" s="152">
        <v>1501.8309999999999</v>
      </c>
      <c r="M731" s="152">
        <v>1572.1220000000001</v>
      </c>
    </row>
    <row r="732" spans="1:13" s="122" customFormat="1" ht="34.5" customHeight="1" x14ac:dyDescent="0.25">
      <c r="A732" s="123">
        <v>28</v>
      </c>
      <c r="B732" s="152"/>
      <c r="C732" s="152">
        <v>1468.61</v>
      </c>
      <c r="D732" s="152">
        <v>1472.749</v>
      </c>
      <c r="E732" s="158">
        <v>1473.819</v>
      </c>
      <c r="F732" s="141"/>
      <c r="G732" s="158">
        <v>1478.2159999999999</v>
      </c>
      <c r="H732" s="146">
        <v>1478.7470000000001</v>
      </c>
      <c r="I732" s="158">
        <v>1471.711</v>
      </c>
      <c r="J732" s="146">
        <v>1476.2809999999999</v>
      </c>
      <c r="K732" s="146"/>
      <c r="L732" s="152"/>
      <c r="M732" s="152">
        <v>1561.9110000000001</v>
      </c>
    </row>
    <row r="733" spans="1:13" s="122" customFormat="1" ht="34.5" customHeight="1" x14ac:dyDescent="0.25">
      <c r="A733" s="123">
        <v>29</v>
      </c>
      <c r="B733" s="146"/>
      <c r="C733" s="124"/>
      <c r="D733" s="152">
        <v>1473.068</v>
      </c>
      <c r="E733" s="158"/>
      <c r="F733" s="141">
        <v>1483.8520000000001</v>
      </c>
      <c r="G733" s="158">
        <v>1478.5719999999999</v>
      </c>
      <c r="H733" s="146"/>
      <c r="I733" s="158">
        <v>1476.105</v>
      </c>
      <c r="J733" s="152">
        <v>1476.279</v>
      </c>
      <c r="K733" s="146"/>
      <c r="L733" s="152"/>
      <c r="M733" s="152">
        <v>1544.021</v>
      </c>
    </row>
    <row r="734" spans="1:13" s="122" customFormat="1" ht="34.5" customHeight="1" x14ac:dyDescent="0.25">
      <c r="A734" s="123">
        <v>30</v>
      </c>
      <c r="B734" s="152">
        <v>1476.752</v>
      </c>
      <c r="C734" s="124"/>
      <c r="D734" s="152">
        <v>1471.5989999999999</v>
      </c>
      <c r="E734" s="160"/>
      <c r="F734" s="158">
        <v>1486.0989999999999</v>
      </c>
      <c r="G734" s="158">
        <v>1479.442</v>
      </c>
      <c r="H734" s="152"/>
      <c r="I734" s="146"/>
      <c r="J734" s="146"/>
      <c r="K734" s="146">
        <v>1465.0360000000001</v>
      </c>
      <c r="L734" s="152"/>
      <c r="M734" s="152"/>
    </row>
    <row r="735" spans="1:13" s="122" customFormat="1" ht="34.5" customHeight="1" thickBot="1" x14ac:dyDescent="0.3">
      <c r="A735" s="127">
        <v>31</v>
      </c>
      <c r="B735" s="159">
        <v>1477.1389999999999</v>
      </c>
      <c r="C735" s="129"/>
      <c r="D735" s="152">
        <v>1471.6849999999999</v>
      </c>
      <c r="E735" s="129"/>
      <c r="F735" s="158">
        <v>1482.518</v>
      </c>
      <c r="G735" s="129"/>
      <c r="H735" s="148"/>
      <c r="I735" s="148">
        <v>1473.7149999999999</v>
      </c>
      <c r="J735" s="149"/>
      <c r="K735" s="148">
        <v>1464.365</v>
      </c>
      <c r="L735" s="152"/>
      <c r="M735" s="156"/>
    </row>
    <row r="736" spans="1:13" s="122" customFormat="1" ht="34.5" customHeight="1" thickBot="1" x14ac:dyDescent="0.3">
      <c r="A736" s="161" t="s">
        <v>15</v>
      </c>
      <c r="B736" s="167">
        <f>AVERAGE(B705:B735)</f>
        <v>1479.4897000000001</v>
      </c>
      <c r="C736" s="167">
        <f t="shared" ref="C736:F736" si="20">AVERAGE(C705:C735)</f>
        <v>1475.0964736842104</v>
      </c>
      <c r="D736" s="167">
        <f t="shared" si="20"/>
        <v>1473.7629999999999</v>
      </c>
      <c r="E736" s="167">
        <f t="shared" si="20"/>
        <v>1473.6187500000001</v>
      </c>
      <c r="F736" s="167">
        <f t="shared" si="20"/>
        <v>1481.1405882352938</v>
      </c>
      <c r="G736" s="167">
        <f t="shared" ref="G736:K736" si="21">AVERAGE(G705:G735)</f>
        <v>1481.3467727272725</v>
      </c>
      <c r="H736" s="167">
        <f t="shared" si="21"/>
        <v>1479.5935333333327</v>
      </c>
      <c r="I736" s="167">
        <f t="shared" si="21"/>
        <v>1476.543523809524</v>
      </c>
      <c r="J736" s="167">
        <f t="shared" si="21"/>
        <v>1475.91445</v>
      </c>
      <c r="K736" s="167">
        <f t="shared" si="21"/>
        <v>1475.1681428571433</v>
      </c>
      <c r="L736" s="167">
        <f>AVERAGE(L705:L735)</f>
        <v>1484.1752631578943</v>
      </c>
      <c r="M736" s="167">
        <f>AVERAGE(M705:M735)</f>
        <v>1530.1468</v>
      </c>
    </row>
    <row r="737" spans="1:14" s="66" customFormat="1" ht="34.5" customHeight="1" x14ac:dyDescent="0.25">
      <c r="A737" s="206" t="s">
        <v>84</v>
      </c>
      <c r="B737" s="206"/>
      <c r="C737" s="206"/>
      <c r="D737" s="206"/>
      <c r="E737" s="206"/>
      <c r="F737" s="206"/>
      <c r="G737" s="206"/>
      <c r="H737" s="206"/>
      <c r="I737" s="206"/>
      <c r="J737" s="206"/>
      <c r="K737" s="206"/>
      <c r="L737" s="206"/>
      <c r="M737" s="206"/>
    </row>
    <row r="738" spans="1:14" s="66" customFormat="1" ht="34.5" customHeight="1" thickBot="1" x14ac:dyDescent="0.3">
      <c r="A738" s="207" t="s">
        <v>1</v>
      </c>
      <c r="B738" s="207"/>
      <c r="C738" s="207"/>
      <c r="D738" s="207"/>
      <c r="E738" s="207"/>
      <c r="F738" s="207"/>
      <c r="G738" s="207"/>
      <c r="H738" s="207"/>
      <c r="I738" s="207"/>
      <c r="J738" s="207"/>
      <c r="K738" s="207"/>
      <c r="L738" s="207"/>
      <c r="M738" s="207"/>
    </row>
    <row r="739" spans="1:14" ht="34.5" customHeight="1" thickBot="1" x14ac:dyDescent="0.3">
      <c r="A739" s="119" t="s">
        <v>2</v>
      </c>
      <c r="B739" s="120" t="s">
        <v>3</v>
      </c>
      <c r="C739" s="120" t="s">
        <v>4</v>
      </c>
      <c r="D739" s="120" t="s">
        <v>5</v>
      </c>
      <c r="E739" s="120" t="s">
        <v>6</v>
      </c>
      <c r="F739" s="120" t="s">
        <v>7</v>
      </c>
      <c r="G739" s="120" t="s">
        <v>41</v>
      </c>
      <c r="H739" s="120" t="s">
        <v>42</v>
      </c>
      <c r="I739" s="120" t="s">
        <v>10</v>
      </c>
      <c r="J739" s="120" t="s">
        <v>11</v>
      </c>
      <c r="K739" s="120" t="s">
        <v>12</v>
      </c>
      <c r="L739" s="120" t="s">
        <v>21</v>
      </c>
      <c r="M739" s="120" t="s">
        <v>14</v>
      </c>
      <c r="N739" s="78"/>
    </row>
    <row r="740" spans="1:14" s="122" customFormat="1" ht="34.5" customHeight="1" x14ac:dyDescent="0.25">
      <c r="A740" s="121">
        <v>1</v>
      </c>
      <c r="B740" s="79"/>
      <c r="C740" s="81">
        <v>1658.9</v>
      </c>
      <c r="D740" s="81">
        <v>1614.249</v>
      </c>
      <c r="E740" s="79"/>
      <c r="F740" s="71"/>
      <c r="G740" s="76">
        <v>1467.3</v>
      </c>
      <c r="H740" s="71"/>
      <c r="I740" s="158">
        <v>1518.25</v>
      </c>
      <c r="J740" s="71"/>
      <c r="K740" s="76"/>
      <c r="L740" s="98"/>
      <c r="M740" s="71"/>
    </row>
    <row r="741" spans="1:14" s="122" customFormat="1" ht="34.5" customHeight="1" x14ac:dyDescent="0.25">
      <c r="A741" s="123">
        <v>2</v>
      </c>
      <c r="B741" s="75"/>
      <c r="C741" s="72">
        <v>1685.3320000000001</v>
      </c>
      <c r="D741" s="76">
        <v>1616.8810000000001</v>
      </c>
      <c r="E741" s="72">
        <v>1605.2049999999999</v>
      </c>
      <c r="F741" s="76">
        <v>1609.4290000000001</v>
      </c>
      <c r="G741" s="76"/>
      <c r="H741" s="76"/>
      <c r="I741" s="158">
        <v>1511.75</v>
      </c>
      <c r="J741" s="72"/>
      <c r="K741" s="76"/>
      <c r="L741" s="76"/>
      <c r="M741" s="76"/>
    </row>
    <row r="742" spans="1:14" s="122" customFormat="1" ht="34.5" customHeight="1" x14ac:dyDescent="0.25">
      <c r="A742" s="123">
        <v>3</v>
      </c>
      <c r="B742" s="75"/>
      <c r="C742" s="76"/>
      <c r="D742" s="76"/>
      <c r="E742" s="72">
        <v>1609.491</v>
      </c>
      <c r="F742" s="76">
        <v>1571.5160000000001</v>
      </c>
      <c r="G742" s="76"/>
      <c r="H742" s="76">
        <v>1478.2</v>
      </c>
      <c r="I742" s="158">
        <v>1504.66</v>
      </c>
      <c r="J742" s="76"/>
      <c r="K742" s="72"/>
      <c r="L742" s="76"/>
      <c r="M742" s="76"/>
    </row>
    <row r="743" spans="1:14" s="122" customFormat="1" ht="34.5" customHeight="1" x14ac:dyDescent="0.25">
      <c r="A743" s="123">
        <v>4</v>
      </c>
      <c r="B743" s="76">
        <v>1565.702</v>
      </c>
      <c r="C743" s="76"/>
      <c r="D743" s="76"/>
      <c r="E743" s="72">
        <v>1617.7139999999999</v>
      </c>
      <c r="F743" s="76">
        <v>1556.385</v>
      </c>
      <c r="G743" s="76">
        <v>1473.7</v>
      </c>
      <c r="H743" s="76">
        <v>1480.5</v>
      </c>
      <c r="I743" s="158"/>
      <c r="J743" s="76"/>
      <c r="K743" s="76"/>
      <c r="L743" s="76"/>
      <c r="M743" s="76"/>
    </row>
    <row r="744" spans="1:14" s="122" customFormat="1" ht="34.5" customHeight="1" x14ac:dyDescent="0.25">
      <c r="A744" s="123">
        <v>5</v>
      </c>
      <c r="B744" s="76">
        <v>1557.75</v>
      </c>
      <c r="C744" s="72">
        <v>1662.3430000000001</v>
      </c>
      <c r="D744" s="76">
        <v>1599.6579999999999</v>
      </c>
      <c r="E744" s="72">
        <v>1614.644</v>
      </c>
      <c r="F744" s="76"/>
      <c r="G744" s="76">
        <v>1481</v>
      </c>
      <c r="H744" s="76">
        <v>1481.8</v>
      </c>
      <c r="I744" s="158"/>
      <c r="J744" s="76"/>
      <c r="K744" s="76"/>
      <c r="L744" s="76"/>
      <c r="M744" s="76"/>
    </row>
    <row r="745" spans="1:14" s="122" customFormat="1" ht="34.5" customHeight="1" x14ac:dyDescent="0.25">
      <c r="A745" s="123">
        <v>6</v>
      </c>
      <c r="B745" s="72"/>
      <c r="C745" s="76">
        <v>1645.028</v>
      </c>
      <c r="D745" s="72">
        <v>1608.2059999999999</v>
      </c>
      <c r="E745" s="76">
        <v>1600.8779999999999</v>
      </c>
      <c r="F745" s="76"/>
      <c r="G745" s="76">
        <v>1475.6</v>
      </c>
      <c r="H745" s="76">
        <v>1477.1</v>
      </c>
      <c r="I745" s="152"/>
      <c r="J745" s="72"/>
      <c r="K745" s="76"/>
      <c r="L745" s="76"/>
      <c r="M745" s="76"/>
    </row>
    <row r="746" spans="1:14" s="122" customFormat="1" ht="34.5" customHeight="1" x14ac:dyDescent="0.25">
      <c r="A746" s="123">
        <v>7</v>
      </c>
      <c r="B746" s="76"/>
      <c r="C746" s="76">
        <v>1593.9459999999999</v>
      </c>
      <c r="D746" s="72">
        <v>1614.2190000000001</v>
      </c>
      <c r="E746" s="76"/>
      <c r="F746" s="76">
        <v>1581.579</v>
      </c>
      <c r="G746" s="76">
        <v>1478.3</v>
      </c>
      <c r="H746" s="76"/>
      <c r="I746" s="152"/>
      <c r="J746" s="72"/>
      <c r="K746" s="76"/>
      <c r="L746" s="76"/>
      <c r="M746" s="76"/>
    </row>
    <row r="747" spans="1:14" s="122" customFormat="1" ht="34.5" customHeight="1" x14ac:dyDescent="0.25">
      <c r="A747" s="123">
        <v>8</v>
      </c>
      <c r="B747" s="72">
        <v>1568.1479999999999</v>
      </c>
      <c r="C747" s="76">
        <v>1535.96</v>
      </c>
      <c r="D747" s="76">
        <v>1608.749</v>
      </c>
      <c r="E747" s="76"/>
      <c r="F747" s="76">
        <v>1604.568</v>
      </c>
      <c r="G747" s="76">
        <v>1469.2</v>
      </c>
      <c r="H747" s="76"/>
      <c r="I747" s="152"/>
      <c r="J747" s="72"/>
      <c r="K747" s="76"/>
      <c r="L747" s="76"/>
      <c r="M747" s="76"/>
    </row>
    <row r="748" spans="1:14" s="122" customFormat="1" ht="34.5" customHeight="1" x14ac:dyDescent="0.25">
      <c r="A748" s="123">
        <v>9</v>
      </c>
      <c r="B748" s="152">
        <v>1606.4369999999999</v>
      </c>
      <c r="C748" s="152">
        <v>1563.4649999999999</v>
      </c>
      <c r="D748" s="76">
        <v>1610.0309999999999</v>
      </c>
      <c r="E748" s="76">
        <v>1604.43</v>
      </c>
      <c r="F748" s="76">
        <v>1581.8789999999999</v>
      </c>
      <c r="G748" s="76"/>
      <c r="H748" s="76">
        <v>1476.9</v>
      </c>
      <c r="I748" s="152"/>
      <c r="J748" s="146"/>
      <c r="K748" s="76"/>
      <c r="L748" s="152"/>
      <c r="M748" s="152"/>
    </row>
    <row r="749" spans="1:14" s="122" customFormat="1" ht="34.5" customHeight="1" x14ac:dyDescent="0.25">
      <c r="A749" s="123">
        <v>10</v>
      </c>
      <c r="B749" s="152">
        <v>1621.9829999999999</v>
      </c>
      <c r="C749" s="152"/>
      <c r="D749" s="76"/>
      <c r="E749" s="158">
        <v>1605.4780000000001</v>
      </c>
      <c r="F749" s="76">
        <v>1588.7550000000001</v>
      </c>
      <c r="G749" s="76"/>
      <c r="H749" s="76">
        <v>1478.1</v>
      </c>
      <c r="I749" s="152"/>
      <c r="J749" s="152"/>
      <c r="K749" s="76"/>
      <c r="L749" s="152"/>
      <c r="M749" s="153"/>
    </row>
    <row r="750" spans="1:14" s="122" customFormat="1" ht="34.5" customHeight="1" x14ac:dyDescent="0.25">
      <c r="A750" s="123">
        <v>11</v>
      </c>
      <c r="B750" s="76">
        <v>1614.3320000000001</v>
      </c>
      <c r="C750" s="152"/>
      <c r="D750" s="76"/>
      <c r="E750" s="76">
        <v>1587.886</v>
      </c>
      <c r="F750" s="158">
        <v>1606.8330000000001</v>
      </c>
      <c r="G750" s="76">
        <v>1461.1</v>
      </c>
      <c r="H750" s="76">
        <v>1479.9</v>
      </c>
      <c r="I750" s="158"/>
      <c r="J750" s="152"/>
      <c r="K750" s="76"/>
      <c r="L750" s="152"/>
      <c r="M750" s="152"/>
    </row>
    <row r="751" spans="1:14" s="122" customFormat="1" ht="34.5" customHeight="1" x14ac:dyDescent="0.25">
      <c r="A751" s="123">
        <v>12</v>
      </c>
      <c r="B751" s="146">
        <v>1592.0889999999999</v>
      </c>
      <c r="C751" s="152">
        <v>1610.5719999999999</v>
      </c>
      <c r="D751" s="146">
        <v>1610.8109999999999</v>
      </c>
      <c r="E751" s="158">
        <v>1626.433</v>
      </c>
      <c r="F751" s="158"/>
      <c r="G751" s="76">
        <v>1467.8</v>
      </c>
      <c r="H751" s="76">
        <v>1479.625</v>
      </c>
      <c r="I751" s="158"/>
      <c r="J751" s="152"/>
      <c r="K751" s="146"/>
      <c r="L751" s="152"/>
      <c r="M751" s="152"/>
    </row>
    <row r="752" spans="1:14" s="122" customFormat="1" ht="34.5" customHeight="1" x14ac:dyDescent="0.25">
      <c r="A752" s="123">
        <v>13</v>
      </c>
      <c r="B752" s="152"/>
      <c r="C752" s="152">
        <v>1562.8009999999999</v>
      </c>
      <c r="D752" s="146">
        <v>1601.0909999999999</v>
      </c>
      <c r="E752" s="158"/>
      <c r="F752" s="158"/>
      <c r="G752" s="76">
        <v>1465.8</v>
      </c>
      <c r="H752" s="146">
        <v>1479.9380000000001</v>
      </c>
      <c r="I752" s="152"/>
      <c r="J752" s="152"/>
      <c r="K752" s="146"/>
      <c r="L752" s="152"/>
      <c r="M752" s="152"/>
    </row>
    <row r="753" spans="1:13" s="122" customFormat="1" ht="34.5" customHeight="1" x14ac:dyDescent="0.25">
      <c r="A753" s="123">
        <v>14</v>
      </c>
      <c r="B753" s="146"/>
      <c r="C753" s="152">
        <v>1590.26</v>
      </c>
      <c r="D753" s="146">
        <v>1609.4580000000001</v>
      </c>
      <c r="E753" s="158"/>
      <c r="F753" s="141">
        <v>1600.2850000000001</v>
      </c>
      <c r="G753" s="76">
        <v>1470.6</v>
      </c>
      <c r="H753" s="146"/>
      <c r="I753" s="152"/>
      <c r="J753" s="152"/>
      <c r="K753" s="146"/>
      <c r="L753" s="152"/>
      <c r="M753" s="152"/>
    </row>
    <row r="754" spans="1:13" s="122" customFormat="1" ht="34.5" customHeight="1" x14ac:dyDescent="0.25">
      <c r="A754" s="123">
        <v>15</v>
      </c>
      <c r="B754" s="146">
        <v>1600.575</v>
      </c>
      <c r="C754" s="152">
        <v>1587.1469999999999</v>
      </c>
      <c r="D754" s="76">
        <v>1619.979</v>
      </c>
      <c r="E754" s="158"/>
      <c r="F754" s="141">
        <v>1614.2439999999999</v>
      </c>
      <c r="G754" s="76">
        <v>1469.9</v>
      </c>
      <c r="H754" s="146"/>
      <c r="I754" s="152"/>
      <c r="J754" s="146"/>
      <c r="K754" s="146"/>
      <c r="L754" s="152"/>
      <c r="M754" s="152"/>
    </row>
    <row r="755" spans="1:13" s="122" customFormat="1" ht="34.5" customHeight="1" x14ac:dyDescent="0.25">
      <c r="A755" s="123">
        <v>16</v>
      </c>
      <c r="B755" s="146">
        <v>1584.6610000000001</v>
      </c>
      <c r="C755" s="152"/>
      <c r="D755" s="76">
        <v>1621.777</v>
      </c>
      <c r="E755" s="141">
        <v>1594.7570000000001</v>
      </c>
      <c r="F755" s="205">
        <v>1455.4</v>
      </c>
      <c r="G755" s="158"/>
      <c r="H755" s="152">
        <v>1481.6</v>
      </c>
      <c r="I755" s="152"/>
      <c r="J755" s="146"/>
      <c r="K755" s="146"/>
      <c r="L755" s="152"/>
      <c r="M755" s="152"/>
    </row>
    <row r="756" spans="1:13" s="122" customFormat="1" ht="34.5" customHeight="1" x14ac:dyDescent="0.25">
      <c r="A756" s="123">
        <v>17</v>
      </c>
      <c r="B756" s="152">
        <v>1605.1569999999999</v>
      </c>
      <c r="C756" s="152"/>
      <c r="D756" s="76"/>
      <c r="E756" s="141">
        <v>1565.5229999999999</v>
      </c>
      <c r="F756" s="205">
        <v>1443</v>
      </c>
      <c r="G756" s="158"/>
      <c r="H756" s="152">
        <v>1485</v>
      </c>
      <c r="I756" s="152"/>
      <c r="J756" s="152"/>
      <c r="K756" s="146"/>
      <c r="L756" s="152"/>
      <c r="M756" s="152"/>
    </row>
    <row r="757" spans="1:13" s="122" customFormat="1" ht="34.5" customHeight="1" x14ac:dyDescent="0.25">
      <c r="A757" s="123">
        <v>18</v>
      </c>
      <c r="B757" s="152">
        <v>1615.0820000000001</v>
      </c>
      <c r="C757" s="152"/>
      <c r="D757" s="152"/>
      <c r="E757" s="158">
        <v>1593.566</v>
      </c>
      <c r="F757" s="158">
        <v>1447.4</v>
      </c>
      <c r="G757" s="158">
        <v>1467.8</v>
      </c>
      <c r="H757" s="152">
        <v>1483</v>
      </c>
      <c r="I757" s="158"/>
      <c r="J757" s="152"/>
      <c r="K757" s="146"/>
      <c r="L757" s="152"/>
      <c r="M757" s="152"/>
    </row>
    <row r="758" spans="1:13" s="122" customFormat="1" ht="34.5" customHeight="1" x14ac:dyDescent="0.25">
      <c r="A758" s="123">
        <v>19</v>
      </c>
      <c r="B758" s="152">
        <v>1634.74</v>
      </c>
      <c r="C758" s="146">
        <v>1584.9190000000001</v>
      </c>
      <c r="D758" s="152">
        <v>1604.74</v>
      </c>
      <c r="E758" s="158">
        <v>1544.2470000000001</v>
      </c>
      <c r="F758" s="158"/>
      <c r="G758" s="158">
        <v>1465.3</v>
      </c>
      <c r="H758" s="146"/>
      <c r="I758" s="158"/>
      <c r="J758" s="152"/>
      <c r="K758" s="152"/>
      <c r="M758" s="152"/>
    </row>
    <row r="759" spans="1:13" s="122" customFormat="1" ht="34.5" customHeight="1" x14ac:dyDescent="0.25">
      <c r="A759" s="123">
        <v>20</v>
      </c>
      <c r="B759" s="152"/>
      <c r="C759" s="158">
        <v>1605.096</v>
      </c>
      <c r="D759" s="152">
        <v>1614.1030000000001</v>
      </c>
      <c r="E759" s="158"/>
      <c r="F759" s="141"/>
      <c r="G759" s="158">
        <v>1460.7</v>
      </c>
      <c r="H759" s="152">
        <v>1513.4</v>
      </c>
      <c r="I759" s="152"/>
      <c r="J759" s="152"/>
      <c r="K759" s="146"/>
      <c r="L759" s="152"/>
      <c r="M759" s="152"/>
    </row>
    <row r="760" spans="1:13" s="122" customFormat="1" ht="34.5" customHeight="1" x14ac:dyDescent="0.25">
      <c r="A760" s="123">
        <v>21</v>
      </c>
      <c r="B760" s="152"/>
      <c r="C760" s="152">
        <v>1593.4169999999999</v>
      </c>
      <c r="D760" s="152"/>
      <c r="E760" s="158"/>
      <c r="F760" s="158">
        <v>1462.8</v>
      </c>
      <c r="G760" s="158">
        <v>1465</v>
      </c>
      <c r="I760" s="152"/>
      <c r="J760" s="152"/>
      <c r="K760" s="152"/>
      <c r="L760" s="152"/>
      <c r="M760" s="152"/>
    </row>
    <row r="761" spans="1:13" s="122" customFormat="1" ht="34.5" customHeight="1" x14ac:dyDescent="0.25">
      <c r="A761" s="123">
        <v>22</v>
      </c>
      <c r="B761" s="146">
        <v>1642.7560000000001</v>
      </c>
      <c r="C761" s="152">
        <v>1603.7750000000001</v>
      </c>
      <c r="D761" s="152">
        <v>1613.194</v>
      </c>
      <c r="E761" s="158"/>
      <c r="F761" s="158">
        <v>1463</v>
      </c>
      <c r="G761" s="158">
        <v>1468.8</v>
      </c>
      <c r="H761" s="146"/>
      <c r="I761" s="152"/>
      <c r="J761" s="152"/>
      <c r="K761" s="152"/>
      <c r="L761" s="152"/>
      <c r="M761" s="152"/>
    </row>
    <row r="762" spans="1:13" s="122" customFormat="1" ht="34.5" customHeight="1" x14ac:dyDescent="0.25">
      <c r="A762" s="123">
        <v>23</v>
      </c>
      <c r="B762" s="146">
        <v>1634.605</v>
      </c>
      <c r="C762" s="152">
        <v>1609.5350000000001</v>
      </c>
      <c r="D762" s="152">
        <v>1614.7</v>
      </c>
      <c r="E762" s="160"/>
      <c r="F762" s="158">
        <v>1459.4</v>
      </c>
      <c r="G762" s="158"/>
      <c r="H762" s="152">
        <v>1527.5</v>
      </c>
      <c r="I762" s="152"/>
      <c r="J762" s="146"/>
      <c r="K762" s="146"/>
      <c r="L762" s="152"/>
      <c r="M762" s="152"/>
    </row>
    <row r="763" spans="1:13" s="122" customFormat="1" ht="34.5" customHeight="1" x14ac:dyDescent="0.25">
      <c r="A763" s="123">
        <v>24</v>
      </c>
      <c r="B763" s="152">
        <v>1611.296</v>
      </c>
      <c r="C763" s="152"/>
      <c r="E763" s="158"/>
      <c r="F763" s="158">
        <v>1464.1</v>
      </c>
      <c r="G763" s="158"/>
      <c r="H763" s="152">
        <v>1535</v>
      </c>
      <c r="I763" s="152"/>
      <c r="J763" s="152"/>
      <c r="K763" s="146"/>
      <c r="L763" s="152"/>
      <c r="M763" s="152"/>
    </row>
    <row r="764" spans="1:13" s="122" customFormat="1" ht="34.5" customHeight="1" x14ac:dyDescent="0.25">
      <c r="A764" s="123">
        <v>25</v>
      </c>
      <c r="B764" s="152">
        <v>1625.748</v>
      </c>
      <c r="C764" s="152"/>
      <c r="D764" s="152"/>
      <c r="E764" s="158">
        <v>1623.4369999999999</v>
      </c>
      <c r="F764" s="158">
        <v>1461.3</v>
      </c>
      <c r="G764" s="158">
        <v>1474.9</v>
      </c>
      <c r="H764" s="152">
        <v>1535.2</v>
      </c>
      <c r="I764" s="158"/>
      <c r="J764" s="152"/>
      <c r="K764" s="146"/>
      <c r="L764" s="152"/>
      <c r="M764" s="152"/>
    </row>
    <row r="765" spans="1:13" s="122" customFormat="1" ht="34.5" customHeight="1" x14ac:dyDescent="0.25">
      <c r="A765" s="123">
        <v>26</v>
      </c>
      <c r="B765" s="152">
        <v>1629.5429999999999</v>
      </c>
      <c r="C765" s="146">
        <v>1588.931</v>
      </c>
      <c r="D765" s="152">
        <v>1614.299</v>
      </c>
      <c r="E765" s="158">
        <v>1615.1590000000001</v>
      </c>
      <c r="F765" s="158"/>
      <c r="G765" s="158">
        <v>1475.1</v>
      </c>
      <c r="H765" s="152">
        <v>1572.25</v>
      </c>
      <c r="I765" s="158"/>
      <c r="J765" s="152"/>
      <c r="K765" s="152"/>
      <c r="L765" s="152"/>
      <c r="M765" s="152"/>
    </row>
    <row r="766" spans="1:13" s="122" customFormat="1" ht="34.5" customHeight="1" x14ac:dyDescent="0.25">
      <c r="A766" s="123">
        <v>27</v>
      </c>
      <c r="B766" s="152"/>
      <c r="C766" s="152">
        <v>1595.5070000000001</v>
      </c>
      <c r="D766" s="146"/>
      <c r="E766" s="158">
        <v>1595.5530000000001</v>
      </c>
      <c r="F766" s="158"/>
      <c r="G766" s="205"/>
      <c r="H766" s="152">
        <v>1559.5</v>
      </c>
      <c r="I766" s="152"/>
      <c r="J766" s="152"/>
      <c r="K766" s="152"/>
      <c r="L766" s="152"/>
      <c r="M766" s="152"/>
    </row>
    <row r="767" spans="1:13" s="122" customFormat="1" ht="34.5" customHeight="1" x14ac:dyDescent="0.25">
      <c r="A767" s="123">
        <v>28</v>
      </c>
      <c r="B767" s="152"/>
      <c r="C767" s="152">
        <v>1613.5229999999999</v>
      </c>
      <c r="D767" s="152">
        <v>1613.6220000000001</v>
      </c>
      <c r="E767" s="158"/>
      <c r="F767" s="158">
        <v>1463.65</v>
      </c>
      <c r="G767" s="158"/>
      <c r="H767" s="146"/>
      <c r="I767" s="152"/>
      <c r="J767" s="152"/>
      <c r="K767" s="146"/>
      <c r="L767" s="152"/>
      <c r="M767" s="152"/>
    </row>
    <row r="768" spans="1:13" s="122" customFormat="1" ht="34.5" customHeight="1" x14ac:dyDescent="0.25">
      <c r="A768" s="123">
        <v>29</v>
      </c>
      <c r="B768" s="146">
        <v>1646.9259999999999</v>
      </c>
      <c r="C768" s="124"/>
      <c r="D768" s="152">
        <v>1610.4190000000001</v>
      </c>
      <c r="E768" s="158"/>
      <c r="F768" s="158">
        <v>1468.4</v>
      </c>
      <c r="G768" s="158"/>
      <c r="H768" s="146"/>
      <c r="I768" s="152"/>
      <c r="J768" s="152"/>
      <c r="K768" s="146"/>
      <c r="L768" s="152"/>
      <c r="M768" s="152"/>
    </row>
    <row r="769" spans="1:13" s="122" customFormat="1" ht="34.5" customHeight="1" x14ac:dyDescent="0.25">
      <c r="A769" s="123">
        <v>30</v>
      </c>
      <c r="B769" s="152">
        <v>1650.4559999999999</v>
      </c>
      <c r="C769" s="124"/>
      <c r="D769" s="152">
        <v>1614.932</v>
      </c>
      <c r="E769" s="158">
        <v>1564.248</v>
      </c>
      <c r="F769" s="158">
        <v>1466.4</v>
      </c>
      <c r="G769" s="158"/>
      <c r="H769" s="152"/>
      <c r="I769" s="152"/>
      <c r="J769" s="146"/>
      <c r="K769" s="146"/>
      <c r="L769" s="152"/>
      <c r="M769" s="152"/>
    </row>
    <row r="770" spans="1:13" s="122" customFormat="1" ht="34.5" customHeight="1" thickBot="1" x14ac:dyDescent="0.3">
      <c r="A770" s="127">
        <v>31</v>
      </c>
      <c r="B770" s="159">
        <v>1665.027</v>
      </c>
      <c r="C770" s="129"/>
      <c r="D770" s="152"/>
      <c r="E770" s="129"/>
      <c r="F770" s="158">
        <v>1465.6</v>
      </c>
      <c r="G770" s="129"/>
      <c r="H770" s="152">
        <v>1502.5</v>
      </c>
      <c r="I770" s="152"/>
      <c r="J770" s="149"/>
      <c r="K770" s="148"/>
      <c r="L770" s="152"/>
      <c r="M770" s="156"/>
    </row>
    <row r="771" spans="1:13" s="122" customFormat="1" ht="34.5" customHeight="1" thickBot="1" x14ac:dyDescent="0.3">
      <c r="A771" s="161" t="s">
        <v>15</v>
      </c>
      <c r="B771" s="167">
        <f>AVERAGE(B740:B770)</f>
        <v>1613.65065</v>
      </c>
      <c r="C771" s="167">
        <f t="shared" ref="C771:E771" si="22">AVERAGE(C740:C770)</f>
        <v>1604.7608947368424</v>
      </c>
      <c r="D771" s="167">
        <f t="shared" si="22"/>
        <v>1611.7559000000003</v>
      </c>
      <c r="E771" s="167">
        <f t="shared" si="22"/>
        <v>1598.1558235294117</v>
      </c>
      <c r="F771" s="167">
        <f>AVERAGE(F740:F770)</f>
        <v>1519.8146818181822</v>
      </c>
      <c r="G771" s="167">
        <f>AVERAGE(G740:G770)</f>
        <v>1469.8833333333332</v>
      </c>
      <c r="H771" s="167">
        <f>AVERAGE(H740:H770)</f>
        <v>1500.369105263158</v>
      </c>
      <c r="I771" s="167"/>
      <c r="J771" s="167"/>
      <c r="K771" s="167"/>
      <c r="L771" s="167"/>
      <c r="M771" s="167"/>
    </row>
    <row r="772" spans="1:13" x14ac:dyDescent="0.25">
      <c r="F772" s="67"/>
      <c r="J772" s="68"/>
    </row>
    <row r="773" spans="1:13" x14ac:dyDescent="0.25">
      <c r="A773" s="243" t="s">
        <v>89</v>
      </c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spans="1:13" x14ac:dyDescent="0.25">
      <c r="A774" s="244" t="s">
        <v>90</v>
      </c>
      <c r="B774" s="244"/>
      <c r="C774" s="244"/>
      <c r="D774" s="244"/>
      <c r="E774" s="244"/>
      <c r="F774" s="244"/>
      <c r="G774" s="244"/>
      <c r="H774" s="244"/>
      <c r="I774" s="244"/>
      <c r="J774" s="244"/>
      <c r="K774" s="244"/>
      <c r="L774" s="244"/>
      <c r="M774" s="244"/>
    </row>
    <row r="775" spans="1:13" x14ac:dyDescent="0.25">
      <c r="A775" s="244" t="s">
        <v>95</v>
      </c>
      <c r="B775" s="244"/>
      <c r="C775" s="244"/>
      <c r="D775" s="244"/>
      <c r="E775" s="244"/>
      <c r="F775" s="244"/>
      <c r="G775" s="244"/>
      <c r="H775" s="244"/>
      <c r="I775" s="244"/>
      <c r="J775" s="244"/>
      <c r="K775" s="244"/>
      <c r="L775" s="244"/>
      <c r="M775" s="244"/>
    </row>
    <row r="776" spans="1:13" x14ac:dyDescent="0.25">
      <c r="A776" s="244" t="s">
        <v>91</v>
      </c>
      <c r="B776" s="244"/>
      <c r="C776" s="244"/>
      <c r="D776" s="244"/>
      <c r="E776" s="244"/>
      <c r="F776" s="244"/>
      <c r="G776" s="244"/>
      <c r="H776" s="244"/>
      <c r="I776" s="244"/>
      <c r="J776" s="244"/>
      <c r="K776" s="244"/>
      <c r="L776" s="244"/>
      <c r="M776" s="244"/>
    </row>
  </sheetData>
  <mergeCells count="49">
    <mergeCell ref="A773:M773"/>
    <mergeCell ref="A774:M774"/>
    <mergeCell ref="A775:M775"/>
    <mergeCell ref="A776:M776"/>
    <mergeCell ref="A212:M212"/>
    <mergeCell ref="A246:M246"/>
    <mergeCell ref="A211:M211"/>
    <mergeCell ref="A177:M177"/>
    <mergeCell ref="A1:M1"/>
    <mergeCell ref="A2:M2"/>
    <mergeCell ref="A36:M36"/>
    <mergeCell ref="A37:M37"/>
    <mergeCell ref="A71:M71"/>
    <mergeCell ref="A72:M72"/>
    <mergeCell ref="A106:M106"/>
    <mergeCell ref="A107:M107"/>
    <mergeCell ref="A141:M141"/>
    <mergeCell ref="A142:M142"/>
    <mergeCell ref="A176:M176"/>
    <mergeCell ref="A387:M387"/>
    <mergeCell ref="A247:M247"/>
    <mergeCell ref="A281:M281"/>
    <mergeCell ref="A282:M282"/>
    <mergeCell ref="A316:M316"/>
    <mergeCell ref="A317:M317"/>
    <mergeCell ref="A738:M738"/>
    <mergeCell ref="A351:M351"/>
    <mergeCell ref="A352:M352"/>
    <mergeCell ref="A386:M386"/>
    <mergeCell ref="A597:M597"/>
    <mergeCell ref="A421:M421"/>
    <mergeCell ref="A422:M422"/>
    <mergeCell ref="A456:M456"/>
    <mergeCell ref="A457:M457"/>
    <mergeCell ref="A491:M491"/>
    <mergeCell ref="A492:M492"/>
    <mergeCell ref="A526:M526"/>
    <mergeCell ref="A527:M527"/>
    <mergeCell ref="A561:M561"/>
    <mergeCell ref="A562:M562"/>
    <mergeCell ref="A596:M596"/>
    <mergeCell ref="A737:M737"/>
    <mergeCell ref="A631:M631"/>
    <mergeCell ref="A632:M632"/>
    <mergeCell ref="A666:M666"/>
    <mergeCell ref="A667:M667"/>
    <mergeCell ref="A668:M668"/>
    <mergeCell ref="A702:M702"/>
    <mergeCell ref="A703:M703"/>
  </mergeCells>
  <printOptions horizontalCentered="1" verticalCentered="1"/>
  <pageMargins left="0" right="0" top="0.5" bottom="0.5" header="0" footer="0"/>
  <pageSetup scale="10" orientation="landscape" r:id="rId1"/>
  <rowBreaks count="1" manualBreakCount="1">
    <brk id="666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Z20"/>
  <sheetViews>
    <sheetView zoomScaleNormal="100" workbookViewId="0">
      <selection activeCell="F10" sqref="F10"/>
    </sheetView>
  </sheetViews>
  <sheetFormatPr defaultRowHeight="18" x14ac:dyDescent="0.25"/>
  <cols>
    <col min="1" max="1" width="11.42578125" style="105" bestFit="1" customWidth="1"/>
    <col min="2" max="18" width="8.28515625" style="105" bestFit="1" customWidth="1"/>
    <col min="19" max="20" width="9.85546875" style="105" bestFit="1" customWidth="1"/>
    <col min="21" max="22" width="11.42578125" style="105" bestFit="1" customWidth="1"/>
    <col min="23" max="23" width="7.5703125" style="105" bestFit="1" customWidth="1"/>
    <col min="24" max="46" width="7.5703125" style="106" bestFit="1" customWidth="1"/>
    <col min="47" max="51" width="7.5703125" style="105" bestFit="1" customWidth="1"/>
    <col min="52" max="52" width="13" style="105" bestFit="1" customWidth="1"/>
    <col min="53" max="256" width="9.140625" style="105"/>
    <col min="257" max="257" width="11.42578125" style="105" bestFit="1" customWidth="1"/>
    <col min="258" max="276" width="10.85546875" style="105" bestFit="1" customWidth="1"/>
    <col min="277" max="278" width="12.42578125" style="105" bestFit="1" customWidth="1"/>
    <col min="279" max="279" width="11" style="105" customWidth="1"/>
    <col min="280" max="293" width="12.7109375" style="105" customWidth="1"/>
    <col min="294" max="294" width="13.140625" style="105" customWidth="1"/>
    <col min="295" max="295" width="12.7109375" style="105" customWidth="1"/>
    <col min="296" max="296" width="13.7109375" style="105" customWidth="1"/>
    <col min="297" max="297" width="13.5703125" style="105" customWidth="1"/>
    <col min="298" max="298" width="13.42578125" style="105" customWidth="1"/>
    <col min="299" max="300" width="12.7109375" style="105" customWidth="1"/>
    <col min="301" max="301" width="13.85546875" style="105" customWidth="1"/>
    <col min="302" max="302" width="14.140625" style="105" bestFit="1" customWidth="1"/>
    <col min="303" max="303" width="14" style="105" bestFit="1" customWidth="1"/>
    <col min="304" max="304" width="18.85546875" style="105" bestFit="1" customWidth="1"/>
    <col min="305" max="306" width="17.140625" style="105" bestFit="1" customWidth="1"/>
    <col min="307" max="307" width="18.85546875" style="105" bestFit="1" customWidth="1"/>
    <col min="308" max="512" width="9.140625" style="105"/>
    <col min="513" max="513" width="11.42578125" style="105" bestFit="1" customWidth="1"/>
    <col min="514" max="532" width="10.85546875" style="105" bestFit="1" customWidth="1"/>
    <col min="533" max="534" width="12.42578125" style="105" bestFit="1" customWidth="1"/>
    <col min="535" max="535" width="11" style="105" customWidth="1"/>
    <col min="536" max="549" width="12.7109375" style="105" customWidth="1"/>
    <col min="550" max="550" width="13.140625" style="105" customWidth="1"/>
    <col min="551" max="551" width="12.7109375" style="105" customWidth="1"/>
    <col min="552" max="552" width="13.7109375" style="105" customWidth="1"/>
    <col min="553" max="553" width="13.5703125" style="105" customWidth="1"/>
    <col min="554" max="554" width="13.42578125" style="105" customWidth="1"/>
    <col min="555" max="556" width="12.7109375" style="105" customWidth="1"/>
    <col min="557" max="557" width="13.85546875" style="105" customWidth="1"/>
    <col min="558" max="558" width="14.140625" style="105" bestFit="1" customWidth="1"/>
    <col min="559" max="559" width="14" style="105" bestFit="1" customWidth="1"/>
    <col min="560" max="560" width="18.85546875" style="105" bestFit="1" customWidth="1"/>
    <col min="561" max="562" width="17.140625" style="105" bestFit="1" customWidth="1"/>
    <col min="563" max="563" width="18.85546875" style="105" bestFit="1" customWidth="1"/>
    <col min="564" max="768" width="9.140625" style="105"/>
    <col min="769" max="769" width="11.42578125" style="105" bestFit="1" customWidth="1"/>
    <col min="770" max="788" width="10.85546875" style="105" bestFit="1" customWidth="1"/>
    <col min="789" max="790" width="12.42578125" style="105" bestFit="1" customWidth="1"/>
    <col min="791" max="791" width="11" style="105" customWidth="1"/>
    <col min="792" max="805" width="12.7109375" style="105" customWidth="1"/>
    <col min="806" max="806" width="13.140625" style="105" customWidth="1"/>
    <col min="807" max="807" width="12.7109375" style="105" customWidth="1"/>
    <col min="808" max="808" width="13.7109375" style="105" customWidth="1"/>
    <col min="809" max="809" width="13.5703125" style="105" customWidth="1"/>
    <col min="810" max="810" width="13.42578125" style="105" customWidth="1"/>
    <col min="811" max="812" width="12.7109375" style="105" customWidth="1"/>
    <col min="813" max="813" width="13.85546875" style="105" customWidth="1"/>
    <col min="814" max="814" width="14.140625" style="105" bestFit="1" customWidth="1"/>
    <col min="815" max="815" width="14" style="105" bestFit="1" customWidth="1"/>
    <col min="816" max="816" width="18.85546875" style="105" bestFit="1" customWidth="1"/>
    <col min="817" max="818" width="17.140625" style="105" bestFit="1" customWidth="1"/>
    <col min="819" max="819" width="18.85546875" style="105" bestFit="1" customWidth="1"/>
    <col min="820" max="1024" width="9.140625" style="105"/>
    <col min="1025" max="1025" width="11.42578125" style="105" bestFit="1" customWidth="1"/>
    <col min="1026" max="1044" width="10.85546875" style="105" bestFit="1" customWidth="1"/>
    <col min="1045" max="1046" width="12.42578125" style="105" bestFit="1" customWidth="1"/>
    <col min="1047" max="1047" width="11" style="105" customWidth="1"/>
    <col min="1048" max="1061" width="12.7109375" style="105" customWidth="1"/>
    <col min="1062" max="1062" width="13.140625" style="105" customWidth="1"/>
    <col min="1063" max="1063" width="12.7109375" style="105" customWidth="1"/>
    <col min="1064" max="1064" width="13.7109375" style="105" customWidth="1"/>
    <col min="1065" max="1065" width="13.5703125" style="105" customWidth="1"/>
    <col min="1066" max="1066" width="13.42578125" style="105" customWidth="1"/>
    <col min="1067" max="1068" width="12.7109375" style="105" customWidth="1"/>
    <col min="1069" max="1069" width="13.85546875" style="105" customWidth="1"/>
    <col min="1070" max="1070" width="14.140625" style="105" bestFit="1" customWidth="1"/>
    <col min="1071" max="1071" width="14" style="105" bestFit="1" customWidth="1"/>
    <col min="1072" max="1072" width="18.85546875" style="105" bestFit="1" customWidth="1"/>
    <col min="1073" max="1074" width="17.140625" style="105" bestFit="1" customWidth="1"/>
    <col min="1075" max="1075" width="18.85546875" style="105" bestFit="1" customWidth="1"/>
    <col min="1076" max="1280" width="9.140625" style="105"/>
    <col min="1281" max="1281" width="11.42578125" style="105" bestFit="1" customWidth="1"/>
    <col min="1282" max="1300" width="10.85546875" style="105" bestFit="1" customWidth="1"/>
    <col min="1301" max="1302" width="12.42578125" style="105" bestFit="1" customWidth="1"/>
    <col min="1303" max="1303" width="11" style="105" customWidth="1"/>
    <col min="1304" max="1317" width="12.7109375" style="105" customWidth="1"/>
    <col min="1318" max="1318" width="13.140625" style="105" customWidth="1"/>
    <col min="1319" max="1319" width="12.7109375" style="105" customWidth="1"/>
    <col min="1320" max="1320" width="13.7109375" style="105" customWidth="1"/>
    <col min="1321" max="1321" width="13.5703125" style="105" customWidth="1"/>
    <col min="1322" max="1322" width="13.42578125" style="105" customWidth="1"/>
    <col min="1323" max="1324" width="12.7109375" style="105" customWidth="1"/>
    <col min="1325" max="1325" width="13.85546875" style="105" customWidth="1"/>
    <col min="1326" max="1326" width="14.140625" style="105" bestFit="1" customWidth="1"/>
    <col min="1327" max="1327" width="14" style="105" bestFit="1" customWidth="1"/>
    <col min="1328" max="1328" width="18.85546875" style="105" bestFit="1" customWidth="1"/>
    <col min="1329" max="1330" width="17.140625" style="105" bestFit="1" customWidth="1"/>
    <col min="1331" max="1331" width="18.85546875" style="105" bestFit="1" customWidth="1"/>
    <col min="1332" max="1536" width="9.140625" style="105"/>
    <col min="1537" max="1537" width="11.42578125" style="105" bestFit="1" customWidth="1"/>
    <col min="1538" max="1556" width="10.85546875" style="105" bestFit="1" customWidth="1"/>
    <col min="1557" max="1558" width="12.42578125" style="105" bestFit="1" customWidth="1"/>
    <col min="1559" max="1559" width="11" style="105" customWidth="1"/>
    <col min="1560" max="1573" width="12.7109375" style="105" customWidth="1"/>
    <col min="1574" max="1574" width="13.140625" style="105" customWidth="1"/>
    <col min="1575" max="1575" width="12.7109375" style="105" customWidth="1"/>
    <col min="1576" max="1576" width="13.7109375" style="105" customWidth="1"/>
    <col min="1577" max="1577" width="13.5703125" style="105" customWidth="1"/>
    <col min="1578" max="1578" width="13.42578125" style="105" customWidth="1"/>
    <col min="1579" max="1580" width="12.7109375" style="105" customWidth="1"/>
    <col min="1581" max="1581" width="13.85546875" style="105" customWidth="1"/>
    <col min="1582" max="1582" width="14.140625" style="105" bestFit="1" customWidth="1"/>
    <col min="1583" max="1583" width="14" style="105" bestFit="1" customWidth="1"/>
    <col min="1584" max="1584" width="18.85546875" style="105" bestFit="1" customWidth="1"/>
    <col min="1585" max="1586" width="17.140625" style="105" bestFit="1" customWidth="1"/>
    <col min="1587" max="1587" width="18.85546875" style="105" bestFit="1" customWidth="1"/>
    <col min="1588" max="1792" width="9.140625" style="105"/>
    <col min="1793" max="1793" width="11.42578125" style="105" bestFit="1" customWidth="1"/>
    <col min="1794" max="1812" width="10.85546875" style="105" bestFit="1" customWidth="1"/>
    <col min="1813" max="1814" width="12.42578125" style="105" bestFit="1" customWidth="1"/>
    <col min="1815" max="1815" width="11" style="105" customWidth="1"/>
    <col min="1816" max="1829" width="12.7109375" style="105" customWidth="1"/>
    <col min="1830" max="1830" width="13.140625" style="105" customWidth="1"/>
    <col min="1831" max="1831" width="12.7109375" style="105" customWidth="1"/>
    <col min="1832" max="1832" width="13.7109375" style="105" customWidth="1"/>
    <col min="1833" max="1833" width="13.5703125" style="105" customWidth="1"/>
    <col min="1834" max="1834" width="13.42578125" style="105" customWidth="1"/>
    <col min="1835" max="1836" width="12.7109375" style="105" customWidth="1"/>
    <col min="1837" max="1837" width="13.85546875" style="105" customWidth="1"/>
    <col min="1838" max="1838" width="14.140625" style="105" bestFit="1" customWidth="1"/>
    <col min="1839" max="1839" width="14" style="105" bestFit="1" customWidth="1"/>
    <col min="1840" max="1840" width="18.85546875" style="105" bestFit="1" customWidth="1"/>
    <col min="1841" max="1842" width="17.140625" style="105" bestFit="1" customWidth="1"/>
    <col min="1843" max="1843" width="18.85546875" style="105" bestFit="1" customWidth="1"/>
    <col min="1844" max="2048" width="9.140625" style="105"/>
    <col min="2049" max="2049" width="11.42578125" style="105" bestFit="1" customWidth="1"/>
    <col min="2050" max="2068" width="10.85546875" style="105" bestFit="1" customWidth="1"/>
    <col min="2069" max="2070" width="12.42578125" style="105" bestFit="1" customWidth="1"/>
    <col min="2071" max="2071" width="11" style="105" customWidth="1"/>
    <col min="2072" max="2085" width="12.7109375" style="105" customWidth="1"/>
    <col min="2086" max="2086" width="13.140625" style="105" customWidth="1"/>
    <col min="2087" max="2087" width="12.7109375" style="105" customWidth="1"/>
    <col min="2088" max="2088" width="13.7109375" style="105" customWidth="1"/>
    <col min="2089" max="2089" width="13.5703125" style="105" customWidth="1"/>
    <col min="2090" max="2090" width="13.42578125" style="105" customWidth="1"/>
    <col min="2091" max="2092" width="12.7109375" style="105" customWidth="1"/>
    <col min="2093" max="2093" width="13.85546875" style="105" customWidth="1"/>
    <col min="2094" max="2094" width="14.140625" style="105" bestFit="1" customWidth="1"/>
    <col min="2095" max="2095" width="14" style="105" bestFit="1" customWidth="1"/>
    <col min="2096" max="2096" width="18.85546875" style="105" bestFit="1" customWidth="1"/>
    <col min="2097" max="2098" width="17.140625" style="105" bestFit="1" customWidth="1"/>
    <col min="2099" max="2099" width="18.85546875" style="105" bestFit="1" customWidth="1"/>
    <col min="2100" max="2304" width="9.140625" style="105"/>
    <col min="2305" max="2305" width="11.42578125" style="105" bestFit="1" customWidth="1"/>
    <col min="2306" max="2324" width="10.85546875" style="105" bestFit="1" customWidth="1"/>
    <col min="2325" max="2326" width="12.42578125" style="105" bestFit="1" customWidth="1"/>
    <col min="2327" max="2327" width="11" style="105" customWidth="1"/>
    <col min="2328" max="2341" width="12.7109375" style="105" customWidth="1"/>
    <col min="2342" max="2342" width="13.140625" style="105" customWidth="1"/>
    <col min="2343" max="2343" width="12.7109375" style="105" customWidth="1"/>
    <col min="2344" max="2344" width="13.7109375" style="105" customWidth="1"/>
    <col min="2345" max="2345" width="13.5703125" style="105" customWidth="1"/>
    <col min="2346" max="2346" width="13.42578125" style="105" customWidth="1"/>
    <col min="2347" max="2348" width="12.7109375" style="105" customWidth="1"/>
    <col min="2349" max="2349" width="13.85546875" style="105" customWidth="1"/>
    <col min="2350" max="2350" width="14.140625" style="105" bestFit="1" customWidth="1"/>
    <col min="2351" max="2351" width="14" style="105" bestFit="1" customWidth="1"/>
    <col min="2352" max="2352" width="18.85546875" style="105" bestFit="1" customWidth="1"/>
    <col min="2353" max="2354" width="17.140625" style="105" bestFit="1" customWidth="1"/>
    <col min="2355" max="2355" width="18.85546875" style="105" bestFit="1" customWidth="1"/>
    <col min="2356" max="2560" width="9.140625" style="105"/>
    <col min="2561" max="2561" width="11.42578125" style="105" bestFit="1" customWidth="1"/>
    <col min="2562" max="2580" width="10.85546875" style="105" bestFit="1" customWidth="1"/>
    <col min="2581" max="2582" width="12.42578125" style="105" bestFit="1" customWidth="1"/>
    <col min="2583" max="2583" width="11" style="105" customWidth="1"/>
    <col min="2584" max="2597" width="12.7109375" style="105" customWidth="1"/>
    <col min="2598" max="2598" width="13.140625" style="105" customWidth="1"/>
    <col min="2599" max="2599" width="12.7109375" style="105" customWidth="1"/>
    <col min="2600" max="2600" width="13.7109375" style="105" customWidth="1"/>
    <col min="2601" max="2601" width="13.5703125" style="105" customWidth="1"/>
    <col min="2602" max="2602" width="13.42578125" style="105" customWidth="1"/>
    <col min="2603" max="2604" width="12.7109375" style="105" customWidth="1"/>
    <col min="2605" max="2605" width="13.85546875" style="105" customWidth="1"/>
    <col min="2606" max="2606" width="14.140625" style="105" bestFit="1" customWidth="1"/>
    <col min="2607" max="2607" width="14" style="105" bestFit="1" customWidth="1"/>
    <col min="2608" max="2608" width="18.85546875" style="105" bestFit="1" customWidth="1"/>
    <col min="2609" max="2610" width="17.140625" style="105" bestFit="1" customWidth="1"/>
    <col min="2611" max="2611" width="18.85546875" style="105" bestFit="1" customWidth="1"/>
    <col min="2612" max="2816" width="9.140625" style="105"/>
    <col min="2817" max="2817" width="11.42578125" style="105" bestFit="1" customWidth="1"/>
    <col min="2818" max="2836" width="10.85546875" style="105" bestFit="1" customWidth="1"/>
    <col min="2837" max="2838" width="12.42578125" style="105" bestFit="1" customWidth="1"/>
    <col min="2839" max="2839" width="11" style="105" customWidth="1"/>
    <col min="2840" max="2853" width="12.7109375" style="105" customWidth="1"/>
    <col min="2854" max="2854" width="13.140625" style="105" customWidth="1"/>
    <col min="2855" max="2855" width="12.7109375" style="105" customWidth="1"/>
    <col min="2856" max="2856" width="13.7109375" style="105" customWidth="1"/>
    <col min="2857" max="2857" width="13.5703125" style="105" customWidth="1"/>
    <col min="2858" max="2858" width="13.42578125" style="105" customWidth="1"/>
    <col min="2859" max="2860" width="12.7109375" style="105" customWidth="1"/>
    <col min="2861" max="2861" width="13.85546875" style="105" customWidth="1"/>
    <col min="2862" max="2862" width="14.140625" style="105" bestFit="1" customWidth="1"/>
    <col min="2863" max="2863" width="14" style="105" bestFit="1" customWidth="1"/>
    <col min="2864" max="2864" width="18.85546875" style="105" bestFit="1" customWidth="1"/>
    <col min="2865" max="2866" width="17.140625" style="105" bestFit="1" customWidth="1"/>
    <col min="2867" max="2867" width="18.85546875" style="105" bestFit="1" customWidth="1"/>
    <col min="2868" max="3072" width="9.140625" style="105"/>
    <col min="3073" max="3073" width="11.42578125" style="105" bestFit="1" customWidth="1"/>
    <col min="3074" max="3092" width="10.85546875" style="105" bestFit="1" customWidth="1"/>
    <col min="3093" max="3094" width="12.42578125" style="105" bestFit="1" customWidth="1"/>
    <col min="3095" max="3095" width="11" style="105" customWidth="1"/>
    <col min="3096" max="3109" width="12.7109375" style="105" customWidth="1"/>
    <col min="3110" max="3110" width="13.140625" style="105" customWidth="1"/>
    <col min="3111" max="3111" width="12.7109375" style="105" customWidth="1"/>
    <col min="3112" max="3112" width="13.7109375" style="105" customWidth="1"/>
    <col min="3113" max="3113" width="13.5703125" style="105" customWidth="1"/>
    <col min="3114" max="3114" width="13.42578125" style="105" customWidth="1"/>
    <col min="3115" max="3116" width="12.7109375" style="105" customWidth="1"/>
    <col min="3117" max="3117" width="13.85546875" style="105" customWidth="1"/>
    <col min="3118" max="3118" width="14.140625" style="105" bestFit="1" customWidth="1"/>
    <col min="3119" max="3119" width="14" style="105" bestFit="1" customWidth="1"/>
    <col min="3120" max="3120" width="18.85546875" style="105" bestFit="1" customWidth="1"/>
    <col min="3121" max="3122" width="17.140625" style="105" bestFit="1" customWidth="1"/>
    <col min="3123" max="3123" width="18.85546875" style="105" bestFit="1" customWidth="1"/>
    <col min="3124" max="3328" width="9.140625" style="105"/>
    <col min="3329" max="3329" width="11.42578125" style="105" bestFit="1" customWidth="1"/>
    <col min="3330" max="3348" width="10.85546875" style="105" bestFit="1" customWidth="1"/>
    <col min="3349" max="3350" width="12.42578125" style="105" bestFit="1" customWidth="1"/>
    <col min="3351" max="3351" width="11" style="105" customWidth="1"/>
    <col min="3352" max="3365" width="12.7109375" style="105" customWidth="1"/>
    <col min="3366" max="3366" width="13.140625" style="105" customWidth="1"/>
    <col min="3367" max="3367" width="12.7109375" style="105" customWidth="1"/>
    <col min="3368" max="3368" width="13.7109375" style="105" customWidth="1"/>
    <col min="3369" max="3369" width="13.5703125" style="105" customWidth="1"/>
    <col min="3370" max="3370" width="13.42578125" style="105" customWidth="1"/>
    <col min="3371" max="3372" width="12.7109375" style="105" customWidth="1"/>
    <col min="3373" max="3373" width="13.85546875" style="105" customWidth="1"/>
    <col min="3374" max="3374" width="14.140625" style="105" bestFit="1" customWidth="1"/>
    <col min="3375" max="3375" width="14" style="105" bestFit="1" customWidth="1"/>
    <col min="3376" max="3376" width="18.85546875" style="105" bestFit="1" customWidth="1"/>
    <col min="3377" max="3378" width="17.140625" style="105" bestFit="1" customWidth="1"/>
    <col min="3379" max="3379" width="18.85546875" style="105" bestFit="1" customWidth="1"/>
    <col min="3380" max="3584" width="9.140625" style="105"/>
    <col min="3585" max="3585" width="11.42578125" style="105" bestFit="1" customWidth="1"/>
    <col min="3586" max="3604" width="10.85546875" style="105" bestFit="1" customWidth="1"/>
    <col min="3605" max="3606" width="12.42578125" style="105" bestFit="1" customWidth="1"/>
    <col min="3607" max="3607" width="11" style="105" customWidth="1"/>
    <col min="3608" max="3621" width="12.7109375" style="105" customWidth="1"/>
    <col min="3622" max="3622" width="13.140625" style="105" customWidth="1"/>
    <col min="3623" max="3623" width="12.7109375" style="105" customWidth="1"/>
    <col min="3624" max="3624" width="13.7109375" style="105" customWidth="1"/>
    <col min="3625" max="3625" width="13.5703125" style="105" customWidth="1"/>
    <col min="3626" max="3626" width="13.42578125" style="105" customWidth="1"/>
    <col min="3627" max="3628" width="12.7109375" style="105" customWidth="1"/>
    <col min="3629" max="3629" width="13.85546875" style="105" customWidth="1"/>
    <col min="3630" max="3630" width="14.140625" style="105" bestFit="1" customWidth="1"/>
    <col min="3631" max="3631" width="14" style="105" bestFit="1" customWidth="1"/>
    <col min="3632" max="3632" width="18.85546875" style="105" bestFit="1" customWidth="1"/>
    <col min="3633" max="3634" width="17.140625" style="105" bestFit="1" customWidth="1"/>
    <col min="3635" max="3635" width="18.85546875" style="105" bestFit="1" customWidth="1"/>
    <col min="3636" max="3840" width="9.140625" style="105"/>
    <col min="3841" max="3841" width="11.42578125" style="105" bestFit="1" customWidth="1"/>
    <col min="3842" max="3860" width="10.85546875" style="105" bestFit="1" customWidth="1"/>
    <col min="3861" max="3862" width="12.42578125" style="105" bestFit="1" customWidth="1"/>
    <col min="3863" max="3863" width="11" style="105" customWidth="1"/>
    <col min="3864" max="3877" width="12.7109375" style="105" customWidth="1"/>
    <col min="3878" max="3878" width="13.140625" style="105" customWidth="1"/>
    <col min="3879" max="3879" width="12.7109375" style="105" customWidth="1"/>
    <col min="3880" max="3880" width="13.7109375" style="105" customWidth="1"/>
    <col min="3881" max="3881" width="13.5703125" style="105" customWidth="1"/>
    <col min="3882" max="3882" width="13.42578125" style="105" customWidth="1"/>
    <col min="3883" max="3884" width="12.7109375" style="105" customWidth="1"/>
    <col min="3885" max="3885" width="13.85546875" style="105" customWidth="1"/>
    <col min="3886" max="3886" width="14.140625" style="105" bestFit="1" customWidth="1"/>
    <col min="3887" max="3887" width="14" style="105" bestFit="1" customWidth="1"/>
    <col min="3888" max="3888" width="18.85546875" style="105" bestFit="1" customWidth="1"/>
    <col min="3889" max="3890" width="17.140625" style="105" bestFit="1" customWidth="1"/>
    <col min="3891" max="3891" width="18.85546875" style="105" bestFit="1" customWidth="1"/>
    <col min="3892" max="4096" width="9.140625" style="105"/>
    <col min="4097" max="4097" width="11.42578125" style="105" bestFit="1" customWidth="1"/>
    <col min="4098" max="4116" width="10.85546875" style="105" bestFit="1" customWidth="1"/>
    <col min="4117" max="4118" width="12.42578125" style="105" bestFit="1" customWidth="1"/>
    <col min="4119" max="4119" width="11" style="105" customWidth="1"/>
    <col min="4120" max="4133" width="12.7109375" style="105" customWidth="1"/>
    <col min="4134" max="4134" width="13.140625" style="105" customWidth="1"/>
    <col min="4135" max="4135" width="12.7109375" style="105" customWidth="1"/>
    <col min="4136" max="4136" width="13.7109375" style="105" customWidth="1"/>
    <col min="4137" max="4137" width="13.5703125" style="105" customWidth="1"/>
    <col min="4138" max="4138" width="13.42578125" style="105" customWidth="1"/>
    <col min="4139" max="4140" width="12.7109375" style="105" customWidth="1"/>
    <col min="4141" max="4141" width="13.85546875" style="105" customWidth="1"/>
    <col min="4142" max="4142" width="14.140625" style="105" bestFit="1" customWidth="1"/>
    <col min="4143" max="4143" width="14" style="105" bestFit="1" customWidth="1"/>
    <col min="4144" max="4144" width="18.85546875" style="105" bestFit="1" customWidth="1"/>
    <col min="4145" max="4146" width="17.140625" style="105" bestFit="1" customWidth="1"/>
    <col min="4147" max="4147" width="18.85546875" style="105" bestFit="1" customWidth="1"/>
    <col min="4148" max="4352" width="9.140625" style="105"/>
    <col min="4353" max="4353" width="11.42578125" style="105" bestFit="1" customWidth="1"/>
    <col min="4354" max="4372" width="10.85546875" style="105" bestFit="1" customWidth="1"/>
    <col min="4373" max="4374" width="12.42578125" style="105" bestFit="1" customWidth="1"/>
    <col min="4375" max="4375" width="11" style="105" customWidth="1"/>
    <col min="4376" max="4389" width="12.7109375" style="105" customWidth="1"/>
    <col min="4390" max="4390" width="13.140625" style="105" customWidth="1"/>
    <col min="4391" max="4391" width="12.7109375" style="105" customWidth="1"/>
    <col min="4392" max="4392" width="13.7109375" style="105" customWidth="1"/>
    <col min="4393" max="4393" width="13.5703125" style="105" customWidth="1"/>
    <col min="4394" max="4394" width="13.42578125" style="105" customWidth="1"/>
    <col min="4395" max="4396" width="12.7109375" style="105" customWidth="1"/>
    <col min="4397" max="4397" width="13.85546875" style="105" customWidth="1"/>
    <col min="4398" max="4398" width="14.140625" style="105" bestFit="1" customWidth="1"/>
    <col min="4399" max="4399" width="14" style="105" bestFit="1" customWidth="1"/>
    <col min="4400" max="4400" width="18.85546875" style="105" bestFit="1" customWidth="1"/>
    <col min="4401" max="4402" width="17.140625" style="105" bestFit="1" customWidth="1"/>
    <col min="4403" max="4403" width="18.85546875" style="105" bestFit="1" customWidth="1"/>
    <col min="4404" max="4608" width="9.140625" style="105"/>
    <col min="4609" max="4609" width="11.42578125" style="105" bestFit="1" customWidth="1"/>
    <col min="4610" max="4628" width="10.85546875" style="105" bestFit="1" customWidth="1"/>
    <col min="4629" max="4630" width="12.42578125" style="105" bestFit="1" customWidth="1"/>
    <col min="4631" max="4631" width="11" style="105" customWidth="1"/>
    <col min="4632" max="4645" width="12.7109375" style="105" customWidth="1"/>
    <col min="4646" max="4646" width="13.140625" style="105" customWidth="1"/>
    <col min="4647" max="4647" width="12.7109375" style="105" customWidth="1"/>
    <col min="4648" max="4648" width="13.7109375" style="105" customWidth="1"/>
    <col min="4649" max="4649" width="13.5703125" style="105" customWidth="1"/>
    <col min="4650" max="4650" width="13.42578125" style="105" customWidth="1"/>
    <col min="4651" max="4652" width="12.7109375" style="105" customWidth="1"/>
    <col min="4653" max="4653" width="13.85546875" style="105" customWidth="1"/>
    <col min="4654" max="4654" width="14.140625" style="105" bestFit="1" customWidth="1"/>
    <col min="4655" max="4655" width="14" style="105" bestFit="1" customWidth="1"/>
    <col min="4656" max="4656" width="18.85546875" style="105" bestFit="1" customWidth="1"/>
    <col min="4657" max="4658" width="17.140625" style="105" bestFit="1" customWidth="1"/>
    <col min="4659" max="4659" width="18.85546875" style="105" bestFit="1" customWidth="1"/>
    <col min="4660" max="4864" width="9.140625" style="105"/>
    <col min="4865" max="4865" width="11.42578125" style="105" bestFit="1" customWidth="1"/>
    <col min="4866" max="4884" width="10.85546875" style="105" bestFit="1" customWidth="1"/>
    <col min="4885" max="4886" width="12.42578125" style="105" bestFit="1" customWidth="1"/>
    <col min="4887" max="4887" width="11" style="105" customWidth="1"/>
    <col min="4888" max="4901" width="12.7109375" style="105" customWidth="1"/>
    <col min="4902" max="4902" width="13.140625" style="105" customWidth="1"/>
    <col min="4903" max="4903" width="12.7109375" style="105" customWidth="1"/>
    <col min="4904" max="4904" width="13.7109375" style="105" customWidth="1"/>
    <col min="4905" max="4905" width="13.5703125" style="105" customWidth="1"/>
    <col min="4906" max="4906" width="13.42578125" style="105" customWidth="1"/>
    <col min="4907" max="4908" width="12.7109375" style="105" customWidth="1"/>
    <col min="4909" max="4909" width="13.85546875" style="105" customWidth="1"/>
    <col min="4910" max="4910" width="14.140625" style="105" bestFit="1" customWidth="1"/>
    <col min="4911" max="4911" width="14" style="105" bestFit="1" customWidth="1"/>
    <col min="4912" max="4912" width="18.85546875" style="105" bestFit="1" customWidth="1"/>
    <col min="4913" max="4914" width="17.140625" style="105" bestFit="1" customWidth="1"/>
    <col min="4915" max="4915" width="18.85546875" style="105" bestFit="1" customWidth="1"/>
    <col min="4916" max="5120" width="9.140625" style="105"/>
    <col min="5121" max="5121" width="11.42578125" style="105" bestFit="1" customWidth="1"/>
    <col min="5122" max="5140" width="10.85546875" style="105" bestFit="1" customWidth="1"/>
    <col min="5141" max="5142" width="12.42578125" style="105" bestFit="1" customWidth="1"/>
    <col min="5143" max="5143" width="11" style="105" customWidth="1"/>
    <col min="5144" max="5157" width="12.7109375" style="105" customWidth="1"/>
    <col min="5158" max="5158" width="13.140625" style="105" customWidth="1"/>
    <col min="5159" max="5159" width="12.7109375" style="105" customWidth="1"/>
    <col min="5160" max="5160" width="13.7109375" style="105" customWidth="1"/>
    <col min="5161" max="5161" width="13.5703125" style="105" customWidth="1"/>
    <col min="5162" max="5162" width="13.42578125" style="105" customWidth="1"/>
    <col min="5163" max="5164" width="12.7109375" style="105" customWidth="1"/>
    <col min="5165" max="5165" width="13.85546875" style="105" customWidth="1"/>
    <col min="5166" max="5166" width="14.140625" style="105" bestFit="1" customWidth="1"/>
    <col min="5167" max="5167" width="14" style="105" bestFit="1" customWidth="1"/>
    <col min="5168" max="5168" width="18.85546875" style="105" bestFit="1" customWidth="1"/>
    <col min="5169" max="5170" width="17.140625" style="105" bestFit="1" customWidth="1"/>
    <col min="5171" max="5171" width="18.85546875" style="105" bestFit="1" customWidth="1"/>
    <col min="5172" max="5376" width="9.140625" style="105"/>
    <col min="5377" max="5377" width="11.42578125" style="105" bestFit="1" customWidth="1"/>
    <col min="5378" max="5396" width="10.85546875" style="105" bestFit="1" customWidth="1"/>
    <col min="5397" max="5398" width="12.42578125" style="105" bestFit="1" customWidth="1"/>
    <col min="5399" max="5399" width="11" style="105" customWidth="1"/>
    <col min="5400" max="5413" width="12.7109375" style="105" customWidth="1"/>
    <col min="5414" max="5414" width="13.140625" style="105" customWidth="1"/>
    <col min="5415" max="5415" width="12.7109375" style="105" customWidth="1"/>
    <col min="5416" max="5416" width="13.7109375" style="105" customWidth="1"/>
    <col min="5417" max="5417" width="13.5703125" style="105" customWidth="1"/>
    <col min="5418" max="5418" width="13.42578125" style="105" customWidth="1"/>
    <col min="5419" max="5420" width="12.7109375" style="105" customWidth="1"/>
    <col min="5421" max="5421" width="13.85546875" style="105" customWidth="1"/>
    <col min="5422" max="5422" width="14.140625" style="105" bestFit="1" customWidth="1"/>
    <col min="5423" max="5423" width="14" style="105" bestFit="1" customWidth="1"/>
    <col min="5424" max="5424" width="18.85546875" style="105" bestFit="1" customWidth="1"/>
    <col min="5425" max="5426" width="17.140625" style="105" bestFit="1" customWidth="1"/>
    <col min="5427" max="5427" width="18.85546875" style="105" bestFit="1" customWidth="1"/>
    <col min="5428" max="5632" width="9.140625" style="105"/>
    <col min="5633" max="5633" width="11.42578125" style="105" bestFit="1" customWidth="1"/>
    <col min="5634" max="5652" width="10.85546875" style="105" bestFit="1" customWidth="1"/>
    <col min="5653" max="5654" width="12.42578125" style="105" bestFit="1" customWidth="1"/>
    <col min="5655" max="5655" width="11" style="105" customWidth="1"/>
    <col min="5656" max="5669" width="12.7109375" style="105" customWidth="1"/>
    <col min="5670" max="5670" width="13.140625" style="105" customWidth="1"/>
    <col min="5671" max="5671" width="12.7109375" style="105" customWidth="1"/>
    <col min="5672" max="5672" width="13.7109375" style="105" customWidth="1"/>
    <col min="5673" max="5673" width="13.5703125" style="105" customWidth="1"/>
    <col min="5674" max="5674" width="13.42578125" style="105" customWidth="1"/>
    <col min="5675" max="5676" width="12.7109375" style="105" customWidth="1"/>
    <col min="5677" max="5677" width="13.85546875" style="105" customWidth="1"/>
    <col min="5678" max="5678" width="14.140625" style="105" bestFit="1" customWidth="1"/>
    <col min="5679" max="5679" width="14" style="105" bestFit="1" customWidth="1"/>
    <col min="5680" max="5680" width="18.85546875" style="105" bestFit="1" customWidth="1"/>
    <col min="5681" max="5682" width="17.140625" style="105" bestFit="1" customWidth="1"/>
    <col min="5683" max="5683" width="18.85546875" style="105" bestFit="1" customWidth="1"/>
    <col min="5684" max="5888" width="9.140625" style="105"/>
    <col min="5889" max="5889" width="11.42578125" style="105" bestFit="1" customWidth="1"/>
    <col min="5890" max="5908" width="10.85546875" style="105" bestFit="1" customWidth="1"/>
    <col min="5909" max="5910" width="12.42578125" style="105" bestFit="1" customWidth="1"/>
    <col min="5911" max="5911" width="11" style="105" customWidth="1"/>
    <col min="5912" max="5925" width="12.7109375" style="105" customWidth="1"/>
    <col min="5926" max="5926" width="13.140625" style="105" customWidth="1"/>
    <col min="5927" max="5927" width="12.7109375" style="105" customWidth="1"/>
    <col min="5928" max="5928" width="13.7109375" style="105" customWidth="1"/>
    <col min="5929" max="5929" width="13.5703125" style="105" customWidth="1"/>
    <col min="5930" max="5930" width="13.42578125" style="105" customWidth="1"/>
    <col min="5931" max="5932" width="12.7109375" style="105" customWidth="1"/>
    <col min="5933" max="5933" width="13.85546875" style="105" customWidth="1"/>
    <col min="5934" max="5934" width="14.140625" style="105" bestFit="1" customWidth="1"/>
    <col min="5935" max="5935" width="14" style="105" bestFit="1" customWidth="1"/>
    <col min="5936" max="5936" width="18.85546875" style="105" bestFit="1" customWidth="1"/>
    <col min="5937" max="5938" width="17.140625" style="105" bestFit="1" customWidth="1"/>
    <col min="5939" max="5939" width="18.85546875" style="105" bestFit="1" customWidth="1"/>
    <col min="5940" max="6144" width="9.140625" style="105"/>
    <col min="6145" max="6145" width="11.42578125" style="105" bestFit="1" customWidth="1"/>
    <col min="6146" max="6164" width="10.85546875" style="105" bestFit="1" customWidth="1"/>
    <col min="6165" max="6166" width="12.42578125" style="105" bestFit="1" customWidth="1"/>
    <col min="6167" max="6167" width="11" style="105" customWidth="1"/>
    <col min="6168" max="6181" width="12.7109375" style="105" customWidth="1"/>
    <col min="6182" max="6182" width="13.140625" style="105" customWidth="1"/>
    <col min="6183" max="6183" width="12.7109375" style="105" customWidth="1"/>
    <col min="6184" max="6184" width="13.7109375" style="105" customWidth="1"/>
    <col min="6185" max="6185" width="13.5703125" style="105" customWidth="1"/>
    <col min="6186" max="6186" width="13.42578125" style="105" customWidth="1"/>
    <col min="6187" max="6188" width="12.7109375" style="105" customWidth="1"/>
    <col min="6189" max="6189" width="13.85546875" style="105" customWidth="1"/>
    <col min="6190" max="6190" width="14.140625" style="105" bestFit="1" customWidth="1"/>
    <col min="6191" max="6191" width="14" style="105" bestFit="1" customWidth="1"/>
    <col min="6192" max="6192" width="18.85546875" style="105" bestFit="1" customWidth="1"/>
    <col min="6193" max="6194" width="17.140625" style="105" bestFit="1" customWidth="1"/>
    <col min="6195" max="6195" width="18.85546875" style="105" bestFit="1" customWidth="1"/>
    <col min="6196" max="6400" width="9.140625" style="105"/>
    <col min="6401" max="6401" width="11.42578125" style="105" bestFit="1" customWidth="1"/>
    <col min="6402" max="6420" width="10.85546875" style="105" bestFit="1" customWidth="1"/>
    <col min="6421" max="6422" width="12.42578125" style="105" bestFit="1" customWidth="1"/>
    <col min="6423" max="6423" width="11" style="105" customWidth="1"/>
    <col min="6424" max="6437" width="12.7109375" style="105" customWidth="1"/>
    <col min="6438" max="6438" width="13.140625" style="105" customWidth="1"/>
    <col min="6439" max="6439" width="12.7109375" style="105" customWidth="1"/>
    <col min="6440" max="6440" width="13.7109375" style="105" customWidth="1"/>
    <col min="6441" max="6441" width="13.5703125" style="105" customWidth="1"/>
    <col min="6442" max="6442" width="13.42578125" style="105" customWidth="1"/>
    <col min="6443" max="6444" width="12.7109375" style="105" customWidth="1"/>
    <col min="6445" max="6445" width="13.85546875" style="105" customWidth="1"/>
    <col min="6446" max="6446" width="14.140625" style="105" bestFit="1" customWidth="1"/>
    <col min="6447" max="6447" width="14" style="105" bestFit="1" customWidth="1"/>
    <col min="6448" max="6448" width="18.85546875" style="105" bestFit="1" customWidth="1"/>
    <col min="6449" max="6450" width="17.140625" style="105" bestFit="1" customWidth="1"/>
    <col min="6451" max="6451" width="18.85546875" style="105" bestFit="1" customWidth="1"/>
    <col min="6452" max="6656" width="9.140625" style="105"/>
    <col min="6657" max="6657" width="11.42578125" style="105" bestFit="1" customWidth="1"/>
    <col min="6658" max="6676" width="10.85546875" style="105" bestFit="1" customWidth="1"/>
    <col min="6677" max="6678" width="12.42578125" style="105" bestFit="1" customWidth="1"/>
    <col min="6679" max="6679" width="11" style="105" customWidth="1"/>
    <col min="6680" max="6693" width="12.7109375" style="105" customWidth="1"/>
    <col min="6694" max="6694" width="13.140625" style="105" customWidth="1"/>
    <col min="6695" max="6695" width="12.7109375" style="105" customWidth="1"/>
    <col min="6696" max="6696" width="13.7109375" style="105" customWidth="1"/>
    <col min="6697" max="6697" width="13.5703125" style="105" customWidth="1"/>
    <col min="6698" max="6698" width="13.42578125" style="105" customWidth="1"/>
    <col min="6699" max="6700" width="12.7109375" style="105" customWidth="1"/>
    <col min="6701" max="6701" width="13.85546875" style="105" customWidth="1"/>
    <col min="6702" max="6702" width="14.140625" style="105" bestFit="1" customWidth="1"/>
    <col min="6703" max="6703" width="14" style="105" bestFit="1" customWidth="1"/>
    <col min="6704" max="6704" width="18.85546875" style="105" bestFit="1" customWidth="1"/>
    <col min="6705" max="6706" width="17.140625" style="105" bestFit="1" customWidth="1"/>
    <col min="6707" max="6707" width="18.85546875" style="105" bestFit="1" customWidth="1"/>
    <col min="6708" max="6912" width="9.140625" style="105"/>
    <col min="6913" max="6913" width="11.42578125" style="105" bestFit="1" customWidth="1"/>
    <col min="6914" max="6932" width="10.85546875" style="105" bestFit="1" customWidth="1"/>
    <col min="6933" max="6934" width="12.42578125" style="105" bestFit="1" customWidth="1"/>
    <col min="6935" max="6935" width="11" style="105" customWidth="1"/>
    <col min="6936" max="6949" width="12.7109375" style="105" customWidth="1"/>
    <col min="6950" max="6950" width="13.140625" style="105" customWidth="1"/>
    <col min="6951" max="6951" width="12.7109375" style="105" customWidth="1"/>
    <col min="6952" max="6952" width="13.7109375" style="105" customWidth="1"/>
    <col min="6953" max="6953" width="13.5703125" style="105" customWidth="1"/>
    <col min="6954" max="6954" width="13.42578125" style="105" customWidth="1"/>
    <col min="6955" max="6956" width="12.7109375" style="105" customWidth="1"/>
    <col min="6957" max="6957" width="13.85546875" style="105" customWidth="1"/>
    <col min="6958" max="6958" width="14.140625" style="105" bestFit="1" customWidth="1"/>
    <col min="6959" max="6959" width="14" style="105" bestFit="1" customWidth="1"/>
    <col min="6960" max="6960" width="18.85546875" style="105" bestFit="1" customWidth="1"/>
    <col min="6961" max="6962" width="17.140625" style="105" bestFit="1" customWidth="1"/>
    <col min="6963" max="6963" width="18.85546875" style="105" bestFit="1" customWidth="1"/>
    <col min="6964" max="7168" width="9.140625" style="105"/>
    <col min="7169" max="7169" width="11.42578125" style="105" bestFit="1" customWidth="1"/>
    <col min="7170" max="7188" width="10.85546875" style="105" bestFit="1" customWidth="1"/>
    <col min="7189" max="7190" width="12.42578125" style="105" bestFit="1" customWidth="1"/>
    <col min="7191" max="7191" width="11" style="105" customWidth="1"/>
    <col min="7192" max="7205" width="12.7109375" style="105" customWidth="1"/>
    <col min="7206" max="7206" width="13.140625" style="105" customWidth="1"/>
    <col min="7207" max="7207" width="12.7109375" style="105" customWidth="1"/>
    <col min="7208" max="7208" width="13.7109375" style="105" customWidth="1"/>
    <col min="7209" max="7209" width="13.5703125" style="105" customWidth="1"/>
    <col min="7210" max="7210" width="13.42578125" style="105" customWidth="1"/>
    <col min="7211" max="7212" width="12.7109375" style="105" customWidth="1"/>
    <col min="7213" max="7213" width="13.85546875" style="105" customWidth="1"/>
    <col min="7214" max="7214" width="14.140625" style="105" bestFit="1" customWidth="1"/>
    <col min="7215" max="7215" width="14" style="105" bestFit="1" customWidth="1"/>
    <col min="7216" max="7216" width="18.85546875" style="105" bestFit="1" customWidth="1"/>
    <col min="7217" max="7218" width="17.140625" style="105" bestFit="1" customWidth="1"/>
    <col min="7219" max="7219" width="18.85546875" style="105" bestFit="1" customWidth="1"/>
    <col min="7220" max="7424" width="9.140625" style="105"/>
    <col min="7425" max="7425" width="11.42578125" style="105" bestFit="1" customWidth="1"/>
    <col min="7426" max="7444" width="10.85546875" style="105" bestFit="1" customWidth="1"/>
    <col min="7445" max="7446" width="12.42578125" style="105" bestFit="1" customWidth="1"/>
    <col min="7447" max="7447" width="11" style="105" customWidth="1"/>
    <col min="7448" max="7461" width="12.7109375" style="105" customWidth="1"/>
    <col min="7462" max="7462" width="13.140625" style="105" customWidth="1"/>
    <col min="7463" max="7463" width="12.7109375" style="105" customWidth="1"/>
    <col min="7464" max="7464" width="13.7109375" style="105" customWidth="1"/>
    <col min="7465" max="7465" width="13.5703125" style="105" customWidth="1"/>
    <col min="7466" max="7466" width="13.42578125" style="105" customWidth="1"/>
    <col min="7467" max="7468" width="12.7109375" style="105" customWidth="1"/>
    <col min="7469" max="7469" width="13.85546875" style="105" customWidth="1"/>
    <col min="7470" max="7470" width="14.140625" style="105" bestFit="1" customWidth="1"/>
    <col min="7471" max="7471" width="14" style="105" bestFit="1" customWidth="1"/>
    <col min="7472" max="7472" width="18.85546875" style="105" bestFit="1" customWidth="1"/>
    <col min="7473" max="7474" width="17.140625" style="105" bestFit="1" customWidth="1"/>
    <col min="7475" max="7475" width="18.85546875" style="105" bestFit="1" customWidth="1"/>
    <col min="7476" max="7680" width="9.140625" style="105"/>
    <col min="7681" max="7681" width="11.42578125" style="105" bestFit="1" customWidth="1"/>
    <col min="7682" max="7700" width="10.85546875" style="105" bestFit="1" customWidth="1"/>
    <col min="7701" max="7702" width="12.42578125" style="105" bestFit="1" customWidth="1"/>
    <col min="7703" max="7703" width="11" style="105" customWidth="1"/>
    <col min="7704" max="7717" width="12.7109375" style="105" customWidth="1"/>
    <col min="7718" max="7718" width="13.140625" style="105" customWidth="1"/>
    <col min="7719" max="7719" width="12.7109375" style="105" customWidth="1"/>
    <col min="7720" max="7720" width="13.7109375" style="105" customWidth="1"/>
    <col min="7721" max="7721" width="13.5703125" style="105" customWidth="1"/>
    <col min="7722" max="7722" width="13.42578125" style="105" customWidth="1"/>
    <col min="7723" max="7724" width="12.7109375" style="105" customWidth="1"/>
    <col min="7725" max="7725" width="13.85546875" style="105" customWidth="1"/>
    <col min="7726" max="7726" width="14.140625" style="105" bestFit="1" customWidth="1"/>
    <col min="7727" max="7727" width="14" style="105" bestFit="1" customWidth="1"/>
    <col min="7728" max="7728" width="18.85546875" style="105" bestFit="1" customWidth="1"/>
    <col min="7729" max="7730" width="17.140625" style="105" bestFit="1" customWidth="1"/>
    <col min="7731" max="7731" width="18.85546875" style="105" bestFit="1" customWidth="1"/>
    <col min="7732" max="7936" width="9.140625" style="105"/>
    <col min="7937" max="7937" width="11.42578125" style="105" bestFit="1" customWidth="1"/>
    <col min="7938" max="7956" width="10.85546875" style="105" bestFit="1" customWidth="1"/>
    <col min="7957" max="7958" width="12.42578125" style="105" bestFit="1" customWidth="1"/>
    <col min="7959" max="7959" width="11" style="105" customWidth="1"/>
    <col min="7960" max="7973" width="12.7109375" style="105" customWidth="1"/>
    <col min="7974" max="7974" width="13.140625" style="105" customWidth="1"/>
    <col min="7975" max="7975" width="12.7109375" style="105" customWidth="1"/>
    <col min="7976" max="7976" width="13.7109375" style="105" customWidth="1"/>
    <col min="7977" max="7977" width="13.5703125" style="105" customWidth="1"/>
    <col min="7978" max="7978" width="13.42578125" style="105" customWidth="1"/>
    <col min="7979" max="7980" width="12.7109375" style="105" customWidth="1"/>
    <col min="7981" max="7981" width="13.85546875" style="105" customWidth="1"/>
    <col min="7982" max="7982" width="14.140625" style="105" bestFit="1" customWidth="1"/>
    <col min="7983" max="7983" width="14" style="105" bestFit="1" customWidth="1"/>
    <col min="7984" max="7984" width="18.85546875" style="105" bestFit="1" customWidth="1"/>
    <col min="7985" max="7986" width="17.140625" style="105" bestFit="1" customWidth="1"/>
    <col min="7987" max="7987" width="18.85546875" style="105" bestFit="1" customWidth="1"/>
    <col min="7988" max="8192" width="9.140625" style="105"/>
    <col min="8193" max="8193" width="11.42578125" style="105" bestFit="1" customWidth="1"/>
    <col min="8194" max="8212" width="10.85546875" style="105" bestFit="1" customWidth="1"/>
    <col min="8213" max="8214" width="12.42578125" style="105" bestFit="1" customWidth="1"/>
    <col min="8215" max="8215" width="11" style="105" customWidth="1"/>
    <col min="8216" max="8229" width="12.7109375" style="105" customWidth="1"/>
    <col min="8230" max="8230" width="13.140625" style="105" customWidth="1"/>
    <col min="8231" max="8231" width="12.7109375" style="105" customWidth="1"/>
    <col min="8232" max="8232" width="13.7109375" style="105" customWidth="1"/>
    <col min="8233" max="8233" width="13.5703125" style="105" customWidth="1"/>
    <col min="8234" max="8234" width="13.42578125" style="105" customWidth="1"/>
    <col min="8235" max="8236" width="12.7109375" style="105" customWidth="1"/>
    <col min="8237" max="8237" width="13.85546875" style="105" customWidth="1"/>
    <col min="8238" max="8238" width="14.140625" style="105" bestFit="1" customWidth="1"/>
    <col min="8239" max="8239" width="14" style="105" bestFit="1" customWidth="1"/>
    <col min="8240" max="8240" width="18.85546875" style="105" bestFit="1" customWidth="1"/>
    <col min="8241" max="8242" width="17.140625" style="105" bestFit="1" customWidth="1"/>
    <col min="8243" max="8243" width="18.85546875" style="105" bestFit="1" customWidth="1"/>
    <col min="8244" max="8448" width="9.140625" style="105"/>
    <col min="8449" max="8449" width="11.42578125" style="105" bestFit="1" customWidth="1"/>
    <col min="8450" max="8468" width="10.85546875" style="105" bestFit="1" customWidth="1"/>
    <col min="8469" max="8470" width="12.42578125" style="105" bestFit="1" customWidth="1"/>
    <col min="8471" max="8471" width="11" style="105" customWidth="1"/>
    <col min="8472" max="8485" width="12.7109375" style="105" customWidth="1"/>
    <col min="8486" max="8486" width="13.140625" style="105" customWidth="1"/>
    <col min="8487" max="8487" width="12.7109375" style="105" customWidth="1"/>
    <col min="8488" max="8488" width="13.7109375" style="105" customWidth="1"/>
    <col min="8489" max="8489" width="13.5703125" style="105" customWidth="1"/>
    <col min="8490" max="8490" width="13.42578125" style="105" customWidth="1"/>
    <col min="8491" max="8492" width="12.7109375" style="105" customWidth="1"/>
    <col min="8493" max="8493" width="13.85546875" style="105" customWidth="1"/>
    <col min="8494" max="8494" width="14.140625" style="105" bestFit="1" customWidth="1"/>
    <col min="8495" max="8495" width="14" style="105" bestFit="1" customWidth="1"/>
    <col min="8496" max="8496" width="18.85546875" style="105" bestFit="1" customWidth="1"/>
    <col min="8497" max="8498" width="17.140625" style="105" bestFit="1" customWidth="1"/>
    <col min="8499" max="8499" width="18.85546875" style="105" bestFit="1" customWidth="1"/>
    <col min="8500" max="8704" width="9.140625" style="105"/>
    <col min="8705" max="8705" width="11.42578125" style="105" bestFit="1" customWidth="1"/>
    <col min="8706" max="8724" width="10.85546875" style="105" bestFit="1" customWidth="1"/>
    <col min="8725" max="8726" width="12.42578125" style="105" bestFit="1" customWidth="1"/>
    <col min="8727" max="8727" width="11" style="105" customWidth="1"/>
    <col min="8728" max="8741" width="12.7109375" style="105" customWidth="1"/>
    <col min="8742" max="8742" width="13.140625" style="105" customWidth="1"/>
    <col min="8743" max="8743" width="12.7109375" style="105" customWidth="1"/>
    <col min="8744" max="8744" width="13.7109375" style="105" customWidth="1"/>
    <col min="8745" max="8745" width="13.5703125" style="105" customWidth="1"/>
    <col min="8746" max="8746" width="13.42578125" style="105" customWidth="1"/>
    <col min="8747" max="8748" width="12.7109375" style="105" customWidth="1"/>
    <col min="8749" max="8749" width="13.85546875" style="105" customWidth="1"/>
    <col min="8750" max="8750" width="14.140625" style="105" bestFit="1" customWidth="1"/>
    <col min="8751" max="8751" width="14" style="105" bestFit="1" customWidth="1"/>
    <col min="8752" max="8752" width="18.85546875" style="105" bestFit="1" customWidth="1"/>
    <col min="8753" max="8754" width="17.140625" style="105" bestFit="1" customWidth="1"/>
    <col min="8755" max="8755" width="18.85546875" style="105" bestFit="1" customWidth="1"/>
    <col min="8756" max="8960" width="9.140625" style="105"/>
    <col min="8961" max="8961" width="11.42578125" style="105" bestFit="1" customWidth="1"/>
    <col min="8962" max="8980" width="10.85546875" style="105" bestFit="1" customWidth="1"/>
    <col min="8981" max="8982" width="12.42578125" style="105" bestFit="1" customWidth="1"/>
    <col min="8983" max="8983" width="11" style="105" customWidth="1"/>
    <col min="8984" max="8997" width="12.7109375" style="105" customWidth="1"/>
    <col min="8998" max="8998" width="13.140625" style="105" customWidth="1"/>
    <col min="8999" max="8999" width="12.7109375" style="105" customWidth="1"/>
    <col min="9000" max="9000" width="13.7109375" style="105" customWidth="1"/>
    <col min="9001" max="9001" width="13.5703125" style="105" customWidth="1"/>
    <col min="9002" max="9002" width="13.42578125" style="105" customWidth="1"/>
    <col min="9003" max="9004" width="12.7109375" style="105" customWidth="1"/>
    <col min="9005" max="9005" width="13.85546875" style="105" customWidth="1"/>
    <col min="9006" max="9006" width="14.140625" style="105" bestFit="1" customWidth="1"/>
    <col min="9007" max="9007" width="14" style="105" bestFit="1" customWidth="1"/>
    <col min="9008" max="9008" width="18.85546875" style="105" bestFit="1" customWidth="1"/>
    <col min="9009" max="9010" width="17.140625" style="105" bestFit="1" customWidth="1"/>
    <col min="9011" max="9011" width="18.85546875" style="105" bestFit="1" customWidth="1"/>
    <col min="9012" max="9216" width="9.140625" style="105"/>
    <col min="9217" max="9217" width="11.42578125" style="105" bestFit="1" customWidth="1"/>
    <col min="9218" max="9236" width="10.85546875" style="105" bestFit="1" customWidth="1"/>
    <col min="9237" max="9238" width="12.42578125" style="105" bestFit="1" customWidth="1"/>
    <col min="9239" max="9239" width="11" style="105" customWidth="1"/>
    <col min="9240" max="9253" width="12.7109375" style="105" customWidth="1"/>
    <col min="9254" max="9254" width="13.140625" style="105" customWidth="1"/>
    <col min="9255" max="9255" width="12.7109375" style="105" customWidth="1"/>
    <col min="9256" max="9256" width="13.7109375" style="105" customWidth="1"/>
    <col min="9257" max="9257" width="13.5703125" style="105" customWidth="1"/>
    <col min="9258" max="9258" width="13.42578125" style="105" customWidth="1"/>
    <col min="9259" max="9260" width="12.7109375" style="105" customWidth="1"/>
    <col min="9261" max="9261" width="13.85546875" style="105" customWidth="1"/>
    <col min="9262" max="9262" width="14.140625" style="105" bestFit="1" customWidth="1"/>
    <col min="9263" max="9263" width="14" style="105" bestFit="1" customWidth="1"/>
    <col min="9264" max="9264" width="18.85546875" style="105" bestFit="1" customWidth="1"/>
    <col min="9265" max="9266" width="17.140625" style="105" bestFit="1" customWidth="1"/>
    <col min="9267" max="9267" width="18.85546875" style="105" bestFit="1" customWidth="1"/>
    <col min="9268" max="9472" width="9.140625" style="105"/>
    <col min="9473" max="9473" width="11.42578125" style="105" bestFit="1" customWidth="1"/>
    <col min="9474" max="9492" width="10.85546875" style="105" bestFit="1" customWidth="1"/>
    <col min="9493" max="9494" width="12.42578125" style="105" bestFit="1" customWidth="1"/>
    <col min="9495" max="9495" width="11" style="105" customWidth="1"/>
    <col min="9496" max="9509" width="12.7109375" style="105" customWidth="1"/>
    <col min="9510" max="9510" width="13.140625" style="105" customWidth="1"/>
    <col min="9511" max="9511" width="12.7109375" style="105" customWidth="1"/>
    <col min="9512" max="9512" width="13.7109375" style="105" customWidth="1"/>
    <col min="9513" max="9513" width="13.5703125" style="105" customWidth="1"/>
    <col min="9514" max="9514" width="13.42578125" style="105" customWidth="1"/>
    <col min="9515" max="9516" width="12.7109375" style="105" customWidth="1"/>
    <col min="9517" max="9517" width="13.85546875" style="105" customWidth="1"/>
    <col min="9518" max="9518" width="14.140625" style="105" bestFit="1" customWidth="1"/>
    <col min="9519" max="9519" width="14" style="105" bestFit="1" customWidth="1"/>
    <col min="9520" max="9520" width="18.85546875" style="105" bestFit="1" customWidth="1"/>
    <col min="9521" max="9522" width="17.140625" style="105" bestFit="1" customWidth="1"/>
    <col min="9523" max="9523" width="18.85546875" style="105" bestFit="1" customWidth="1"/>
    <col min="9524" max="9728" width="9.140625" style="105"/>
    <col min="9729" max="9729" width="11.42578125" style="105" bestFit="1" customWidth="1"/>
    <col min="9730" max="9748" width="10.85546875" style="105" bestFit="1" customWidth="1"/>
    <col min="9749" max="9750" width="12.42578125" style="105" bestFit="1" customWidth="1"/>
    <col min="9751" max="9751" width="11" style="105" customWidth="1"/>
    <col min="9752" max="9765" width="12.7109375" style="105" customWidth="1"/>
    <col min="9766" max="9766" width="13.140625" style="105" customWidth="1"/>
    <col min="9767" max="9767" width="12.7109375" style="105" customWidth="1"/>
    <col min="9768" max="9768" width="13.7109375" style="105" customWidth="1"/>
    <col min="9769" max="9769" width="13.5703125" style="105" customWidth="1"/>
    <col min="9770" max="9770" width="13.42578125" style="105" customWidth="1"/>
    <col min="9771" max="9772" width="12.7109375" style="105" customWidth="1"/>
    <col min="9773" max="9773" width="13.85546875" style="105" customWidth="1"/>
    <col min="9774" max="9774" width="14.140625" style="105" bestFit="1" customWidth="1"/>
    <col min="9775" max="9775" width="14" style="105" bestFit="1" customWidth="1"/>
    <col min="9776" max="9776" width="18.85546875" style="105" bestFit="1" customWidth="1"/>
    <col min="9777" max="9778" width="17.140625" style="105" bestFit="1" customWidth="1"/>
    <col min="9779" max="9779" width="18.85546875" style="105" bestFit="1" customWidth="1"/>
    <col min="9780" max="9984" width="9.140625" style="105"/>
    <col min="9985" max="9985" width="11.42578125" style="105" bestFit="1" customWidth="1"/>
    <col min="9986" max="10004" width="10.85546875" style="105" bestFit="1" customWidth="1"/>
    <col min="10005" max="10006" width="12.42578125" style="105" bestFit="1" customWidth="1"/>
    <col min="10007" max="10007" width="11" style="105" customWidth="1"/>
    <col min="10008" max="10021" width="12.7109375" style="105" customWidth="1"/>
    <col min="10022" max="10022" width="13.140625" style="105" customWidth="1"/>
    <col min="10023" max="10023" width="12.7109375" style="105" customWidth="1"/>
    <col min="10024" max="10024" width="13.7109375" style="105" customWidth="1"/>
    <col min="10025" max="10025" width="13.5703125" style="105" customWidth="1"/>
    <col min="10026" max="10026" width="13.42578125" style="105" customWidth="1"/>
    <col min="10027" max="10028" width="12.7109375" style="105" customWidth="1"/>
    <col min="10029" max="10029" width="13.85546875" style="105" customWidth="1"/>
    <col min="10030" max="10030" width="14.140625" style="105" bestFit="1" customWidth="1"/>
    <col min="10031" max="10031" width="14" style="105" bestFit="1" customWidth="1"/>
    <col min="10032" max="10032" width="18.85546875" style="105" bestFit="1" customWidth="1"/>
    <col min="10033" max="10034" width="17.140625" style="105" bestFit="1" customWidth="1"/>
    <col min="10035" max="10035" width="18.85546875" style="105" bestFit="1" customWidth="1"/>
    <col min="10036" max="10240" width="9.140625" style="105"/>
    <col min="10241" max="10241" width="11.42578125" style="105" bestFit="1" customWidth="1"/>
    <col min="10242" max="10260" width="10.85546875" style="105" bestFit="1" customWidth="1"/>
    <col min="10261" max="10262" width="12.42578125" style="105" bestFit="1" customWidth="1"/>
    <col min="10263" max="10263" width="11" style="105" customWidth="1"/>
    <col min="10264" max="10277" width="12.7109375" style="105" customWidth="1"/>
    <col min="10278" max="10278" width="13.140625" style="105" customWidth="1"/>
    <col min="10279" max="10279" width="12.7109375" style="105" customWidth="1"/>
    <col min="10280" max="10280" width="13.7109375" style="105" customWidth="1"/>
    <col min="10281" max="10281" width="13.5703125" style="105" customWidth="1"/>
    <col min="10282" max="10282" width="13.42578125" style="105" customWidth="1"/>
    <col min="10283" max="10284" width="12.7109375" style="105" customWidth="1"/>
    <col min="10285" max="10285" width="13.85546875" style="105" customWidth="1"/>
    <col min="10286" max="10286" width="14.140625" style="105" bestFit="1" customWidth="1"/>
    <col min="10287" max="10287" width="14" style="105" bestFit="1" customWidth="1"/>
    <col min="10288" max="10288" width="18.85546875" style="105" bestFit="1" customWidth="1"/>
    <col min="10289" max="10290" width="17.140625" style="105" bestFit="1" customWidth="1"/>
    <col min="10291" max="10291" width="18.85546875" style="105" bestFit="1" customWidth="1"/>
    <col min="10292" max="10496" width="9.140625" style="105"/>
    <col min="10497" max="10497" width="11.42578125" style="105" bestFit="1" customWidth="1"/>
    <col min="10498" max="10516" width="10.85546875" style="105" bestFit="1" customWidth="1"/>
    <col min="10517" max="10518" width="12.42578125" style="105" bestFit="1" customWidth="1"/>
    <col min="10519" max="10519" width="11" style="105" customWidth="1"/>
    <col min="10520" max="10533" width="12.7109375" style="105" customWidth="1"/>
    <col min="10534" max="10534" width="13.140625" style="105" customWidth="1"/>
    <col min="10535" max="10535" width="12.7109375" style="105" customWidth="1"/>
    <col min="10536" max="10536" width="13.7109375" style="105" customWidth="1"/>
    <col min="10537" max="10537" width="13.5703125" style="105" customWidth="1"/>
    <col min="10538" max="10538" width="13.42578125" style="105" customWidth="1"/>
    <col min="10539" max="10540" width="12.7109375" style="105" customWidth="1"/>
    <col min="10541" max="10541" width="13.85546875" style="105" customWidth="1"/>
    <col min="10542" max="10542" width="14.140625" style="105" bestFit="1" customWidth="1"/>
    <col min="10543" max="10543" width="14" style="105" bestFit="1" customWidth="1"/>
    <col min="10544" max="10544" width="18.85546875" style="105" bestFit="1" customWidth="1"/>
    <col min="10545" max="10546" width="17.140625" style="105" bestFit="1" customWidth="1"/>
    <col min="10547" max="10547" width="18.85546875" style="105" bestFit="1" customWidth="1"/>
    <col min="10548" max="10752" width="9.140625" style="105"/>
    <col min="10753" max="10753" width="11.42578125" style="105" bestFit="1" customWidth="1"/>
    <col min="10754" max="10772" width="10.85546875" style="105" bestFit="1" customWidth="1"/>
    <col min="10773" max="10774" width="12.42578125" style="105" bestFit="1" customWidth="1"/>
    <col min="10775" max="10775" width="11" style="105" customWidth="1"/>
    <col min="10776" max="10789" width="12.7109375" style="105" customWidth="1"/>
    <col min="10790" max="10790" width="13.140625" style="105" customWidth="1"/>
    <col min="10791" max="10791" width="12.7109375" style="105" customWidth="1"/>
    <col min="10792" max="10792" width="13.7109375" style="105" customWidth="1"/>
    <col min="10793" max="10793" width="13.5703125" style="105" customWidth="1"/>
    <col min="10794" max="10794" width="13.42578125" style="105" customWidth="1"/>
    <col min="10795" max="10796" width="12.7109375" style="105" customWidth="1"/>
    <col min="10797" max="10797" width="13.85546875" style="105" customWidth="1"/>
    <col min="10798" max="10798" width="14.140625" style="105" bestFit="1" customWidth="1"/>
    <col min="10799" max="10799" width="14" style="105" bestFit="1" customWidth="1"/>
    <col min="10800" max="10800" width="18.85546875" style="105" bestFit="1" customWidth="1"/>
    <col min="10801" max="10802" width="17.140625" style="105" bestFit="1" customWidth="1"/>
    <col min="10803" max="10803" width="18.85546875" style="105" bestFit="1" customWidth="1"/>
    <col min="10804" max="11008" width="9.140625" style="105"/>
    <col min="11009" max="11009" width="11.42578125" style="105" bestFit="1" customWidth="1"/>
    <col min="11010" max="11028" width="10.85546875" style="105" bestFit="1" customWidth="1"/>
    <col min="11029" max="11030" width="12.42578125" style="105" bestFit="1" customWidth="1"/>
    <col min="11031" max="11031" width="11" style="105" customWidth="1"/>
    <col min="11032" max="11045" width="12.7109375" style="105" customWidth="1"/>
    <col min="11046" max="11046" width="13.140625" style="105" customWidth="1"/>
    <col min="11047" max="11047" width="12.7109375" style="105" customWidth="1"/>
    <col min="11048" max="11048" width="13.7109375" style="105" customWidth="1"/>
    <col min="11049" max="11049" width="13.5703125" style="105" customWidth="1"/>
    <col min="11050" max="11050" width="13.42578125" style="105" customWidth="1"/>
    <col min="11051" max="11052" width="12.7109375" style="105" customWidth="1"/>
    <col min="11053" max="11053" width="13.85546875" style="105" customWidth="1"/>
    <col min="11054" max="11054" width="14.140625" style="105" bestFit="1" customWidth="1"/>
    <col min="11055" max="11055" width="14" style="105" bestFit="1" customWidth="1"/>
    <col min="11056" max="11056" width="18.85546875" style="105" bestFit="1" customWidth="1"/>
    <col min="11057" max="11058" width="17.140625" style="105" bestFit="1" customWidth="1"/>
    <col min="11059" max="11059" width="18.85546875" style="105" bestFit="1" customWidth="1"/>
    <col min="11060" max="11264" width="9.140625" style="105"/>
    <col min="11265" max="11265" width="11.42578125" style="105" bestFit="1" customWidth="1"/>
    <col min="11266" max="11284" width="10.85546875" style="105" bestFit="1" customWidth="1"/>
    <col min="11285" max="11286" width="12.42578125" style="105" bestFit="1" customWidth="1"/>
    <col min="11287" max="11287" width="11" style="105" customWidth="1"/>
    <col min="11288" max="11301" width="12.7109375" style="105" customWidth="1"/>
    <col min="11302" max="11302" width="13.140625" style="105" customWidth="1"/>
    <col min="11303" max="11303" width="12.7109375" style="105" customWidth="1"/>
    <col min="11304" max="11304" width="13.7109375" style="105" customWidth="1"/>
    <col min="11305" max="11305" width="13.5703125" style="105" customWidth="1"/>
    <col min="11306" max="11306" width="13.42578125" style="105" customWidth="1"/>
    <col min="11307" max="11308" width="12.7109375" style="105" customWidth="1"/>
    <col min="11309" max="11309" width="13.85546875" style="105" customWidth="1"/>
    <col min="11310" max="11310" width="14.140625" style="105" bestFit="1" customWidth="1"/>
    <col min="11311" max="11311" width="14" style="105" bestFit="1" customWidth="1"/>
    <col min="11312" max="11312" width="18.85546875" style="105" bestFit="1" customWidth="1"/>
    <col min="11313" max="11314" width="17.140625" style="105" bestFit="1" customWidth="1"/>
    <col min="11315" max="11315" width="18.85546875" style="105" bestFit="1" customWidth="1"/>
    <col min="11316" max="11520" width="9.140625" style="105"/>
    <col min="11521" max="11521" width="11.42578125" style="105" bestFit="1" customWidth="1"/>
    <col min="11522" max="11540" width="10.85546875" style="105" bestFit="1" customWidth="1"/>
    <col min="11541" max="11542" width="12.42578125" style="105" bestFit="1" customWidth="1"/>
    <col min="11543" max="11543" width="11" style="105" customWidth="1"/>
    <col min="11544" max="11557" width="12.7109375" style="105" customWidth="1"/>
    <col min="11558" max="11558" width="13.140625" style="105" customWidth="1"/>
    <col min="11559" max="11559" width="12.7109375" style="105" customWidth="1"/>
    <col min="11560" max="11560" width="13.7109375" style="105" customWidth="1"/>
    <col min="11561" max="11561" width="13.5703125" style="105" customWidth="1"/>
    <col min="11562" max="11562" width="13.42578125" style="105" customWidth="1"/>
    <col min="11563" max="11564" width="12.7109375" style="105" customWidth="1"/>
    <col min="11565" max="11565" width="13.85546875" style="105" customWidth="1"/>
    <col min="11566" max="11566" width="14.140625" style="105" bestFit="1" customWidth="1"/>
    <col min="11567" max="11567" width="14" style="105" bestFit="1" customWidth="1"/>
    <col min="11568" max="11568" width="18.85546875" style="105" bestFit="1" customWidth="1"/>
    <col min="11569" max="11570" width="17.140625" style="105" bestFit="1" customWidth="1"/>
    <col min="11571" max="11571" width="18.85546875" style="105" bestFit="1" customWidth="1"/>
    <col min="11572" max="11776" width="9.140625" style="105"/>
    <col min="11777" max="11777" width="11.42578125" style="105" bestFit="1" customWidth="1"/>
    <col min="11778" max="11796" width="10.85546875" style="105" bestFit="1" customWidth="1"/>
    <col min="11797" max="11798" width="12.42578125" style="105" bestFit="1" customWidth="1"/>
    <col min="11799" max="11799" width="11" style="105" customWidth="1"/>
    <col min="11800" max="11813" width="12.7109375" style="105" customWidth="1"/>
    <col min="11814" max="11814" width="13.140625" style="105" customWidth="1"/>
    <col min="11815" max="11815" width="12.7109375" style="105" customWidth="1"/>
    <col min="11816" max="11816" width="13.7109375" style="105" customWidth="1"/>
    <col min="11817" max="11817" width="13.5703125" style="105" customWidth="1"/>
    <col min="11818" max="11818" width="13.42578125" style="105" customWidth="1"/>
    <col min="11819" max="11820" width="12.7109375" style="105" customWidth="1"/>
    <col min="11821" max="11821" width="13.85546875" style="105" customWidth="1"/>
    <col min="11822" max="11822" width="14.140625" style="105" bestFit="1" customWidth="1"/>
    <col min="11823" max="11823" width="14" style="105" bestFit="1" customWidth="1"/>
    <col min="11824" max="11824" width="18.85546875" style="105" bestFit="1" customWidth="1"/>
    <col min="11825" max="11826" width="17.140625" style="105" bestFit="1" customWidth="1"/>
    <col min="11827" max="11827" width="18.85546875" style="105" bestFit="1" customWidth="1"/>
    <col min="11828" max="12032" width="9.140625" style="105"/>
    <col min="12033" max="12033" width="11.42578125" style="105" bestFit="1" customWidth="1"/>
    <col min="12034" max="12052" width="10.85546875" style="105" bestFit="1" customWidth="1"/>
    <col min="12053" max="12054" width="12.42578125" style="105" bestFit="1" customWidth="1"/>
    <col min="12055" max="12055" width="11" style="105" customWidth="1"/>
    <col min="12056" max="12069" width="12.7109375" style="105" customWidth="1"/>
    <col min="12070" max="12070" width="13.140625" style="105" customWidth="1"/>
    <col min="12071" max="12071" width="12.7109375" style="105" customWidth="1"/>
    <col min="12072" max="12072" width="13.7109375" style="105" customWidth="1"/>
    <col min="12073" max="12073" width="13.5703125" style="105" customWidth="1"/>
    <col min="12074" max="12074" width="13.42578125" style="105" customWidth="1"/>
    <col min="12075" max="12076" width="12.7109375" style="105" customWidth="1"/>
    <col min="12077" max="12077" width="13.85546875" style="105" customWidth="1"/>
    <col min="12078" max="12078" width="14.140625" style="105" bestFit="1" customWidth="1"/>
    <col min="12079" max="12079" width="14" style="105" bestFit="1" customWidth="1"/>
    <col min="12080" max="12080" width="18.85546875" style="105" bestFit="1" customWidth="1"/>
    <col min="12081" max="12082" width="17.140625" style="105" bestFit="1" customWidth="1"/>
    <col min="12083" max="12083" width="18.85546875" style="105" bestFit="1" customWidth="1"/>
    <col min="12084" max="12288" width="9.140625" style="105"/>
    <col min="12289" max="12289" width="11.42578125" style="105" bestFit="1" customWidth="1"/>
    <col min="12290" max="12308" width="10.85546875" style="105" bestFit="1" customWidth="1"/>
    <col min="12309" max="12310" width="12.42578125" style="105" bestFit="1" customWidth="1"/>
    <col min="12311" max="12311" width="11" style="105" customWidth="1"/>
    <col min="12312" max="12325" width="12.7109375" style="105" customWidth="1"/>
    <col min="12326" max="12326" width="13.140625" style="105" customWidth="1"/>
    <col min="12327" max="12327" width="12.7109375" style="105" customWidth="1"/>
    <col min="12328" max="12328" width="13.7109375" style="105" customWidth="1"/>
    <col min="12329" max="12329" width="13.5703125" style="105" customWidth="1"/>
    <col min="12330" max="12330" width="13.42578125" style="105" customWidth="1"/>
    <col min="12331" max="12332" width="12.7109375" style="105" customWidth="1"/>
    <col min="12333" max="12333" width="13.85546875" style="105" customWidth="1"/>
    <col min="12334" max="12334" width="14.140625" style="105" bestFit="1" customWidth="1"/>
    <col min="12335" max="12335" width="14" style="105" bestFit="1" customWidth="1"/>
    <col min="12336" max="12336" width="18.85546875" style="105" bestFit="1" customWidth="1"/>
    <col min="12337" max="12338" width="17.140625" style="105" bestFit="1" customWidth="1"/>
    <col min="12339" max="12339" width="18.85546875" style="105" bestFit="1" customWidth="1"/>
    <col min="12340" max="12544" width="9.140625" style="105"/>
    <col min="12545" max="12545" width="11.42578125" style="105" bestFit="1" customWidth="1"/>
    <col min="12546" max="12564" width="10.85546875" style="105" bestFit="1" customWidth="1"/>
    <col min="12565" max="12566" width="12.42578125" style="105" bestFit="1" customWidth="1"/>
    <col min="12567" max="12567" width="11" style="105" customWidth="1"/>
    <col min="12568" max="12581" width="12.7109375" style="105" customWidth="1"/>
    <col min="12582" max="12582" width="13.140625" style="105" customWidth="1"/>
    <col min="12583" max="12583" width="12.7109375" style="105" customWidth="1"/>
    <col min="12584" max="12584" width="13.7109375" style="105" customWidth="1"/>
    <col min="12585" max="12585" width="13.5703125" style="105" customWidth="1"/>
    <col min="12586" max="12586" width="13.42578125" style="105" customWidth="1"/>
    <col min="12587" max="12588" width="12.7109375" style="105" customWidth="1"/>
    <col min="12589" max="12589" width="13.85546875" style="105" customWidth="1"/>
    <col min="12590" max="12590" width="14.140625" style="105" bestFit="1" customWidth="1"/>
    <col min="12591" max="12591" width="14" style="105" bestFit="1" customWidth="1"/>
    <col min="12592" max="12592" width="18.85546875" style="105" bestFit="1" customWidth="1"/>
    <col min="12593" max="12594" width="17.140625" style="105" bestFit="1" customWidth="1"/>
    <col min="12595" max="12595" width="18.85546875" style="105" bestFit="1" customWidth="1"/>
    <col min="12596" max="12800" width="9.140625" style="105"/>
    <col min="12801" max="12801" width="11.42578125" style="105" bestFit="1" customWidth="1"/>
    <col min="12802" max="12820" width="10.85546875" style="105" bestFit="1" customWidth="1"/>
    <col min="12821" max="12822" width="12.42578125" style="105" bestFit="1" customWidth="1"/>
    <col min="12823" max="12823" width="11" style="105" customWidth="1"/>
    <col min="12824" max="12837" width="12.7109375" style="105" customWidth="1"/>
    <col min="12838" max="12838" width="13.140625" style="105" customWidth="1"/>
    <col min="12839" max="12839" width="12.7109375" style="105" customWidth="1"/>
    <col min="12840" max="12840" width="13.7109375" style="105" customWidth="1"/>
    <col min="12841" max="12841" width="13.5703125" style="105" customWidth="1"/>
    <col min="12842" max="12842" width="13.42578125" style="105" customWidth="1"/>
    <col min="12843" max="12844" width="12.7109375" style="105" customWidth="1"/>
    <col min="12845" max="12845" width="13.85546875" style="105" customWidth="1"/>
    <col min="12846" max="12846" width="14.140625" style="105" bestFit="1" customWidth="1"/>
    <col min="12847" max="12847" width="14" style="105" bestFit="1" customWidth="1"/>
    <col min="12848" max="12848" width="18.85546875" style="105" bestFit="1" customWidth="1"/>
    <col min="12849" max="12850" width="17.140625" style="105" bestFit="1" customWidth="1"/>
    <col min="12851" max="12851" width="18.85546875" style="105" bestFit="1" customWidth="1"/>
    <col min="12852" max="13056" width="9.140625" style="105"/>
    <col min="13057" max="13057" width="11.42578125" style="105" bestFit="1" customWidth="1"/>
    <col min="13058" max="13076" width="10.85546875" style="105" bestFit="1" customWidth="1"/>
    <col min="13077" max="13078" width="12.42578125" style="105" bestFit="1" customWidth="1"/>
    <col min="13079" max="13079" width="11" style="105" customWidth="1"/>
    <col min="13080" max="13093" width="12.7109375" style="105" customWidth="1"/>
    <col min="13094" max="13094" width="13.140625" style="105" customWidth="1"/>
    <col min="13095" max="13095" width="12.7109375" style="105" customWidth="1"/>
    <col min="13096" max="13096" width="13.7109375" style="105" customWidth="1"/>
    <col min="13097" max="13097" width="13.5703125" style="105" customWidth="1"/>
    <col min="13098" max="13098" width="13.42578125" style="105" customWidth="1"/>
    <col min="13099" max="13100" width="12.7109375" style="105" customWidth="1"/>
    <col min="13101" max="13101" width="13.85546875" style="105" customWidth="1"/>
    <col min="13102" max="13102" width="14.140625" style="105" bestFit="1" customWidth="1"/>
    <col min="13103" max="13103" width="14" style="105" bestFit="1" customWidth="1"/>
    <col min="13104" max="13104" width="18.85546875" style="105" bestFit="1" customWidth="1"/>
    <col min="13105" max="13106" width="17.140625" style="105" bestFit="1" customWidth="1"/>
    <col min="13107" max="13107" width="18.85546875" style="105" bestFit="1" customWidth="1"/>
    <col min="13108" max="13312" width="9.140625" style="105"/>
    <col min="13313" max="13313" width="11.42578125" style="105" bestFit="1" customWidth="1"/>
    <col min="13314" max="13332" width="10.85546875" style="105" bestFit="1" customWidth="1"/>
    <col min="13333" max="13334" width="12.42578125" style="105" bestFit="1" customWidth="1"/>
    <col min="13335" max="13335" width="11" style="105" customWidth="1"/>
    <col min="13336" max="13349" width="12.7109375" style="105" customWidth="1"/>
    <col min="13350" max="13350" width="13.140625" style="105" customWidth="1"/>
    <col min="13351" max="13351" width="12.7109375" style="105" customWidth="1"/>
    <col min="13352" max="13352" width="13.7109375" style="105" customWidth="1"/>
    <col min="13353" max="13353" width="13.5703125" style="105" customWidth="1"/>
    <col min="13354" max="13354" width="13.42578125" style="105" customWidth="1"/>
    <col min="13355" max="13356" width="12.7109375" style="105" customWidth="1"/>
    <col min="13357" max="13357" width="13.85546875" style="105" customWidth="1"/>
    <col min="13358" max="13358" width="14.140625" style="105" bestFit="1" customWidth="1"/>
    <col min="13359" max="13359" width="14" style="105" bestFit="1" customWidth="1"/>
    <col min="13360" max="13360" width="18.85546875" style="105" bestFit="1" customWidth="1"/>
    <col min="13361" max="13362" width="17.140625" style="105" bestFit="1" customWidth="1"/>
    <col min="13363" max="13363" width="18.85546875" style="105" bestFit="1" customWidth="1"/>
    <col min="13364" max="13568" width="9.140625" style="105"/>
    <col min="13569" max="13569" width="11.42578125" style="105" bestFit="1" customWidth="1"/>
    <col min="13570" max="13588" width="10.85546875" style="105" bestFit="1" customWidth="1"/>
    <col min="13589" max="13590" width="12.42578125" style="105" bestFit="1" customWidth="1"/>
    <col min="13591" max="13591" width="11" style="105" customWidth="1"/>
    <col min="13592" max="13605" width="12.7109375" style="105" customWidth="1"/>
    <col min="13606" max="13606" width="13.140625" style="105" customWidth="1"/>
    <col min="13607" max="13607" width="12.7109375" style="105" customWidth="1"/>
    <col min="13608" max="13608" width="13.7109375" style="105" customWidth="1"/>
    <col min="13609" max="13609" width="13.5703125" style="105" customWidth="1"/>
    <col min="13610" max="13610" width="13.42578125" style="105" customWidth="1"/>
    <col min="13611" max="13612" width="12.7109375" style="105" customWidth="1"/>
    <col min="13613" max="13613" width="13.85546875" style="105" customWidth="1"/>
    <col min="13614" max="13614" width="14.140625" style="105" bestFit="1" customWidth="1"/>
    <col min="13615" max="13615" width="14" style="105" bestFit="1" customWidth="1"/>
    <col min="13616" max="13616" width="18.85546875" style="105" bestFit="1" customWidth="1"/>
    <col min="13617" max="13618" width="17.140625" style="105" bestFit="1" customWidth="1"/>
    <col min="13619" max="13619" width="18.85546875" style="105" bestFit="1" customWidth="1"/>
    <col min="13620" max="13824" width="9.140625" style="105"/>
    <col min="13825" max="13825" width="11.42578125" style="105" bestFit="1" customWidth="1"/>
    <col min="13826" max="13844" width="10.85546875" style="105" bestFit="1" customWidth="1"/>
    <col min="13845" max="13846" width="12.42578125" style="105" bestFit="1" customWidth="1"/>
    <col min="13847" max="13847" width="11" style="105" customWidth="1"/>
    <col min="13848" max="13861" width="12.7109375" style="105" customWidth="1"/>
    <col min="13862" max="13862" width="13.140625" style="105" customWidth="1"/>
    <col min="13863" max="13863" width="12.7109375" style="105" customWidth="1"/>
    <col min="13864" max="13864" width="13.7109375" style="105" customWidth="1"/>
    <col min="13865" max="13865" width="13.5703125" style="105" customWidth="1"/>
    <col min="13866" max="13866" width="13.42578125" style="105" customWidth="1"/>
    <col min="13867" max="13868" width="12.7109375" style="105" customWidth="1"/>
    <col min="13869" max="13869" width="13.85546875" style="105" customWidth="1"/>
    <col min="13870" max="13870" width="14.140625" style="105" bestFit="1" customWidth="1"/>
    <col min="13871" max="13871" width="14" style="105" bestFit="1" customWidth="1"/>
    <col min="13872" max="13872" width="18.85546875" style="105" bestFit="1" customWidth="1"/>
    <col min="13873" max="13874" width="17.140625" style="105" bestFit="1" customWidth="1"/>
    <col min="13875" max="13875" width="18.85546875" style="105" bestFit="1" customWidth="1"/>
    <col min="13876" max="14080" width="9.140625" style="105"/>
    <col min="14081" max="14081" width="11.42578125" style="105" bestFit="1" customWidth="1"/>
    <col min="14082" max="14100" width="10.85546875" style="105" bestFit="1" customWidth="1"/>
    <col min="14101" max="14102" width="12.42578125" style="105" bestFit="1" customWidth="1"/>
    <col min="14103" max="14103" width="11" style="105" customWidth="1"/>
    <col min="14104" max="14117" width="12.7109375" style="105" customWidth="1"/>
    <col min="14118" max="14118" width="13.140625" style="105" customWidth="1"/>
    <col min="14119" max="14119" width="12.7109375" style="105" customWidth="1"/>
    <col min="14120" max="14120" width="13.7109375" style="105" customWidth="1"/>
    <col min="14121" max="14121" width="13.5703125" style="105" customWidth="1"/>
    <col min="14122" max="14122" width="13.42578125" style="105" customWidth="1"/>
    <col min="14123" max="14124" width="12.7109375" style="105" customWidth="1"/>
    <col min="14125" max="14125" width="13.85546875" style="105" customWidth="1"/>
    <col min="14126" max="14126" width="14.140625" style="105" bestFit="1" customWidth="1"/>
    <col min="14127" max="14127" width="14" style="105" bestFit="1" customWidth="1"/>
    <col min="14128" max="14128" width="18.85546875" style="105" bestFit="1" customWidth="1"/>
    <col min="14129" max="14130" width="17.140625" style="105" bestFit="1" customWidth="1"/>
    <col min="14131" max="14131" width="18.85546875" style="105" bestFit="1" customWidth="1"/>
    <col min="14132" max="14336" width="9.140625" style="105"/>
    <col min="14337" max="14337" width="11.42578125" style="105" bestFit="1" customWidth="1"/>
    <col min="14338" max="14356" width="10.85546875" style="105" bestFit="1" customWidth="1"/>
    <col min="14357" max="14358" width="12.42578125" style="105" bestFit="1" customWidth="1"/>
    <col min="14359" max="14359" width="11" style="105" customWidth="1"/>
    <col min="14360" max="14373" width="12.7109375" style="105" customWidth="1"/>
    <col min="14374" max="14374" width="13.140625" style="105" customWidth="1"/>
    <col min="14375" max="14375" width="12.7109375" style="105" customWidth="1"/>
    <col min="14376" max="14376" width="13.7109375" style="105" customWidth="1"/>
    <col min="14377" max="14377" width="13.5703125" style="105" customWidth="1"/>
    <col min="14378" max="14378" width="13.42578125" style="105" customWidth="1"/>
    <col min="14379" max="14380" width="12.7109375" style="105" customWidth="1"/>
    <col min="14381" max="14381" width="13.85546875" style="105" customWidth="1"/>
    <col min="14382" max="14382" width="14.140625" style="105" bestFit="1" customWidth="1"/>
    <col min="14383" max="14383" width="14" style="105" bestFit="1" customWidth="1"/>
    <col min="14384" max="14384" width="18.85546875" style="105" bestFit="1" customWidth="1"/>
    <col min="14385" max="14386" width="17.140625" style="105" bestFit="1" customWidth="1"/>
    <col min="14387" max="14387" width="18.85546875" style="105" bestFit="1" customWidth="1"/>
    <col min="14388" max="14592" width="9.140625" style="105"/>
    <col min="14593" max="14593" width="11.42578125" style="105" bestFit="1" customWidth="1"/>
    <col min="14594" max="14612" width="10.85546875" style="105" bestFit="1" customWidth="1"/>
    <col min="14613" max="14614" width="12.42578125" style="105" bestFit="1" customWidth="1"/>
    <col min="14615" max="14615" width="11" style="105" customWidth="1"/>
    <col min="14616" max="14629" width="12.7109375" style="105" customWidth="1"/>
    <col min="14630" max="14630" width="13.140625" style="105" customWidth="1"/>
    <col min="14631" max="14631" width="12.7109375" style="105" customWidth="1"/>
    <col min="14632" max="14632" width="13.7109375" style="105" customWidth="1"/>
    <col min="14633" max="14633" width="13.5703125" style="105" customWidth="1"/>
    <col min="14634" max="14634" width="13.42578125" style="105" customWidth="1"/>
    <col min="14635" max="14636" width="12.7109375" style="105" customWidth="1"/>
    <col min="14637" max="14637" width="13.85546875" style="105" customWidth="1"/>
    <col min="14638" max="14638" width="14.140625" style="105" bestFit="1" customWidth="1"/>
    <col min="14639" max="14639" width="14" style="105" bestFit="1" customWidth="1"/>
    <col min="14640" max="14640" width="18.85546875" style="105" bestFit="1" customWidth="1"/>
    <col min="14641" max="14642" width="17.140625" style="105" bestFit="1" customWidth="1"/>
    <col min="14643" max="14643" width="18.85546875" style="105" bestFit="1" customWidth="1"/>
    <col min="14644" max="14848" width="9.140625" style="105"/>
    <col min="14849" max="14849" width="11.42578125" style="105" bestFit="1" customWidth="1"/>
    <col min="14850" max="14868" width="10.85546875" style="105" bestFit="1" customWidth="1"/>
    <col min="14869" max="14870" width="12.42578125" style="105" bestFit="1" customWidth="1"/>
    <col min="14871" max="14871" width="11" style="105" customWidth="1"/>
    <col min="14872" max="14885" width="12.7109375" style="105" customWidth="1"/>
    <col min="14886" max="14886" width="13.140625" style="105" customWidth="1"/>
    <col min="14887" max="14887" width="12.7109375" style="105" customWidth="1"/>
    <col min="14888" max="14888" width="13.7109375" style="105" customWidth="1"/>
    <col min="14889" max="14889" width="13.5703125" style="105" customWidth="1"/>
    <col min="14890" max="14890" width="13.42578125" style="105" customWidth="1"/>
    <col min="14891" max="14892" width="12.7109375" style="105" customWidth="1"/>
    <col min="14893" max="14893" width="13.85546875" style="105" customWidth="1"/>
    <col min="14894" max="14894" width="14.140625" style="105" bestFit="1" customWidth="1"/>
    <col min="14895" max="14895" width="14" style="105" bestFit="1" customWidth="1"/>
    <col min="14896" max="14896" width="18.85546875" style="105" bestFit="1" customWidth="1"/>
    <col min="14897" max="14898" width="17.140625" style="105" bestFit="1" customWidth="1"/>
    <col min="14899" max="14899" width="18.85546875" style="105" bestFit="1" customWidth="1"/>
    <col min="14900" max="15104" width="9.140625" style="105"/>
    <col min="15105" max="15105" width="11.42578125" style="105" bestFit="1" customWidth="1"/>
    <col min="15106" max="15124" width="10.85546875" style="105" bestFit="1" customWidth="1"/>
    <col min="15125" max="15126" width="12.42578125" style="105" bestFit="1" customWidth="1"/>
    <col min="15127" max="15127" width="11" style="105" customWidth="1"/>
    <col min="15128" max="15141" width="12.7109375" style="105" customWidth="1"/>
    <col min="15142" max="15142" width="13.140625" style="105" customWidth="1"/>
    <col min="15143" max="15143" width="12.7109375" style="105" customWidth="1"/>
    <col min="15144" max="15144" width="13.7109375" style="105" customWidth="1"/>
    <col min="15145" max="15145" width="13.5703125" style="105" customWidth="1"/>
    <col min="15146" max="15146" width="13.42578125" style="105" customWidth="1"/>
    <col min="15147" max="15148" width="12.7109375" style="105" customWidth="1"/>
    <col min="15149" max="15149" width="13.85546875" style="105" customWidth="1"/>
    <col min="15150" max="15150" width="14.140625" style="105" bestFit="1" customWidth="1"/>
    <col min="15151" max="15151" width="14" style="105" bestFit="1" customWidth="1"/>
    <col min="15152" max="15152" width="18.85546875" style="105" bestFit="1" customWidth="1"/>
    <col min="15153" max="15154" width="17.140625" style="105" bestFit="1" customWidth="1"/>
    <col min="15155" max="15155" width="18.85546875" style="105" bestFit="1" customWidth="1"/>
    <col min="15156" max="15360" width="9.140625" style="105"/>
    <col min="15361" max="15361" width="11.42578125" style="105" bestFit="1" customWidth="1"/>
    <col min="15362" max="15380" width="10.85546875" style="105" bestFit="1" customWidth="1"/>
    <col min="15381" max="15382" width="12.42578125" style="105" bestFit="1" customWidth="1"/>
    <col min="15383" max="15383" width="11" style="105" customWidth="1"/>
    <col min="15384" max="15397" width="12.7109375" style="105" customWidth="1"/>
    <col min="15398" max="15398" width="13.140625" style="105" customWidth="1"/>
    <col min="15399" max="15399" width="12.7109375" style="105" customWidth="1"/>
    <col min="15400" max="15400" width="13.7109375" style="105" customWidth="1"/>
    <col min="15401" max="15401" width="13.5703125" style="105" customWidth="1"/>
    <col min="15402" max="15402" width="13.42578125" style="105" customWidth="1"/>
    <col min="15403" max="15404" width="12.7109375" style="105" customWidth="1"/>
    <col min="15405" max="15405" width="13.85546875" style="105" customWidth="1"/>
    <col min="15406" max="15406" width="14.140625" style="105" bestFit="1" customWidth="1"/>
    <col min="15407" max="15407" width="14" style="105" bestFit="1" customWidth="1"/>
    <col min="15408" max="15408" width="18.85546875" style="105" bestFit="1" customWidth="1"/>
    <col min="15409" max="15410" width="17.140625" style="105" bestFit="1" customWidth="1"/>
    <col min="15411" max="15411" width="18.85546875" style="105" bestFit="1" customWidth="1"/>
    <col min="15412" max="15616" width="9.140625" style="105"/>
    <col min="15617" max="15617" width="11.42578125" style="105" bestFit="1" customWidth="1"/>
    <col min="15618" max="15636" width="10.85546875" style="105" bestFit="1" customWidth="1"/>
    <col min="15637" max="15638" width="12.42578125" style="105" bestFit="1" customWidth="1"/>
    <col min="15639" max="15639" width="11" style="105" customWidth="1"/>
    <col min="15640" max="15653" width="12.7109375" style="105" customWidth="1"/>
    <col min="15654" max="15654" width="13.140625" style="105" customWidth="1"/>
    <col min="15655" max="15655" width="12.7109375" style="105" customWidth="1"/>
    <col min="15656" max="15656" width="13.7109375" style="105" customWidth="1"/>
    <col min="15657" max="15657" width="13.5703125" style="105" customWidth="1"/>
    <col min="15658" max="15658" width="13.42578125" style="105" customWidth="1"/>
    <col min="15659" max="15660" width="12.7109375" style="105" customWidth="1"/>
    <col min="15661" max="15661" width="13.85546875" style="105" customWidth="1"/>
    <col min="15662" max="15662" width="14.140625" style="105" bestFit="1" customWidth="1"/>
    <col min="15663" max="15663" width="14" style="105" bestFit="1" customWidth="1"/>
    <col min="15664" max="15664" width="18.85546875" style="105" bestFit="1" customWidth="1"/>
    <col min="15665" max="15666" width="17.140625" style="105" bestFit="1" customWidth="1"/>
    <col min="15667" max="15667" width="18.85546875" style="105" bestFit="1" customWidth="1"/>
    <col min="15668" max="15872" width="9.140625" style="105"/>
    <col min="15873" max="15873" width="11.42578125" style="105" bestFit="1" customWidth="1"/>
    <col min="15874" max="15892" width="10.85546875" style="105" bestFit="1" customWidth="1"/>
    <col min="15893" max="15894" width="12.42578125" style="105" bestFit="1" customWidth="1"/>
    <col min="15895" max="15895" width="11" style="105" customWidth="1"/>
    <col min="15896" max="15909" width="12.7109375" style="105" customWidth="1"/>
    <col min="15910" max="15910" width="13.140625" style="105" customWidth="1"/>
    <col min="15911" max="15911" width="12.7109375" style="105" customWidth="1"/>
    <col min="15912" max="15912" width="13.7109375" style="105" customWidth="1"/>
    <col min="15913" max="15913" width="13.5703125" style="105" customWidth="1"/>
    <col min="15914" max="15914" width="13.42578125" style="105" customWidth="1"/>
    <col min="15915" max="15916" width="12.7109375" style="105" customWidth="1"/>
    <col min="15917" max="15917" width="13.85546875" style="105" customWidth="1"/>
    <col min="15918" max="15918" width="14.140625" style="105" bestFit="1" customWidth="1"/>
    <col min="15919" max="15919" width="14" style="105" bestFit="1" customWidth="1"/>
    <col min="15920" max="15920" width="18.85546875" style="105" bestFit="1" customWidth="1"/>
    <col min="15921" max="15922" width="17.140625" style="105" bestFit="1" customWidth="1"/>
    <col min="15923" max="15923" width="18.85546875" style="105" bestFit="1" customWidth="1"/>
    <col min="15924" max="16128" width="9.140625" style="105"/>
    <col min="16129" max="16129" width="11.42578125" style="105" bestFit="1" customWidth="1"/>
    <col min="16130" max="16148" width="10.85546875" style="105" bestFit="1" customWidth="1"/>
    <col min="16149" max="16150" width="12.42578125" style="105" bestFit="1" customWidth="1"/>
    <col min="16151" max="16151" width="11" style="105" customWidth="1"/>
    <col min="16152" max="16165" width="12.7109375" style="105" customWidth="1"/>
    <col min="16166" max="16166" width="13.140625" style="105" customWidth="1"/>
    <col min="16167" max="16167" width="12.7109375" style="105" customWidth="1"/>
    <col min="16168" max="16168" width="13.7109375" style="105" customWidth="1"/>
    <col min="16169" max="16169" width="13.5703125" style="105" customWidth="1"/>
    <col min="16170" max="16170" width="13.42578125" style="105" customWidth="1"/>
    <col min="16171" max="16172" width="12.7109375" style="105" customWidth="1"/>
    <col min="16173" max="16173" width="13.85546875" style="105" customWidth="1"/>
    <col min="16174" max="16174" width="14.140625" style="105" bestFit="1" customWidth="1"/>
    <col min="16175" max="16175" width="14" style="105" bestFit="1" customWidth="1"/>
    <col min="16176" max="16176" width="18.85546875" style="105" bestFit="1" customWidth="1"/>
    <col min="16177" max="16178" width="17.140625" style="105" bestFit="1" customWidth="1"/>
    <col min="16179" max="16179" width="18.85546875" style="105" bestFit="1" customWidth="1"/>
    <col min="16180" max="16384" width="9.140625" style="105"/>
  </cols>
  <sheetData>
    <row r="1" spans="1:52" ht="24.95" customHeight="1" x14ac:dyDescent="0.25"/>
    <row r="2" spans="1:52" ht="24.95" customHeight="1" x14ac:dyDescent="0.25">
      <c r="A2" s="210" t="s">
        <v>88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0"/>
      <c r="AW2" s="210"/>
      <c r="AX2" s="210"/>
      <c r="AY2" s="210"/>
    </row>
    <row r="3" spans="1:52" ht="24.95" customHeight="1" x14ac:dyDescent="0.25">
      <c r="A3" s="210" t="s">
        <v>94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</row>
    <row r="4" spans="1:52" ht="24.95" customHeight="1" thickBot="1" x14ac:dyDescent="0.3">
      <c r="A4" s="211"/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1"/>
      <c r="AP4" s="211"/>
      <c r="AQ4" s="211"/>
      <c r="AR4" s="211"/>
      <c r="AS4" s="211"/>
      <c r="AT4" s="211"/>
      <c r="AU4" s="211"/>
      <c r="AV4" s="211"/>
      <c r="AW4" s="211"/>
      <c r="AX4" s="211"/>
      <c r="AY4" s="211"/>
    </row>
    <row r="5" spans="1:52" s="182" customFormat="1" ht="24.95" customHeight="1" thickBot="1" x14ac:dyDescent="0.3">
      <c r="A5" s="169" t="s">
        <v>40</v>
      </c>
      <c r="B5" s="169">
        <v>1974</v>
      </c>
      <c r="C5" s="169">
        <v>1975</v>
      </c>
      <c r="D5" s="169">
        <v>1976</v>
      </c>
      <c r="E5" s="169">
        <v>1977</v>
      </c>
      <c r="F5" s="169">
        <v>1978</v>
      </c>
      <c r="G5" s="169">
        <v>1979</v>
      </c>
      <c r="H5" s="169">
        <v>1980</v>
      </c>
      <c r="I5" s="169">
        <v>1981</v>
      </c>
      <c r="J5" s="169">
        <v>1982</v>
      </c>
      <c r="K5" s="169">
        <v>1983</v>
      </c>
      <c r="L5" s="169">
        <v>1984</v>
      </c>
      <c r="M5" s="169">
        <v>1985</v>
      </c>
      <c r="N5" s="169">
        <v>1986</v>
      </c>
      <c r="O5" s="169">
        <v>1987</v>
      </c>
      <c r="P5" s="169">
        <v>1988</v>
      </c>
      <c r="Q5" s="169">
        <v>1989</v>
      </c>
      <c r="R5" s="169">
        <v>1990</v>
      </c>
      <c r="S5" s="169">
        <v>1991</v>
      </c>
      <c r="T5" s="169">
        <v>1992</v>
      </c>
      <c r="U5" s="169">
        <v>1993</v>
      </c>
      <c r="V5" s="169">
        <v>1994</v>
      </c>
      <c r="W5" s="169">
        <v>1995</v>
      </c>
      <c r="X5" s="169">
        <v>1996</v>
      </c>
      <c r="Y5" s="169">
        <v>1997</v>
      </c>
      <c r="Z5" s="169">
        <v>1998</v>
      </c>
      <c r="AA5" s="169">
        <v>1999</v>
      </c>
      <c r="AB5" s="169">
        <v>2000</v>
      </c>
      <c r="AC5" s="169">
        <v>2001</v>
      </c>
      <c r="AD5" s="170">
        <v>2002</v>
      </c>
      <c r="AE5" s="170">
        <v>2003</v>
      </c>
      <c r="AF5" s="170">
        <v>2004</v>
      </c>
      <c r="AG5" s="170">
        <v>2005</v>
      </c>
      <c r="AH5" s="170">
        <v>2006</v>
      </c>
      <c r="AI5" s="170">
        <v>2007</v>
      </c>
      <c r="AJ5" s="170">
        <v>2008</v>
      </c>
      <c r="AK5" s="170">
        <v>2009</v>
      </c>
      <c r="AL5" s="170">
        <v>2010</v>
      </c>
      <c r="AM5" s="170">
        <v>2011</v>
      </c>
      <c r="AN5" s="170">
        <v>2012</v>
      </c>
      <c r="AO5" s="170">
        <v>2013</v>
      </c>
      <c r="AP5" s="170">
        <v>2014</v>
      </c>
      <c r="AQ5" s="170">
        <v>2015</v>
      </c>
      <c r="AR5" s="170">
        <v>2016</v>
      </c>
      <c r="AS5" s="170">
        <v>2017</v>
      </c>
      <c r="AT5" s="170">
        <v>2018</v>
      </c>
      <c r="AU5" s="170">
        <v>2019</v>
      </c>
      <c r="AV5" s="170">
        <v>2020</v>
      </c>
      <c r="AW5" s="170">
        <v>2021</v>
      </c>
      <c r="AX5" s="170">
        <v>2022</v>
      </c>
      <c r="AY5" s="170">
        <v>2023</v>
      </c>
    </row>
    <row r="6" spans="1:52" s="182" customFormat="1" ht="24.95" customHeight="1" x14ac:dyDescent="0.25">
      <c r="A6" s="183" t="s">
        <v>3</v>
      </c>
      <c r="B6" s="184">
        <v>0.223252314814814</v>
      </c>
      <c r="C6" s="185">
        <v>0.238335648148148</v>
      </c>
      <c r="D6" s="185">
        <v>0.25723958333333302</v>
      </c>
      <c r="E6" s="185">
        <v>0.26573032407407399</v>
      </c>
      <c r="F6" s="185">
        <v>0.288828703703703</v>
      </c>
      <c r="G6" s="185">
        <v>0.31466203703703699</v>
      </c>
      <c r="H6" s="185">
        <v>0.29074074074099998</v>
      </c>
      <c r="I6" s="185">
        <v>0.42740740740700001</v>
      </c>
      <c r="J6" s="185">
        <v>0.47083333333299998</v>
      </c>
      <c r="K6" s="185">
        <v>0.49414351851900001</v>
      </c>
      <c r="L6" s="185">
        <v>0.38745370370400001</v>
      </c>
      <c r="M6" s="185">
        <v>0.982534722222</v>
      </c>
      <c r="N6" s="185">
        <v>1.1729282407399999</v>
      </c>
      <c r="O6" s="185">
        <v>1.03262731481</v>
      </c>
      <c r="P6" s="185">
        <v>1.5914467592599999</v>
      </c>
      <c r="Q6" s="185">
        <v>2.5135300925899999</v>
      </c>
      <c r="R6" s="185">
        <v>2.9565787037037001</v>
      </c>
      <c r="S6" s="185">
        <v>6.4224537037036997</v>
      </c>
      <c r="T6" s="185">
        <v>9.00694444444445</v>
      </c>
      <c r="U6" s="185">
        <v>37.075231000000002</v>
      </c>
      <c r="V6" s="185">
        <v>144.29629629629599</v>
      </c>
      <c r="W6" s="171">
        <v>1401.3425925925901</v>
      </c>
      <c r="X6" s="171">
        <v>1267.7650462962899</v>
      </c>
      <c r="Y6" s="171">
        <v>1358.19907407407</v>
      </c>
      <c r="Z6" s="171">
        <v>1518.1099537037001</v>
      </c>
      <c r="AA6" s="171">
        <v>1875.87731481481</v>
      </c>
      <c r="AB6" s="171">
        <v>1925.58217592592</v>
      </c>
      <c r="AC6" s="171">
        <v>1992.4872685185101</v>
      </c>
      <c r="AD6" s="172">
        <v>1961</v>
      </c>
      <c r="AE6" s="172">
        <v>2219</v>
      </c>
      <c r="AF6" s="172">
        <v>1476</v>
      </c>
      <c r="AG6" s="172">
        <v>1457</v>
      </c>
      <c r="AH6" s="172">
        <v>1482</v>
      </c>
      <c r="AI6" s="172">
        <v>1318</v>
      </c>
      <c r="AJ6" s="172">
        <v>1225</v>
      </c>
      <c r="AK6" s="172">
        <v>1178</v>
      </c>
      <c r="AL6" s="172">
        <v>1185</v>
      </c>
      <c r="AM6" s="172">
        <v>1185</v>
      </c>
      <c r="AN6" s="172">
        <v>1205</v>
      </c>
      <c r="AO6" s="172">
        <v>1226</v>
      </c>
      <c r="AP6" s="172">
        <v>1222</v>
      </c>
      <c r="AQ6" s="172">
        <v>1221</v>
      </c>
      <c r="AR6" s="172">
        <v>1235</v>
      </c>
      <c r="AS6" s="172">
        <v>1292</v>
      </c>
      <c r="AT6" s="172">
        <v>1246</v>
      </c>
      <c r="AU6" s="172">
        <v>1194.798</v>
      </c>
      <c r="AV6" s="172">
        <v>1202.3352</v>
      </c>
      <c r="AW6" s="172">
        <v>1460.5</v>
      </c>
      <c r="AX6" s="172">
        <v>1479.49</v>
      </c>
      <c r="AY6" s="240">
        <v>1613.6510000000001</v>
      </c>
    </row>
    <row r="7" spans="1:52" s="182" customFormat="1" ht="24.95" customHeight="1" x14ac:dyDescent="0.25">
      <c r="A7" s="187" t="s">
        <v>4</v>
      </c>
      <c r="B7" s="188">
        <v>0.22443287037036999</v>
      </c>
      <c r="C7" s="189">
        <v>0.23968287037037</v>
      </c>
      <c r="D7" s="189">
        <v>0.258677083333333</v>
      </c>
      <c r="E7" s="189">
        <v>0.26661226851851799</v>
      </c>
      <c r="F7" s="189">
        <v>0.29113425925925901</v>
      </c>
      <c r="G7" s="189">
        <v>0.31663425925925898</v>
      </c>
      <c r="H7" s="189">
        <v>0.30518518518499999</v>
      </c>
      <c r="I7" s="189">
        <v>0.43518518518499999</v>
      </c>
      <c r="J7" s="189">
        <v>0.47249999999999998</v>
      </c>
      <c r="K7" s="189">
        <v>0.49567129629599999</v>
      </c>
      <c r="L7" s="189">
        <v>0.39217592592599998</v>
      </c>
      <c r="M7" s="189">
        <v>1.0344097222199999</v>
      </c>
      <c r="N7" s="189">
        <v>1.17216435185</v>
      </c>
      <c r="O7" s="189">
        <v>1.0383912037</v>
      </c>
      <c r="P7" s="189">
        <v>1.66179398148</v>
      </c>
      <c r="Q7" s="189">
        <v>2.59804398148</v>
      </c>
      <c r="R7" s="189">
        <v>3.0113842592592599</v>
      </c>
      <c r="S7" s="189">
        <v>6.9571759259259203</v>
      </c>
      <c r="T7" s="189">
        <v>10.2152777777777</v>
      </c>
      <c r="U7" s="189">
        <v>39.640045999999998</v>
      </c>
      <c r="V7" s="189">
        <v>182.07407407407399</v>
      </c>
      <c r="W7" s="174">
        <v>1490.7314814814799</v>
      </c>
      <c r="X7" s="174">
        <v>1231.35532407407</v>
      </c>
      <c r="Y7" s="174">
        <v>1382.2268518518499</v>
      </c>
      <c r="Z7" s="174">
        <v>1531.9363425925901</v>
      </c>
      <c r="AA7" s="174">
        <v>1902.4745370370299</v>
      </c>
      <c r="AB7" s="174">
        <v>1923.0752314814799</v>
      </c>
      <c r="AC7" s="174">
        <v>2000.5775462962899</v>
      </c>
      <c r="AD7" s="175">
        <v>1953</v>
      </c>
      <c r="AE7" s="175">
        <v>2354</v>
      </c>
      <c r="AF7" s="175">
        <v>1409</v>
      </c>
      <c r="AG7" s="175">
        <v>1461</v>
      </c>
      <c r="AH7" s="175">
        <v>1480</v>
      </c>
      <c r="AI7" s="175">
        <v>1298</v>
      </c>
      <c r="AJ7" s="175">
        <v>1225</v>
      </c>
      <c r="AK7" s="175">
        <v>1178</v>
      </c>
      <c r="AL7" s="175">
        <v>1185</v>
      </c>
      <c r="AM7" s="175">
        <v>1185</v>
      </c>
      <c r="AN7" s="175">
        <v>1236</v>
      </c>
      <c r="AO7" s="175">
        <v>1232</v>
      </c>
      <c r="AP7" s="175">
        <v>1222</v>
      </c>
      <c r="AQ7" s="175">
        <v>1241</v>
      </c>
      <c r="AR7" s="175">
        <v>1240</v>
      </c>
      <c r="AS7" s="175">
        <v>1272</v>
      </c>
      <c r="AT7" s="175">
        <v>1229</v>
      </c>
      <c r="AU7" s="175">
        <v>1193.3979999999999</v>
      </c>
      <c r="AV7" s="175">
        <v>1193.83815</v>
      </c>
      <c r="AW7" s="175">
        <v>1460.7220526315789</v>
      </c>
      <c r="AX7" s="175">
        <v>1475.096</v>
      </c>
      <c r="AY7" s="241">
        <v>1604.761</v>
      </c>
    </row>
    <row r="8" spans="1:52" s="182" customFormat="1" ht="24.95" customHeight="1" x14ac:dyDescent="0.25">
      <c r="A8" s="187" t="s">
        <v>5</v>
      </c>
      <c r="B8" s="188">
        <v>0.22562731481481399</v>
      </c>
      <c r="C8" s="189">
        <v>0.24104398148148101</v>
      </c>
      <c r="D8" s="189">
        <v>0.26005208333333302</v>
      </c>
      <c r="E8" s="189">
        <v>0.26762615740740697</v>
      </c>
      <c r="F8" s="189">
        <v>0.293412037037037</v>
      </c>
      <c r="G8" s="189">
        <v>0.318578703703703</v>
      </c>
      <c r="H8" s="189">
        <v>0.31907407407400001</v>
      </c>
      <c r="I8" s="189">
        <v>0.44240740740700002</v>
      </c>
      <c r="J8" s="189">
        <v>0.47416666666700003</v>
      </c>
      <c r="K8" s="189">
        <v>0.497060185185</v>
      </c>
      <c r="L8" s="189">
        <v>0.40162037036999998</v>
      </c>
      <c r="M8" s="189">
        <v>1.08149305556</v>
      </c>
      <c r="N8" s="189">
        <v>1.1714699074099999</v>
      </c>
      <c r="O8" s="189">
        <v>1.0499189814800001</v>
      </c>
      <c r="P8" s="189">
        <v>1.7333217592600001</v>
      </c>
      <c r="Q8" s="189">
        <v>2.6837384259300001</v>
      </c>
      <c r="R8" s="189">
        <v>3.1066620370370299</v>
      </c>
      <c r="S8" s="189">
        <v>7.5266203703703596</v>
      </c>
      <c r="T8" s="189">
        <v>11.7152777777777</v>
      </c>
      <c r="U8" s="189">
        <v>41.653939999999999</v>
      </c>
      <c r="V8" s="189">
        <v>225.62962962962899</v>
      </c>
      <c r="W8" s="174">
        <v>1568.17592592592</v>
      </c>
      <c r="X8" s="174">
        <v>1200.53587962962</v>
      </c>
      <c r="Y8" s="174">
        <v>1405.19907407407</v>
      </c>
      <c r="Z8" s="174">
        <v>1547.1724537037001</v>
      </c>
      <c r="AA8" s="174">
        <v>1926.3356481481401</v>
      </c>
      <c r="AB8" s="174">
        <v>1921.5613425925901</v>
      </c>
      <c r="AC8" s="174">
        <v>2008.34143518518</v>
      </c>
      <c r="AD8" s="175">
        <v>1955</v>
      </c>
      <c r="AE8" s="175">
        <v>2354</v>
      </c>
      <c r="AF8" s="175">
        <v>1422</v>
      </c>
      <c r="AG8" s="175">
        <v>1469</v>
      </c>
      <c r="AH8" s="175">
        <v>1480</v>
      </c>
      <c r="AI8" s="175">
        <v>1290</v>
      </c>
      <c r="AJ8" s="175">
        <v>1222</v>
      </c>
      <c r="AK8" s="175">
        <v>1178</v>
      </c>
      <c r="AL8" s="175">
        <v>1185</v>
      </c>
      <c r="AM8" s="175">
        <v>1185</v>
      </c>
      <c r="AN8" s="175">
        <v>1240</v>
      </c>
      <c r="AO8" s="175">
        <v>1255</v>
      </c>
      <c r="AP8" s="175">
        <v>1222</v>
      </c>
      <c r="AQ8" s="175">
        <v>1270</v>
      </c>
      <c r="AR8" s="175">
        <v>1261</v>
      </c>
      <c r="AS8" s="175">
        <v>1254</v>
      </c>
      <c r="AT8" s="175">
        <v>1217</v>
      </c>
      <c r="AU8" s="175">
        <v>1196.009</v>
      </c>
      <c r="AV8" s="175">
        <v>1198.534388888889</v>
      </c>
      <c r="AW8" s="175">
        <v>1460.7874999999999</v>
      </c>
      <c r="AX8" s="175">
        <v>1473.7629999999999</v>
      </c>
      <c r="AY8" s="241">
        <v>1611.7560000000001</v>
      </c>
      <c r="AZ8" s="194"/>
    </row>
    <row r="9" spans="1:52" s="182" customFormat="1" ht="24.95" customHeight="1" x14ac:dyDescent="0.25">
      <c r="A9" s="187" t="s">
        <v>6</v>
      </c>
      <c r="B9" s="188">
        <v>0.22683564814814799</v>
      </c>
      <c r="C9" s="189">
        <v>0.242418981481481</v>
      </c>
      <c r="D9" s="189">
        <v>0.26136458333333301</v>
      </c>
      <c r="E9" s="189">
        <v>0.26877199074073999</v>
      </c>
      <c r="F9" s="189">
        <v>0.29566203703703697</v>
      </c>
      <c r="G9" s="189">
        <v>0.32049537037037001</v>
      </c>
      <c r="H9" s="189">
        <v>0.33240740740699998</v>
      </c>
      <c r="I9" s="189">
        <v>0.44907407407400002</v>
      </c>
      <c r="J9" s="189">
        <v>0.47583333333299999</v>
      </c>
      <c r="K9" s="189">
        <v>0.49831018518499998</v>
      </c>
      <c r="L9" s="189">
        <v>0.41578703703699998</v>
      </c>
      <c r="M9" s="189">
        <v>1.1237847222199999</v>
      </c>
      <c r="N9" s="189">
        <v>1.17084490741</v>
      </c>
      <c r="O9" s="189">
        <v>1.0672106481500001</v>
      </c>
      <c r="P9" s="189">
        <v>1.8060300925899999</v>
      </c>
      <c r="Q9" s="189">
        <v>2.7706134259300002</v>
      </c>
      <c r="R9" s="189">
        <v>3.2424120370370302</v>
      </c>
      <c r="S9" s="189">
        <v>8.1307870370370292</v>
      </c>
      <c r="T9" s="189">
        <v>13.5069444444444</v>
      </c>
      <c r="U9" s="189">
        <v>49.966439999999999</v>
      </c>
      <c r="V9" s="189">
        <v>274.96296296296299</v>
      </c>
      <c r="W9" s="174">
        <v>1633.67592592592</v>
      </c>
      <c r="X9" s="174">
        <v>1175.3067129629601</v>
      </c>
      <c r="Y9" s="174">
        <v>1427.11574074074</v>
      </c>
      <c r="Z9" s="174">
        <v>1563.8182870370299</v>
      </c>
      <c r="AA9" s="174">
        <v>1947.4606481481401</v>
      </c>
      <c r="AB9" s="174">
        <v>1921.04050925925</v>
      </c>
      <c r="AC9" s="174">
        <v>2015.77893518518</v>
      </c>
      <c r="AD9" s="175">
        <v>1936</v>
      </c>
      <c r="AE9" s="175">
        <v>2354</v>
      </c>
      <c r="AF9" s="175">
        <v>1442</v>
      </c>
      <c r="AG9" s="175">
        <v>1474</v>
      </c>
      <c r="AH9" s="175">
        <v>1481</v>
      </c>
      <c r="AI9" s="175">
        <v>1284</v>
      </c>
      <c r="AJ9" s="175">
        <v>1216</v>
      </c>
      <c r="AK9" s="175">
        <v>1179</v>
      </c>
      <c r="AL9" s="175">
        <v>1185</v>
      </c>
      <c r="AM9" s="175">
        <v>1187</v>
      </c>
      <c r="AN9" s="175">
        <v>1263</v>
      </c>
      <c r="AO9" s="175">
        <v>1268</v>
      </c>
      <c r="AP9" s="175">
        <v>1218</v>
      </c>
      <c r="AQ9" s="175">
        <v>1297</v>
      </c>
      <c r="AR9" s="175">
        <v>1277</v>
      </c>
      <c r="AS9" s="175">
        <v>1251</v>
      </c>
      <c r="AT9" s="175">
        <v>1202</v>
      </c>
      <c r="AU9" s="175">
        <v>1194.8309999999999</v>
      </c>
      <c r="AV9" s="175">
        <v>1226.4000000000001</v>
      </c>
      <c r="AW9" s="175">
        <v>1475.6388888888889</v>
      </c>
      <c r="AX9" s="175">
        <v>1473.6189999999999</v>
      </c>
      <c r="AY9" s="241">
        <v>1598.1559999999999</v>
      </c>
    </row>
    <row r="10" spans="1:52" s="182" customFormat="1" ht="24.95" customHeight="1" x14ac:dyDescent="0.25">
      <c r="A10" s="187" t="s">
        <v>7</v>
      </c>
      <c r="B10" s="188">
        <v>0.22805787037037001</v>
      </c>
      <c r="C10" s="189">
        <v>0.24380787037036999</v>
      </c>
      <c r="D10" s="189">
        <v>0.26261458333333298</v>
      </c>
      <c r="E10" s="189">
        <v>0.27004976851851797</v>
      </c>
      <c r="F10" s="189">
        <v>0.29788425925925899</v>
      </c>
      <c r="G10" s="189">
        <v>0.32238425925925901</v>
      </c>
      <c r="H10" s="189">
        <v>0.34518518518500002</v>
      </c>
      <c r="I10" s="189">
        <v>0.45518518518500001</v>
      </c>
      <c r="J10" s="189">
        <v>0.47749999999999998</v>
      </c>
      <c r="K10" s="189">
        <v>0.49942129629600002</v>
      </c>
      <c r="L10" s="189">
        <v>0.43467592592600002</v>
      </c>
      <c r="M10" s="189">
        <v>1.16128472222</v>
      </c>
      <c r="N10" s="189">
        <v>1.1702893518499999</v>
      </c>
      <c r="O10" s="189">
        <v>1.0902662036999999</v>
      </c>
      <c r="P10" s="189">
        <v>1.8799189814799999</v>
      </c>
      <c r="Q10" s="189">
        <v>2.8586689814800001</v>
      </c>
      <c r="R10" s="189">
        <v>3.4186342592592598</v>
      </c>
      <c r="S10" s="189">
        <v>8.7696759259259203</v>
      </c>
      <c r="T10" s="189">
        <v>15.5902777777777</v>
      </c>
      <c r="U10" s="189">
        <v>54.577550000000002</v>
      </c>
      <c r="V10" s="189">
        <v>330.07407407407402</v>
      </c>
      <c r="W10" s="174">
        <v>1687.2314814814799</v>
      </c>
      <c r="X10" s="174">
        <v>1155.66782407407</v>
      </c>
      <c r="Y10" s="174">
        <v>1447.9768518518499</v>
      </c>
      <c r="Z10" s="174">
        <v>1581.8738425925901</v>
      </c>
      <c r="AA10" s="174">
        <v>1965.8495370370299</v>
      </c>
      <c r="AB10" s="174">
        <v>1921.5127314814799</v>
      </c>
      <c r="AC10" s="174">
        <v>2022.8900462962899</v>
      </c>
      <c r="AD10" s="175">
        <v>1881</v>
      </c>
      <c r="AE10" s="175">
        <v>1211</v>
      </c>
      <c r="AF10" s="175">
        <v>1462</v>
      </c>
      <c r="AG10" s="175">
        <v>1473</v>
      </c>
      <c r="AH10" s="175">
        <v>1485</v>
      </c>
      <c r="AI10" s="175">
        <v>1274</v>
      </c>
      <c r="AJ10" s="175">
        <v>1212</v>
      </c>
      <c r="AK10" s="175">
        <v>1187</v>
      </c>
      <c r="AL10" s="175">
        <v>1185</v>
      </c>
      <c r="AM10" s="175">
        <v>1196</v>
      </c>
      <c r="AN10" s="175">
        <v>1249</v>
      </c>
      <c r="AO10" s="175">
        <v>1269</v>
      </c>
      <c r="AP10" s="175">
        <v>1222</v>
      </c>
      <c r="AQ10" s="175">
        <v>1309</v>
      </c>
      <c r="AR10" s="175">
        <v>1284</v>
      </c>
      <c r="AS10" s="175">
        <v>1250</v>
      </c>
      <c r="AT10" s="175">
        <v>1200</v>
      </c>
      <c r="AU10" s="175">
        <v>1193.5029999999999</v>
      </c>
      <c r="AV10" s="175">
        <v>1227.2057333333335</v>
      </c>
      <c r="AW10" s="175">
        <v>1486.3833333333334</v>
      </c>
      <c r="AX10" s="175">
        <v>1481.1410000000001</v>
      </c>
      <c r="AY10" s="241">
        <v>1519.8150000000001</v>
      </c>
    </row>
    <row r="11" spans="1:52" s="182" customFormat="1" ht="24.95" customHeight="1" x14ac:dyDescent="0.25">
      <c r="A11" s="187" t="s">
        <v>41</v>
      </c>
      <c r="B11" s="188">
        <v>0.229293981481481</v>
      </c>
      <c r="C11" s="189">
        <v>0.245210648148148</v>
      </c>
      <c r="D11" s="189">
        <v>0.26380208333333299</v>
      </c>
      <c r="E11" s="189">
        <v>0.27145949074073999</v>
      </c>
      <c r="F11" s="189">
        <v>0.30007870370370299</v>
      </c>
      <c r="G11" s="189">
        <v>0.32424537037036999</v>
      </c>
      <c r="H11" s="189">
        <v>0.357407407407</v>
      </c>
      <c r="I11" s="189">
        <v>0.46074074074100002</v>
      </c>
      <c r="J11" s="189">
        <v>0.47916666666699997</v>
      </c>
      <c r="K11" s="189">
        <v>0.50039351851900005</v>
      </c>
      <c r="L11" s="189">
        <v>0.45828703703700002</v>
      </c>
      <c r="M11" s="189">
        <v>1.19399305556</v>
      </c>
      <c r="N11" s="189">
        <v>1.1698032407400001</v>
      </c>
      <c r="O11" s="189">
        <v>1.11908564815</v>
      </c>
      <c r="P11" s="189">
        <v>1.9549884259300001</v>
      </c>
      <c r="Q11" s="189">
        <v>2.9479050925900001</v>
      </c>
      <c r="R11" s="189">
        <v>3.6353287037037001</v>
      </c>
      <c r="S11" s="189">
        <v>9.4432870370370292</v>
      </c>
      <c r="T11" s="189">
        <v>17.9652777777777</v>
      </c>
      <c r="U11" s="189">
        <v>60.487270000000002</v>
      </c>
      <c r="V11" s="189">
        <v>390.96296296296299</v>
      </c>
      <c r="W11" s="174">
        <v>1728.8425925925901</v>
      </c>
      <c r="X11" s="174">
        <v>1141.6192129629601</v>
      </c>
      <c r="Y11" s="174">
        <v>1467.7824074073999</v>
      </c>
      <c r="Z11" s="174">
        <v>1601.33912037037</v>
      </c>
      <c r="AA11" s="174">
        <v>1981.50231481481</v>
      </c>
      <c r="AB11" s="174">
        <v>1922.97800925925</v>
      </c>
      <c r="AC11" s="174">
        <v>2029.6747685185101</v>
      </c>
      <c r="AD11" s="175">
        <v>1733</v>
      </c>
      <c r="AE11" s="175">
        <v>1470</v>
      </c>
      <c r="AF11" s="175">
        <v>1460</v>
      </c>
      <c r="AG11" s="175">
        <v>1468</v>
      </c>
      <c r="AH11" s="175">
        <v>1485</v>
      </c>
      <c r="AI11" s="175">
        <v>1269</v>
      </c>
      <c r="AJ11" s="175">
        <v>1205</v>
      </c>
      <c r="AK11" s="175">
        <v>1180</v>
      </c>
      <c r="AL11" s="175">
        <v>1185</v>
      </c>
      <c r="AM11" s="175">
        <v>1197</v>
      </c>
      <c r="AN11" s="175">
        <v>1240</v>
      </c>
      <c r="AO11" s="175">
        <v>1236</v>
      </c>
      <c r="AP11" s="175">
        <v>1213</v>
      </c>
      <c r="AQ11" s="175">
        <v>1306</v>
      </c>
      <c r="AR11" s="175">
        <v>1266</v>
      </c>
      <c r="AS11" s="175">
        <v>1248</v>
      </c>
      <c r="AT11" s="175">
        <v>1200</v>
      </c>
      <c r="AU11" s="175">
        <v>1193.991</v>
      </c>
      <c r="AV11" s="175">
        <v>1243.3260833333334</v>
      </c>
      <c r="AW11" s="175">
        <v>1486.9318181818182</v>
      </c>
      <c r="AX11" s="175">
        <v>1481.347</v>
      </c>
      <c r="AY11" s="241">
        <v>1469.883</v>
      </c>
      <c r="AZ11" s="194"/>
    </row>
    <row r="12" spans="1:52" s="182" customFormat="1" ht="24.95" customHeight="1" x14ac:dyDescent="0.25">
      <c r="A12" s="187" t="s">
        <v>42</v>
      </c>
      <c r="B12" s="188">
        <v>0.230543981481481</v>
      </c>
      <c r="C12" s="189">
        <v>0.24662731481481401</v>
      </c>
      <c r="D12" s="189">
        <v>0.26492708333333298</v>
      </c>
      <c r="E12" s="189">
        <v>0.27300115740740699</v>
      </c>
      <c r="F12" s="189">
        <v>0.30224537037037003</v>
      </c>
      <c r="G12" s="189">
        <v>0.32607870370370301</v>
      </c>
      <c r="H12" s="189">
        <v>0.369074074074</v>
      </c>
      <c r="I12" s="189">
        <v>0.46574074074100003</v>
      </c>
      <c r="J12" s="189">
        <v>0.48083333333299999</v>
      </c>
      <c r="K12" s="189">
        <v>0.501226851852</v>
      </c>
      <c r="L12" s="189">
        <v>0.48662037037</v>
      </c>
      <c r="M12" s="189">
        <v>1.2219097222199999</v>
      </c>
      <c r="N12" s="189">
        <v>1.16938657407</v>
      </c>
      <c r="O12" s="189">
        <v>1.1536689814800001</v>
      </c>
      <c r="P12" s="189">
        <v>2.0312384259299998</v>
      </c>
      <c r="Q12" s="189">
        <v>3.03832175926</v>
      </c>
      <c r="R12" s="189">
        <v>3.8924953703703702</v>
      </c>
      <c r="S12" s="189">
        <v>10.151620370370299</v>
      </c>
      <c r="T12" s="189">
        <v>20.6319444444444</v>
      </c>
      <c r="U12" s="189">
        <v>68.695599999999999</v>
      </c>
      <c r="V12" s="189">
        <v>457.62962962962899</v>
      </c>
      <c r="W12" s="174">
        <v>1758.50925925926</v>
      </c>
      <c r="X12" s="174">
        <v>1133.16087962962</v>
      </c>
      <c r="Y12" s="174">
        <v>1486.5324074073999</v>
      </c>
      <c r="Z12" s="174">
        <v>1622.21412037037</v>
      </c>
      <c r="AA12" s="174">
        <v>1994.4189814814799</v>
      </c>
      <c r="AB12" s="174">
        <v>1925.4363425925901</v>
      </c>
      <c r="AC12" s="174">
        <v>2036.1331018518499</v>
      </c>
      <c r="AD12" s="175">
        <v>1854</v>
      </c>
      <c r="AE12" s="175">
        <v>1505</v>
      </c>
      <c r="AF12" s="175">
        <v>1463</v>
      </c>
      <c r="AG12" s="175">
        <v>1475</v>
      </c>
      <c r="AH12" s="175">
        <v>1486</v>
      </c>
      <c r="AI12" s="175">
        <v>1260</v>
      </c>
      <c r="AJ12" s="175">
        <v>1202</v>
      </c>
      <c r="AK12" s="175">
        <v>1184</v>
      </c>
      <c r="AL12" s="175">
        <v>1185</v>
      </c>
      <c r="AM12" s="175">
        <v>1197</v>
      </c>
      <c r="AN12" s="175">
        <v>1254</v>
      </c>
      <c r="AO12" s="175">
        <v>1217</v>
      </c>
      <c r="AP12" s="175">
        <v>1215</v>
      </c>
      <c r="AQ12" s="175">
        <v>1231</v>
      </c>
      <c r="AR12" s="175">
        <v>1273</v>
      </c>
      <c r="AS12" s="175">
        <v>1258</v>
      </c>
      <c r="AT12" s="175">
        <v>1201</v>
      </c>
      <c r="AU12" s="175">
        <v>1194.8239999999998</v>
      </c>
      <c r="AV12" s="175">
        <v>1230.0067142857142</v>
      </c>
      <c r="AW12" s="175">
        <v>1473.0372142857141</v>
      </c>
      <c r="AX12" s="175">
        <v>1479.5940000000001</v>
      </c>
      <c r="AY12" s="241">
        <v>1500.3689999999999</v>
      </c>
    </row>
    <row r="13" spans="1:52" s="182" customFormat="1" ht="24.95" customHeight="1" x14ac:dyDescent="0.25">
      <c r="A13" s="187" t="s">
        <v>10</v>
      </c>
      <c r="B13" s="188">
        <v>0.23180787037037001</v>
      </c>
      <c r="C13" s="189">
        <v>0.24805787037037</v>
      </c>
      <c r="D13" s="189">
        <v>0.265989583333333</v>
      </c>
      <c r="E13" s="189">
        <v>0.27467476851851802</v>
      </c>
      <c r="F13" s="189">
        <v>0.30438425925925899</v>
      </c>
      <c r="G13" s="189">
        <v>0.32788425925925901</v>
      </c>
      <c r="H13" s="189">
        <v>0.380185185185</v>
      </c>
      <c r="I13" s="189">
        <v>0.47018518518500002</v>
      </c>
      <c r="J13" s="189">
        <v>0.48249999999999998</v>
      </c>
      <c r="K13" s="189">
        <v>0.50192129629600002</v>
      </c>
      <c r="L13" s="189">
        <v>0.51967592592599998</v>
      </c>
      <c r="M13" s="189">
        <v>1.24503472222</v>
      </c>
      <c r="N13" s="189">
        <v>1.16903935185</v>
      </c>
      <c r="O13" s="189">
        <v>1.1940162036999999</v>
      </c>
      <c r="P13" s="189">
        <v>2.1086689814800001</v>
      </c>
      <c r="Q13" s="189">
        <v>3.1299189814799999</v>
      </c>
      <c r="R13" s="189">
        <v>4.1901342592592599</v>
      </c>
      <c r="S13" s="189">
        <v>10.894675925925901</v>
      </c>
      <c r="T13" s="189">
        <v>23.5902777777777</v>
      </c>
      <c r="U13" s="189">
        <v>79.202550000000002</v>
      </c>
      <c r="V13" s="189">
        <v>530.07407407407402</v>
      </c>
      <c r="W13" s="174">
        <v>1776.2314814814799</v>
      </c>
      <c r="X13" s="174">
        <v>1130.29282407407</v>
      </c>
      <c r="Y13" s="174">
        <v>1504.2268518518499</v>
      </c>
      <c r="Z13" s="174">
        <v>1644.4988425925901</v>
      </c>
      <c r="AA13" s="174">
        <v>2004.5995370370299</v>
      </c>
      <c r="AB13" s="174">
        <v>1928.8877314814799</v>
      </c>
      <c r="AC13" s="174">
        <v>2042.2650462962899</v>
      </c>
      <c r="AD13" s="175">
        <v>1946</v>
      </c>
      <c r="AE13" s="175">
        <v>1755</v>
      </c>
      <c r="AF13" s="175">
        <v>1463</v>
      </c>
      <c r="AG13" s="175">
        <v>1480</v>
      </c>
      <c r="AH13" s="175">
        <v>1488</v>
      </c>
      <c r="AI13" s="175">
        <v>1253</v>
      </c>
      <c r="AJ13" s="175">
        <v>1196</v>
      </c>
      <c r="AK13" s="175">
        <v>1184</v>
      </c>
      <c r="AL13" s="175">
        <v>1185</v>
      </c>
      <c r="AM13" s="175">
        <v>1199</v>
      </c>
      <c r="AN13" s="175">
        <v>1248</v>
      </c>
      <c r="AO13" s="175">
        <v>1209</v>
      </c>
      <c r="AP13" s="175">
        <v>1213</v>
      </c>
      <c r="AQ13" s="175">
        <v>1217</v>
      </c>
      <c r="AR13" s="175">
        <v>1281</v>
      </c>
      <c r="AS13" s="175">
        <v>1254</v>
      </c>
      <c r="AT13" s="175">
        <v>1206</v>
      </c>
      <c r="AU13" s="175">
        <v>1198.9714999999999</v>
      </c>
      <c r="AV13" s="175">
        <v>1223.0858000000001</v>
      </c>
      <c r="AW13" s="175">
        <v>1475.1440476190478</v>
      </c>
      <c r="AX13" s="175">
        <v>1476.5440000000001</v>
      </c>
      <c r="AY13" s="241"/>
    </row>
    <row r="14" spans="1:52" s="182" customFormat="1" ht="24.95" customHeight="1" x14ac:dyDescent="0.25">
      <c r="A14" s="187" t="s">
        <v>11</v>
      </c>
      <c r="B14" s="188">
        <v>0.233085648148148</v>
      </c>
      <c r="C14" s="189">
        <v>0.249502314814814</v>
      </c>
      <c r="D14" s="189">
        <v>0.266989583333333</v>
      </c>
      <c r="E14" s="189">
        <v>0.27648032407407402</v>
      </c>
      <c r="F14" s="189">
        <v>0.30649537037037</v>
      </c>
      <c r="G14" s="189">
        <v>0.329662037037037</v>
      </c>
      <c r="H14" s="189">
        <v>0.39074074074100001</v>
      </c>
      <c r="I14" s="189">
        <v>0.47407407407399998</v>
      </c>
      <c r="J14" s="189">
        <v>0.48416666666699998</v>
      </c>
      <c r="K14" s="189">
        <v>0.50247685185199997</v>
      </c>
      <c r="L14" s="189">
        <v>0.55745370370400005</v>
      </c>
      <c r="M14" s="189">
        <v>1.26336805556</v>
      </c>
      <c r="N14" s="189">
        <v>1.1687615740699999</v>
      </c>
      <c r="O14" s="189">
        <v>1.24012731481</v>
      </c>
      <c r="P14" s="189">
        <v>2.18728009259</v>
      </c>
      <c r="Q14" s="189">
        <v>3.2226967592600002</v>
      </c>
      <c r="R14" s="189">
        <v>4.52824537037037</v>
      </c>
      <c r="S14" s="189">
        <v>11.672453703703701</v>
      </c>
      <c r="T14" s="189">
        <v>26.8402777777777</v>
      </c>
      <c r="U14" s="189">
        <v>97.008099999999999</v>
      </c>
      <c r="V14" s="189">
        <v>608.29629629629596</v>
      </c>
      <c r="W14" s="174">
        <v>1782.00925925925</v>
      </c>
      <c r="X14" s="174">
        <v>1133.0150462962899</v>
      </c>
      <c r="Y14" s="174">
        <v>1520.86574074074</v>
      </c>
      <c r="Z14" s="174">
        <v>1668.1932870370299</v>
      </c>
      <c r="AA14" s="174">
        <v>2012.0439814814799</v>
      </c>
      <c r="AB14" s="174">
        <v>1933.33217592592</v>
      </c>
      <c r="AC14" s="174">
        <v>2048.0706018518499</v>
      </c>
      <c r="AD14" s="175">
        <v>1991</v>
      </c>
      <c r="AE14" s="175">
        <v>2185</v>
      </c>
      <c r="AF14" s="175">
        <v>1463</v>
      </c>
      <c r="AG14" s="175">
        <v>1481</v>
      </c>
      <c r="AH14" s="175">
        <v>1488</v>
      </c>
      <c r="AI14" s="175">
        <v>1249</v>
      </c>
      <c r="AJ14" s="175">
        <v>1188</v>
      </c>
      <c r="AK14" s="175">
        <v>1183</v>
      </c>
      <c r="AL14" s="175">
        <v>1185</v>
      </c>
      <c r="AM14" s="175">
        <v>1200</v>
      </c>
      <c r="AN14" s="175">
        <v>1228</v>
      </c>
      <c r="AO14" s="175">
        <v>1211</v>
      </c>
      <c r="AP14" s="175">
        <v>1204</v>
      </c>
      <c r="AQ14" s="175">
        <v>1222</v>
      </c>
      <c r="AR14" s="175">
        <v>1289</v>
      </c>
      <c r="AS14" s="175">
        <v>1255</v>
      </c>
      <c r="AT14" s="175">
        <v>1206</v>
      </c>
      <c r="AU14" s="175">
        <v>1194.873</v>
      </c>
      <c r="AV14" s="175">
        <v>1221.6089545454547</v>
      </c>
      <c r="AW14" s="175">
        <v>1470.5649047619049</v>
      </c>
      <c r="AX14" s="175">
        <v>1475.914</v>
      </c>
      <c r="AY14" s="241"/>
      <c r="AZ14" s="194"/>
    </row>
    <row r="15" spans="1:52" s="182" customFormat="1" ht="24.95" customHeight="1" x14ac:dyDescent="0.25">
      <c r="A15" s="187" t="s">
        <v>12</v>
      </c>
      <c r="B15" s="188">
        <v>0.234377314814814</v>
      </c>
      <c r="C15" s="189">
        <v>0.250960648148148</v>
      </c>
      <c r="D15" s="189">
        <v>0.26792708333333298</v>
      </c>
      <c r="E15" s="189">
        <v>0.27841782407407401</v>
      </c>
      <c r="F15" s="189">
        <v>0.30857870370370299</v>
      </c>
      <c r="G15" s="189">
        <v>0.33141203703703698</v>
      </c>
      <c r="H15" s="189">
        <v>0.40074074074100002</v>
      </c>
      <c r="I15" s="189">
        <v>0.477407407407</v>
      </c>
      <c r="J15" s="189">
        <v>0.48583333333299999</v>
      </c>
      <c r="K15" s="189">
        <v>0.50289351851899999</v>
      </c>
      <c r="L15" s="189">
        <v>0.59995370370400003</v>
      </c>
      <c r="M15" s="189">
        <v>1.2769097222200001</v>
      </c>
      <c r="N15" s="189">
        <v>1.1685532407400001</v>
      </c>
      <c r="O15" s="189">
        <v>1.2920023148099999</v>
      </c>
      <c r="P15" s="189">
        <v>2.2670717592599998</v>
      </c>
      <c r="Q15" s="189">
        <v>3.31665509259</v>
      </c>
      <c r="R15" s="189">
        <v>4.9068287037036997</v>
      </c>
      <c r="S15" s="189">
        <v>12.484953703703701</v>
      </c>
      <c r="T15" s="189">
        <v>30.3819444444444</v>
      </c>
      <c r="U15" s="189">
        <v>105.1123</v>
      </c>
      <c r="V15" s="189">
        <v>692.29629629629596</v>
      </c>
      <c r="W15" s="174">
        <v>1775.8425925925901</v>
      </c>
      <c r="X15" s="174">
        <v>1141.3275462962899</v>
      </c>
      <c r="Y15" s="174">
        <v>1536.44907407407</v>
      </c>
      <c r="Z15" s="174">
        <v>1693.2974537037001</v>
      </c>
      <c r="AA15" s="174">
        <v>2016.75231481481</v>
      </c>
      <c r="AB15" s="174">
        <v>1938.76967592592</v>
      </c>
      <c r="AC15" s="174">
        <v>2053.5497685185101</v>
      </c>
      <c r="AD15" s="175">
        <v>2016</v>
      </c>
      <c r="AE15" s="175">
        <v>2010</v>
      </c>
      <c r="AF15" s="175">
        <v>1463</v>
      </c>
      <c r="AG15" s="175">
        <v>1476</v>
      </c>
      <c r="AH15" s="175">
        <v>1485</v>
      </c>
      <c r="AI15" s="175">
        <v>1245</v>
      </c>
      <c r="AJ15" s="175">
        <v>1185</v>
      </c>
      <c r="AK15" s="175">
        <v>1183</v>
      </c>
      <c r="AL15" s="175">
        <v>1185</v>
      </c>
      <c r="AM15" s="175">
        <v>1200</v>
      </c>
      <c r="AN15" s="175">
        <v>1200</v>
      </c>
      <c r="AO15" s="175">
        <v>1220</v>
      </c>
      <c r="AP15" s="175">
        <v>1207</v>
      </c>
      <c r="AQ15" s="175">
        <v>1220</v>
      </c>
      <c r="AR15" s="175">
        <v>1298</v>
      </c>
      <c r="AS15" s="175">
        <v>1259</v>
      </c>
      <c r="AT15" s="175">
        <v>1205</v>
      </c>
      <c r="AU15" s="175">
        <v>1195.6252727272729</v>
      </c>
      <c r="AV15" s="175">
        <v>1241.4231578947367</v>
      </c>
      <c r="AW15" s="175">
        <v>1481.0597777777775</v>
      </c>
      <c r="AX15" s="175">
        <v>1475.1679999999999</v>
      </c>
      <c r="AY15" s="241"/>
    </row>
    <row r="16" spans="1:52" s="182" customFormat="1" ht="24.95" customHeight="1" x14ac:dyDescent="0.25">
      <c r="A16" s="187" t="s">
        <v>21</v>
      </c>
      <c r="B16" s="188">
        <v>0.23568287037037</v>
      </c>
      <c r="C16" s="189">
        <v>0.25243287037036999</v>
      </c>
      <c r="D16" s="189">
        <v>0.268802083333333</v>
      </c>
      <c r="E16" s="189">
        <v>0.28048726851851802</v>
      </c>
      <c r="F16" s="189">
        <v>0.31063425925925903</v>
      </c>
      <c r="G16" s="189">
        <v>0.33313425925925899</v>
      </c>
      <c r="H16" s="189">
        <v>0.41018518518500002</v>
      </c>
      <c r="I16" s="189">
        <v>0.48018518518499997</v>
      </c>
      <c r="J16" s="189">
        <v>0.48749999999999999</v>
      </c>
      <c r="K16" s="189">
        <v>0.50317129629599999</v>
      </c>
      <c r="L16" s="189">
        <v>0.64717592592600004</v>
      </c>
      <c r="M16" s="189">
        <v>1.2856597222199999</v>
      </c>
      <c r="N16" s="189">
        <v>1.1684143518500001</v>
      </c>
      <c r="O16" s="189">
        <v>1.3496412037000001</v>
      </c>
      <c r="P16" s="189">
        <v>2.34804398148</v>
      </c>
      <c r="Q16" s="189">
        <v>3.4117939814799998</v>
      </c>
      <c r="R16" s="189">
        <v>5.3258842592592597</v>
      </c>
      <c r="S16" s="189">
        <v>13.332175925925901</v>
      </c>
      <c r="T16" s="189">
        <v>34.2152777777778</v>
      </c>
      <c r="U16" s="189">
        <v>114.515</v>
      </c>
      <c r="V16" s="189">
        <v>782.07407407407402</v>
      </c>
      <c r="W16" s="174">
        <v>1757.7314814814799</v>
      </c>
      <c r="X16" s="174">
        <v>1155.23032407407</v>
      </c>
      <c r="Y16" s="174">
        <v>1550.9768518518499</v>
      </c>
      <c r="Z16" s="174">
        <v>1719.8113425925901</v>
      </c>
      <c r="AA16" s="174">
        <v>2018.7245370370299</v>
      </c>
      <c r="AB16" s="174">
        <v>1945.2002314814799</v>
      </c>
      <c r="AC16" s="174">
        <v>2058.7025462962902</v>
      </c>
      <c r="AD16" s="175">
        <v>2026</v>
      </c>
      <c r="AE16" s="175">
        <v>1998</v>
      </c>
      <c r="AF16" s="175">
        <v>1463</v>
      </c>
      <c r="AG16" s="175">
        <v>1477</v>
      </c>
      <c r="AH16" s="175">
        <v>1463</v>
      </c>
      <c r="AI16" s="175">
        <v>1240</v>
      </c>
      <c r="AJ16" s="175">
        <v>1183</v>
      </c>
      <c r="AK16" s="175">
        <v>1183</v>
      </c>
      <c r="AL16" s="175">
        <v>1185</v>
      </c>
      <c r="AM16" s="175">
        <v>1200</v>
      </c>
      <c r="AN16" s="175">
        <v>1207</v>
      </c>
      <c r="AO16" s="175">
        <v>1218</v>
      </c>
      <c r="AP16" s="175">
        <v>1200</v>
      </c>
      <c r="AQ16" s="175">
        <v>1219</v>
      </c>
      <c r="AR16" s="175">
        <v>1296</v>
      </c>
      <c r="AS16" s="175">
        <v>1253</v>
      </c>
      <c r="AT16" s="175">
        <v>1199.7760000000001</v>
      </c>
      <c r="AU16" s="175">
        <v>1201.0852500000001</v>
      </c>
      <c r="AV16" s="175">
        <v>1248.6151363636363</v>
      </c>
      <c r="AW16" s="175">
        <v>1480.7807727272725</v>
      </c>
      <c r="AX16" s="175">
        <v>1484.175</v>
      </c>
      <c r="AY16" s="241"/>
    </row>
    <row r="17" spans="1:52" s="182" customFormat="1" ht="24.95" customHeight="1" thickBot="1" x14ac:dyDescent="0.3">
      <c r="A17" s="190" t="s">
        <v>14</v>
      </c>
      <c r="B17" s="191">
        <v>0.23700231481481401</v>
      </c>
      <c r="C17" s="192">
        <v>0.25391898148148101</v>
      </c>
      <c r="D17" s="192">
        <v>0.26961458333333299</v>
      </c>
      <c r="E17" s="192">
        <v>0.28268865740740701</v>
      </c>
      <c r="F17" s="192">
        <v>0.31266203703703699</v>
      </c>
      <c r="G17" s="192">
        <v>0.33482870370370299</v>
      </c>
      <c r="H17" s="192">
        <v>0.41907407407399999</v>
      </c>
      <c r="I17" s="192">
        <v>0.482407407407</v>
      </c>
      <c r="J17" s="192">
        <v>0.48916666666699998</v>
      </c>
      <c r="K17" s="192">
        <v>0.50331018518500004</v>
      </c>
      <c r="L17" s="192">
        <v>0.69912037036999997</v>
      </c>
      <c r="M17" s="192">
        <v>1.2896180555600001</v>
      </c>
      <c r="N17" s="192">
        <v>1.1683449074100001</v>
      </c>
      <c r="O17" s="192">
        <v>1.41304398148</v>
      </c>
      <c r="P17" s="192">
        <v>2.4301967592599998</v>
      </c>
      <c r="Q17" s="192">
        <v>3.50811342593</v>
      </c>
      <c r="R17" s="192">
        <v>5.7854120370370401</v>
      </c>
      <c r="S17" s="192">
        <v>14.214120370370299</v>
      </c>
      <c r="T17" s="192">
        <v>38.3402777777777</v>
      </c>
      <c r="U17" s="192">
        <v>140.21639999999999</v>
      </c>
      <c r="V17" s="192">
        <v>877.62962962963002</v>
      </c>
      <c r="W17" s="179">
        <v>1727.67592592592</v>
      </c>
      <c r="X17" s="179">
        <v>1174.72337962963</v>
      </c>
      <c r="Y17" s="179">
        <v>1564.44907407407</v>
      </c>
      <c r="Z17" s="179">
        <v>1747.7349537037001</v>
      </c>
      <c r="AA17" s="179">
        <v>2017.9606481481401</v>
      </c>
      <c r="AB17" s="179">
        <v>1952.6238425925901</v>
      </c>
      <c r="AC17" s="179">
        <v>2063.5289351851802</v>
      </c>
      <c r="AD17" s="179">
        <v>2114</v>
      </c>
      <c r="AE17" s="180">
        <v>1772</v>
      </c>
      <c r="AF17" s="180">
        <v>1462</v>
      </c>
      <c r="AG17" s="180">
        <v>1478</v>
      </c>
      <c r="AH17" s="180">
        <v>1396</v>
      </c>
      <c r="AI17" s="180">
        <v>1214</v>
      </c>
      <c r="AJ17" s="180">
        <v>1180</v>
      </c>
      <c r="AK17" s="180">
        <v>1185</v>
      </c>
      <c r="AL17" s="180">
        <v>1185</v>
      </c>
      <c r="AM17" s="180">
        <v>1217</v>
      </c>
      <c r="AN17" s="180">
        <v>1222</v>
      </c>
      <c r="AO17" s="180">
        <v>1222</v>
      </c>
      <c r="AP17" s="180">
        <v>1206</v>
      </c>
      <c r="AQ17" s="180">
        <v>1216</v>
      </c>
      <c r="AR17" s="180">
        <v>1303</v>
      </c>
      <c r="AS17" s="180">
        <v>1251</v>
      </c>
      <c r="AT17" s="180">
        <v>1195.3117000000002</v>
      </c>
      <c r="AU17" s="180">
        <v>1201.7066818181816</v>
      </c>
      <c r="AV17" s="180">
        <v>1351.3489545454547</v>
      </c>
      <c r="AW17" s="180">
        <v>1477.1029047619045</v>
      </c>
      <c r="AX17" s="180">
        <v>1530.1469999999999</v>
      </c>
      <c r="AY17" s="242"/>
      <c r="AZ17" s="194"/>
    </row>
    <row r="18" spans="1:52" s="182" customFormat="1" ht="18.75" thickBot="1" x14ac:dyDescent="0.3">
      <c r="A18" s="200" t="s">
        <v>43</v>
      </c>
      <c r="B18" s="201">
        <f>AVERAGE(B6:B17)</f>
        <v>0.22999999999999951</v>
      </c>
      <c r="C18" s="201">
        <f t="shared" ref="C18:Y18" si="0">AVERAGE(C6:C17)</f>
        <v>0.24599999999999958</v>
      </c>
      <c r="D18" s="201">
        <f t="shared" si="0"/>
        <v>0.26399999999999962</v>
      </c>
      <c r="E18" s="201">
        <f t="shared" si="0"/>
        <v>0.27299999999999958</v>
      </c>
      <c r="F18" s="201">
        <f t="shared" si="0"/>
        <v>0.30099999999999966</v>
      </c>
      <c r="G18" s="201">
        <f t="shared" si="0"/>
        <v>0.32499999999999968</v>
      </c>
      <c r="H18" s="201">
        <f t="shared" si="0"/>
        <v>0.35999999999991666</v>
      </c>
      <c r="I18" s="201">
        <f t="shared" si="0"/>
        <v>0.45999999999983338</v>
      </c>
      <c r="J18" s="201">
        <f t="shared" si="0"/>
        <v>0.48</v>
      </c>
      <c r="K18" s="201">
        <f t="shared" si="0"/>
        <v>0.5</v>
      </c>
      <c r="L18" s="201">
        <f t="shared" si="0"/>
        <v>0.49999999999999994</v>
      </c>
      <c r="M18" s="201">
        <f t="shared" si="0"/>
        <v>1.1800000000001669</v>
      </c>
      <c r="N18" s="201">
        <f t="shared" si="0"/>
        <v>1.1699999999991668</v>
      </c>
      <c r="O18" s="201">
        <f t="shared" si="0"/>
        <v>1.1699999999974999</v>
      </c>
      <c r="P18" s="201">
        <f t="shared" si="0"/>
        <v>2</v>
      </c>
      <c r="Q18" s="201">
        <f t="shared" si="0"/>
        <v>3</v>
      </c>
      <c r="R18" s="201">
        <f t="shared" si="0"/>
        <v>3.9999999999999987</v>
      </c>
      <c r="S18" s="201">
        <f t="shared" si="0"/>
        <v>9.9999999999999787</v>
      </c>
      <c r="T18" s="201">
        <f t="shared" si="0"/>
        <v>20.999999999999947</v>
      </c>
      <c r="U18" s="201">
        <f t="shared" si="0"/>
        <v>74.012535583333332</v>
      </c>
      <c r="V18" s="201">
        <f t="shared" si="0"/>
        <v>457.99999999999983</v>
      </c>
      <c r="W18" s="202">
        <f t="shared" si="0"/>
        <v>1673.999999999997</v>
      </c>
      <c r="X18" s="202">
        <f t="shared" si="0"/>
        <v>1169.9999999999948</v>
      </c>
      <c r="Y18" s="202">
        <f t="shared" si="0"/>
        <v>1470.9999999999966</v>
      </c>
      <c r="Z18" s="202">
        <f>AVERAGE(Z6:Z17)</f>
        <v>1619.9999999999966</v>
      </c>
      <c r="AA18" s="202">
        <f>AVERAGE(AA6:AA17)</f>
        <v>1971.9999999999939</v>
      </c>
      <c r="AB18" s="202">
        <f>AVERAGE(AB6:AB17)</f>
        <v>1929.9999999999957</v>
      </c>
      <c r="AC18" s="202">
        <f>AVERAGE(AC6:AC17)</f>
        <v>2030.9999999999943</v>
      </c>
      <c r="AD18" s="202">
        <f>AVERAGE(AD6:AD17)</f>
        <v>1947.1666666666667</v>
      </c>
      <c r="AE18" s="203">
        <f t="shared" ref="AE18" si="1">AVERAGE(AE6:AE17)</f>
        <v>1932.25</v>
      </c>
      <c r="AF18" s="203">
        <f>AVERAGE(AF6:AF17)</f>
        <v>1454</v>
      </c>
      <c r="AG18" s="203">
        <f t="shared" ref="AG18:AS18" si="2">AVERAGE(AG6:AG17)</f>
        <v>1472.4166666666667</v>
      </c>
      <c r="AH18" s="203">
        <f t="shared" si="2"/>
        <v>1474.9166666666667</v>
      </c>
      <c r="AI18" s="203">
        <f t="shared" si="2"/>
        <v>1266.1666666666667</v>
      </c>
      <c r="AJ18" s="203">
        <f t="shared" si="2"/>
        <v>1203.25</v>
      </c>
      <c r="AK18" s="203">
        <f t="shared" si="2"/>
        <v>1181.8333333333333</v>
      </c>
      <c r="AL18" s="203">
        <f t="shared" si="2"/>
        <v>1185</v>
      </c>
      <c r="AM18" s="203">
        <f t="shared" si="2"/>
        <v>1195.6666666666667</v>
      </c>
      <c r="AN18" s="203">
        <f t="shared" si="2"/>
        <v>1232.6666666666667</v>
      </c>
      <c r="AO18" s="203">
        <f t="shared" si="2"/>
        <v>1231.9166666666667</v>
      </c>
      <c r="AP18" s="203">
        <f t="shared" si="2"/>
        <v>1213.6666666666667</v>
      </c>
      <c r="AQ18" s="203">
        <f t="shared" si="2"/>
        <v>1247.4166666666667</v>
      </c>
      <c r="AR18" s="203">
        <f t="shared" si="2"/>
        <v>1275.25</v>
      </c>
      <c r="AS18" s="203">
        <f t="shared" si="2"/>
        <v>1258.0833333333333</v>
      </c>
      <c r="AT18" s="203">
        <f>AVERAGE(AT6:AT17)</f>
        <v>1208.9239749999999</v>
      </c>
      <c r="AU18" s="203">
        <f>AVERAGE(AU6:AU17)</f>
        <v>1196.1346420454545</v>
      </c>
      <c r="AV18" s="203">
        <f>AVERAGE(AV6:AV17)</f>
        <v>1233.9773560992128</v>
      </c>
      <c r="AW18" s="203">
        <f>AVERAGE(AW6:AW17)</f>
        <v>1474.0544345807696</v>
      </c>
      <c r="AX18" s="203">
        <f t="shared" ref="AX18:AY18" si="3">AVERAGE(AX6:AX17)</f>
        <v>1482.1665</v>
      </c>
      <c r="AY18" s="203">
        <f t="shared" si="3"/>
        <v>1559.7701428571431</v>
      </c>
    </row>
    <row r="20" spans="1:52" x14ac:dyDescent="0.25">
      <c r="A20" s="209" t="s">
        <v>86</v>
      </c>
      <c r="B20" s="209"/>
      <c r="C20" s="209"/>
      <c r="D20" s="209"/>
      <c r="E20" s="209"/>
      <c r="F20" s="209"/>
      <c r="AP20" s="107"/>
      <c r="AQ20" s="107"/>
      <c r="AR20" s="107"/>
      <c r="AS20" s="107"/>
      <c r="AT20" s="107"/>
      <c r="AU20" s="212" t="s">
        <v>87</v>
      </c>
      <c r="AV20" s="212"/>
      <c r="AW20" s="212"/>
      <c r="AX20" s="212"/>
      <c r="AY20" s="212"/>
      <c r="AZ20" s="107"/>
    </row>
  </sheetData>
  <mergeCells count="5">
    <mergeCell ref="A20:F20"/>
    <mergeCell ref="A2:AY2"/>
    <mergeCell ref="A3:AY3"/>
    <mergeCell ref="A4:AY4"/>
    <mergeCell ref="AU20:AY20"/>
  </mergeCells>
  <pageMargins left="0.70866141732283505" right="0.70866141732283505" top="0.74803040244969399" bottom="0.74803040244969399" header="0.31496062992126" footer="0.31496062992126"/>
  <pageSetup scale="1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724E-F92D-4C02-BE6A-1425D03BA67D}">
  <dimension ref="A1:V20"/>
  <sheetViews>
    <sheetView view="pageBreakPreview" zoomScale="60" zoomScaleNormal="100" workbookViewId="0">
      <selection activeCell="A4" sqref="A4:U4"/>
    </sheetView>
  </sheetViews>
  <sheetFormatPr defaultRowHeight="18" x14ac:dyDescent="0.25"/>
  <cols>
    <col min="1" max="1" width="11.42578125" style="105" bestFit="1" customWidth="1"/>
    <col min="2" max="7" width="12.7109375" style="106" customWidth="1"/>
    <col min="8" max="8" width="13.140625" style="106" customWidth="1"/>
    <col min="9" max="9" width="12.7109375" style="106" customWidth="1"/>
    <col min="10" max="10" width="13.7109375" style="106" customWidth="1"/>
    <col min="11" max="11" width="13.5703125" style="106" customWidth="1"/>
    <col min="12" max="12" width="13.42578125" style="106" customWidth="1"/>
    <col min="13" max="14" width="12.7109375" style="106" customWidth="1"/>
    <col min="15" max="15" width="13.85546875" style="106" customWidth="1"/>
    <col min="16" max="16" width="14.140625" style="106" bestFit="1" customWidth="1"/>
    <col min="17" max="17" width="14" style="105" bestFit="1" customWidth="1"/>
    <col min="18" max="18" width="18.85546875" style="105" bestFit="1" customWidth="1"/>
    <col min="19" max="20" width="17.140625" style="105" bestFit="1" customWidth="1"/>
    <col min="21" max="21" width="18.85546875" style="105" bestFit="1" customWidth="1"/>
    <col min="22" max="22" width="13" style="105" bestFit="1" customWidth="1"/>
    <col min="23" max="226" width="9.140625" style="105"/>
    <col min="227" max="227" width="11.42578125" style="105" bestFit="1" customWidth="1"/>
    <col min="228" max="246" width="10.85546875" style="105" bestFit="1" customWidth="1"/>
    <col min="247" max="248" width="12.42578125" style="105" bestFit="1" customWidth="1"/>
    <col min="249" max="249" width="11" style="105" customWidth="1"/>
    <col min="250" max="263" width="12.7109375" style="105" customWidth="1"/>
    <col min="264" max="264" width="13.140625" style="105" customWidth="1"/>
    <col min="265" max="265" width="12.7109375" style="105" customWidth="1"/>
    <col min="266" max="266" width="13.7109375" style="105" customWidth="1"/>
    <col min="267" max="267" width="13.5703125" style="105" customWidth="1"/>
    <col min="268" max="268" width="13.42578125" style="105" customWidth="1"/>
    <col min="269" max="270" width="12.7109375" style="105" customWidth="1"/>
    <col min="271" max="271" width="13.85546875" style="105" customWidth="1"/>
    <col min="272" max="272" width="14.140625" style="105" bestFit="1" customWidth="1"/>
    <col min="273" max="273" width="14" style="105" bestFit="1" customWidth="1"/>
    <col min="274" max="274" width="18.85546875" style="105" bestFit="1" customWidth="1"/>
    <col min="275" max="276" width="17.140625" style="105" bestFit="1" customWidth="1"/>
    <col min="277" max="277" width="18.85546875" style="105" bestFit="1" customWidth="1"/>
    <col min="278" max="482" width="9.140625" style="105"/>
    <col min="483" max="483" width="11.42578125" style="105" bestFit="1" customWidth="1"/>
    <col min="484" max="502" width="10.85546875" style="105" bestFit="1" customWidth="1"/>
    <col min="503" max="504" width="12.42578125" style="105" bestFit="1" customWidth="1"/>
    <col min="505" max="505" width="11" style="105" customWidth="1"/>
    <col min="506" max="519" width="12.7109375" style="105" customWidth="1"/>
    <col min="520" max="520" width="13.140625" style="105" customWidth="1"/>
    <col min="521" max="521" width="12.7109375" style="105" customWidth="1"/>
    <col min="522" max="522" width="13.7109375" style="105" customWidth="1"/>
    <col min="523" max="523" width="13.5703125" style="105" customWidth="1"/>
    <col min="524" max="524" width="13.42578125" style="105" customWidth="1"/>
    <col min="525" max="526" width="12.7109375" style="105" customWidth="1"/>
    <col min="527" max="527" width="13.85546875" style="105" customWidth="1"/>
    <col min="528" max="528" width="14.140625" style="105" bestFit="1" customWidth="1"/>
    <col min="529" max="529" width="14" style="105" bestFit="1" customWidth="1"/>
    <col min="530" max="530" width="18.85546875" style="105" bestFit="1" customWidth="1"/>
    <col min="531" max="532" width="17.140625" style="105" bestFit="1" customWidth="1"/>
    <col min="533" max="533" width="18.85546875" style="105" bestFit="1" customWidth="1"/>
    <col min="534" max="738" width="9.140625" style="105"/>
    <col min="739" max="739" width="11.42578125" style="105" bestFit="1" customWidth="1"/>
    <col min="740" max="758" width="10.85546875" style="105" bestFit="1" customWidth="1"/>
    <col min="759" max="760" width="12.42578125" style="105" bestFit="1" customWidth="1"/>
    <col min="761" max="761" width="11" style="105" customWidth="1"/>
    <col min="762" max="775" width="12.7109375" style="105" customWidth="1"/>
    <col min="776" max="776" width="13.140625" style="105" customWidth="1"/>
    <col min="777" max="777" width="12.7109375" style="105" customWidth="1"/>
    <col min="778" max="778" width="13.7109375" style="105" customWidth="1"/>
    <col min="779" max="779" width="13.5703125" style="105" customWidth="1"/>
    <col min="780" max="780" width="13.42578125" style="105" customWidth="1"/>
    <col min="781" max="782" width="12.7109375" style="105" customWidth="1"/>
    <col min="783" max="783" width="13.85546875" style="105" customWidth="1"/>
    <col min="784" max="784" width="14.140625" style="105" bestFit="1" customWidth="1"/>
    <col min="785" max="785" width="14" style="105" bestFit="1" customWidth="1"/>
    <col min="786" max="786" width="18.85546875" style="105" bestFit="1" customWidth="1"/>
    <col min="787" max="788" width="17.140625" style="105" bestFit="1" customWidth="1"/>
    <col min="789" max="789" width="18.85546875" style="105" bestFit="1" customWidth="1"/>
    <col min="790" max="994" width="9.140625" style="105"/>
    <col min="995" max="995" width="11.42578125" style="105" bestFit="1" customWidth="1"/>
    <col min="996" max="1014" width="10.85546875" style="105" bestFit="1" customWidth="1"/>
    <col min="1015" max="1016" width="12.42578125" style="105" bestFit="1" customWidth="1"/>
    <col min="1017" max="1017" width="11" style="105" customWidth="1"/>
    <col min="1018" max="1031" width="12.7109375" style="105" customWidth="1"/>
    <col min="1032" max="1032" width="13.140625" style="105" customWidth="1"/>
    <col min="1033" max="1033" width="12.7109375" style="105" customWidth="1"/>
    <col min="1034" max="1034" width="13.7109375" style="105" customWidth="1"/>
    <col min="1035" max="1035" width="13.5703125" style="105" customWidth="1"/>
    <col min="1036" max="1036" width="13.42578125" style="105" customWidth="1"/>
    <col min="1037" max="1038" width="12.7109375" style="105" customWidth="1"/>
    <col min="1039" max="1039" width="13.85546875" style="105" customWidth="1"/>
    <col min="1040" max="1040" width="14.140625" style="105" bestFit="1" customWidth="1"/>
    <col min="1041" max="1041" width="14" style="105" bestFit="1" customWidth="1"/>
    <col min="1042" max="1042" width="18.85546875" style="105" bestFit="1" customWidth="1"/>
    <col min="1043" max="1044" width="17.140625" style="105" bestFit="1" customWidth="1"/>
    <col min="1045" max="1045" width="18.85546875" style="105" bestFit="1" customWidth="1"/>
    <col min="1046" max="1250" width="9.140625" style="105"/>
    <col min="1251" max="1251" width="11.42578125" style="105" bestFit="1" customWidth="1"/>
    <col min="1252" max="1270" width="10.85546875" style="105" bestFit="1" customWidth="1"/>
    <col min="1271" max="1272" width="12.42578125" style="105" bestFit="1" customWidth="1"/>
    <col min="1273" max="1273" width="11" style="105" customWidth="1"/>
    <col min="1274" max="1287" width="12.7109375" style="105" customWidth="1"/>
    <col min="1288" max="1288" width="13.140625" style="105" customWidth="1"/>
    <col min="1289" max="1289" width="12.7109375" style="105" customWidth="1"/>
    <col min="1290" max="1290" width="13.7109375" style="105" customWidth="1"/>
    <col min="1291" max="1291" width="13.5703125" style="105" customWidth="1"/>
    <col min="1292" max="1292" width="13.42578125" style="105" customWidth="1"/>
    <col min="1293" max="1294" width="12.7109375" style="105" customWidth="1"/>
    <col min="1295" max="1295" width="13.85546875" style="105" customWidth="1"/>
    <col min="1296" max="1296" width="14.140625" style="105" bestFit="1" customWidth="1"/>
    <col min="1297" max="1297" width="14" style="105" bestFit="1" customWidth="1"/>
    <col min="1298" max="1298" width="18.85546875" style="105" bestFit="1" customWidth="1"/>
    <col min="1299" max="1300" width="17.140625" style="105" bestFit="1" customWidth="1"/>
    <col min="1301" max="1301" width="18.85546875" style="105" bestFit="1" customWidth="1"/>
    <col min="1302" max="1506" width="9.140625" style="105"/>
    <col min="1507" max="1507" width="11.42578125" style="105" bestFit="1" customWidth="1"/>
    <col min="1508" max="1526" width="10.85546875" style="105" bestFit="1" customWidth="1"/>
    <col min="1527" max="1528" width="12.42578125" style="105" bestFit="1" customWidth="1"/>
    <col min="1529" max="1529" width="11" style="105" customWidth="1"/>
    <col min="1530" max="1543" width="12.7109375" style="105" customWidth="1"/>
    <col min="1544" max="1544" width="13.140625" style="105" customWidth="1"/>
    <col min="1545" max="1545" width="12.7109375" style="105" customWidth="1"/>
    <col min="1546" max="1546" width="13.7109375" style="105" customWidth="1"/>
    <col min="1547" max="1547" width="13.5703125" style="105" customWidth="1"/>
    <col min="1548" max="1548" width="13.42578125" style="105" customWidth="1"/>
    <col min="1549" max="1550" width="12.7109375" style="105" customWidth="1"/>
    <col min="1551" max="1551" width="13.85546875" style="105" customWidth="1"/>
    <col min="1552" max="1552" width="14.140625" style="105" bestFit="1" customWidth="1"/>
    <col min="1553" max="1553" width="14" style="105" bestFit="1" customWidth="1"/>
    <col min="1554" max="1554" width="18.85546875" style="105" bestFit="1" customWidth="1"/>
    <col min="1555" max="1556" width="17.140625" style="105" bestFit="1" customWidth="1"/>
    <col min="1557" max="1557" width="18.85546875" style="105" bestFit="1" customWidth="1"/>
    <col min="1558" max="1762" width="9.140625" style="105"/>
    <col min="1763" max="1763" width="11.42578125" style="105" bestFit="1" customWidth="1"/>
    <col min="1764" max="1782" width="10.85546875" style="105" bestFit="1" customWidth="1"/>
    <col min="1783" max="1784" width="12.42578125" style="105" bestFit="1" customWidth="1"/>
    <col min="1785" max="1785" width="11" style="105" customWidth="1"/>
    <col min="1786" max="1799" width="12.7109375" style="105" customWidth="1"/>
    <col min="1800" max="1800" width="13.140625" style="105" customWidth="1"/>
    <col min="1801" max="1801" width="12.7109375" style="105" customWidth="1"/>
    <col min="1802" max="1802" width="13.7109375" style="105" customWidth="1"/>
    <col min="1803" max="1803" width="13.5703125" style="105" customWidth="1"/>
    <col min="1804" max="1804" width="13.42578125" style="105" customWidth="1"/>
    <col min="1805" max="1806" width="12.7109375" style="105" customWidth="1"/>
    <col min="1807" max="1807" width="13.85546875" style="105" customWidth="1"/>
    <col min="1808" max="1808" width="14.140625" style="105" bestFit="1" customWidth="1"/>
    <col min="1809" max="1809" width="14" style="105" bestFit="1" customWidth="1"/>
    <col min="1810" max="1810" width="18.85546875" style="105" bestFit="1" customWidth="1"/>
    <col min="1811" max="1812" width="17.140625" style="105" bestFit="1" customWidth="1"/>
    <col min="1813" max="1813" width="18.85546875" style="105" bestFit="1" customWidth="1"/>
    <col min="1814" max="2018" width="9.140625" style="105"/>
    <col min="2019" max="2019" width="11.42578125" style="105" bestFit="1" customWidth="1"/>
    <col min="2020" max="2038" width="10.85546875" style="105" bestFit="1" customWidth="1"/>
    <col min="2039" max="2040" width="12.42578125" style="105" bestFit="1" customWidth="1"/>
    <col min="2041" max="2041" width="11" style="105" customWidth="1"/>
    <col min="2042" max="2055" width="12.7109375" style="105" customWidth="1"/>
    <col min="2056" max="2056" width="13.140625" style="105" customWidth="1"/>
    <col min="2057" max="2057" width="12.7109375" style="105" customWidth="1"/>
    <col min="2058" max="2058" width="13.7109375" style="105" customWidth="1"/>
    <col min="2059" max="2059" width="13.5703125" style="105" customWidth="1"/>
    <col min="2060" max="2060" width="13.42578125" style="105" customWidth="1"/>
    <col min="2061" max="2062" width="12.7109375" style="105" customWidth="1"/>
    <col min="2063" max="2063" width="13.85546875" style="105" customWidth="1"/>
    <col min="2064" max="2064" width="14.140625" style="105" bestFit="1" customWidth="1"/>
    <col min="2065" max="2065" width="14" style="105" bestFit="1" customWidth="1"/>
    <col min="2066" max="2066" width="18.85546875" style="105" bestFit="1" customWidth="1"/>
    <col min="2067" max="2068" width="17.140625" style="105" bestFit="1" customWidth="1"/>
    <col min="2069" max="2069" width="18.85546875" style="105" bestFit="1" customWidth="1"/>
    <col min="2070" max="2274" width="9.140625" style="105"/>
    <col min="2275" max="2275" width="11.42578125" style="105" bestFit="1" customWidth="1"/>
    <col min="2276" max="2294" width="10.85546875" style="105" bestFit="1" customWidth="1"/>
    <col min="2295" max="2296" width="12.42578125" style="105" bestFit="1" customWidth="1"/>
    <col min="2297" max="2297" width="11" style="105" customWidth="1"/>
    <col min="2298" max="2311" width="12.7109375" style="105" customWidth="1"/>
    <col min="2312" max="2312" width="13.140625" style="105" customWidth="1"/>
    <col min="2313" max="2313" width="12.7109375" style="105" customWidth="1"/>
    <col min="2314" max="2314" width="13.7109375" style="105" customWidth="1"/>
    <col min="2315" max="2315" width="13.5703125" style="105" customWidth="1"/>
    <col min="2316" max="2316" width="13.42578125" style="105" customWidth="1"/>
    <col min="2317" max="2318" width="12.7109375" style="105" customWidth="1"/>
    <col min="2319" max="2319" width="13.85546875" style="105" customWidth="1"/>
    <col min="2320" max="2320" width="14.140625" style="105" bestFit="1" customWidth="1"/>
    <col min="2321" max="2321" width="14" style="105" bestFit="1" customWidth="1"/>
    <col min="2322" max="2322" width="18.85546875" style="105" bestFit="1" customWidth="1"/>
    <col min="2323" max="2324" width="17.140625" style="105" bestFit="1" customWidth="1"/>
    <col min="2325" max="2325" width="18.85546875" style="105" bestFit="1" customWidth="1"/>
    <col min="2326" max="2530" width="9.140625" style="105"/>
    <col min="2531" max="2531" width="11.42578125" style="105" bestFit="1" customWidth="1"/>
    <col min="2532" max="2550" width="10.85546875" style="105" bestFit="1" customWidth="1"/>
    <col min="2551" max="2552" width="12.42578125" style="105" bestFit="1" customWidth="1"/>
    <col min="2553" max="2553" width="11" style="105" customWidth="1"/>
    <col min="2554" max="2567" width="12.7109375" style="105" customWidth="1"/>
    <col min="2568" max="2568" width="13.140625" style="105" customWidth="1"/>
    <col min="2569" max="2569" width="12.7109375" style="105" customWidth="1"/>
    <col min="2570" max="2570" width="13.7109375" style="105" customWidth="1"/>
    <col min="2571" max="2571" width="13.5703125" style="105" customWidth="1"/>
    <col min="2572" max="2572" width="13.42578125" style="105" customWidth="1"/>
    <col min="2573" max="2574" width="12.7109375" style="105" customWidth="1"/>
    <col min="2575" max="2575" width="13.85546875" style="105" customWidth="1"/>
    <col min="2576" max="2576" width="14.140625" style="105" bestFit="1" customWidth="1"/>
    <col min="2577" max="2577" width="14" style="105" bestFit="1" customWidth="1"/>
    <col min="2578" max="2578" width="18.85546875" style="105" bestFit="1" customWidth="1"/>
    <col min="2579" max="2580" width="17.140625" style="105" bestFit="1" customWidth="1"/>
    <col min="2581" max="2581" width="18.85546875" style="105" bestFit="1" customWidth="1"/>
    <col min="2582" max="2786" width="9.140625" style="105"/>
    <col min="2787" max="2787" width="11.42578125" style="105" bestFit="1" customWidth="1"/>
    <col min="2788" max="2806" width="10.85546875" style="105" bestFit="1" customWidth="1"/>
    <col min="2807" max="2808" width="12.42578125" style="105" bestFit="1" customWidth="1"/>
    <col min="2809" max="2809" width="11" style="105" customWidth="1"/>
    <col min="2810" max="2823" width="12.7109375" style="105" customWidth="1"/>
    <col min="2824" max="2824" width="13.140625" style="105" customWidth="1"/>
    <col min="2825" max="2825" width="12.7109375" style="105" customWidth="1"/>
    <col min="2826" max="2826" width="13.7109375" style="105" customWidth="1"/>
    <col min="2827" max="2827" width="13.5703125" style="105" customWidth="1"/>
    <col min="2828" max="2828" width="13.42578125" style="105" customWidth="1"/>
    <col min="2829" max="2830" width="12.7109375" style="105" customWidth="1"/>
    <col min="2831" max="2831" width="13.85546875" style="105" customWidth="1"/>
    <col min="2832" max="2832" width="14.140625" style="105" bestFit="1" customWidth="1"/>
    <col min="2833" max="2833" width="14" style="105" bestFit="1" customWidth="1"/>
    <col min="2834" max="2834" width="18.85546875" style="105" bestFit="1" customWidth="1"/>
    <col min="2835" max="2836" width="17.140625" style="105" bestFit="1" customWidth="1"/>
    <col min="2837" max="2837" width="18.85546875" style="105" bestFit="1" customWidth="1"/>
    <col min="2838" max="3042" width="9.140625" style="105"/>
    <col min="3043" max="3043" width="11.42578125" style="105" bestFit="1" customWidth="1"/>
    <col min="3044" max="3062" width="10.85546875" style="105" bestFit="1" customWidth="1"/>
    <col min="3063" max="3064" width="12.42578125" style="105" bestFit="1" customWidth="1"/>
    <col min="3065" max="3065" width="11" style="105" customWidth="1"/>
    <col min="3066" max="3079" width="12.7109375" style="105" customWidth="1"/>
    <col min="3080" max="3080" width="13.140625" style="105" customWidth="1"/>
    <col min="3081" max="3081" width="12.7109375" style="105" customWidth="1"/>
    <col min="3082" max="3082" width="13.7109375" style="105" customWidth="1"/>
    <col min="3083" max="3083" width="13.5703125" style="105" customWidth="1"/>
    <col min="3084" max="3084" width="13.42578125" style="105" customWidth="1"/>
    <col min="3085" max="3086" width="12.7109375" style="105" customWidth="1"/>
    <col min="3087" max="3087" width="13.85546875" style="105" customWidth="1"/>
    <col min="3088" max="3088" width="14.140625" style="105" bestFit="1" customWidth="1"/>
    <col min="3089" max="3089" width="14" style="105" bestFit="1" customWidth="1"/>
    <col min="3090" max="3090" width="18.85546875" style="105" bestFit="1" customWidth="1"/>
    <col min="3091" max="3092" width="17.140625" style="105" bestFit="1" customWidth="1"/>
    <col min="3093" max="3093" width="18.85546875" style="105" bestFit="1" customWidth="1"/>
    <col min="3094" max="3298" width="9.140625" style="105"/>
    <col min="3299" max="3299" width="11.42578125" style="105" bestFit="1" customWidth="1"/>
    <col min="3300" max="3318" width="10.85546875" style="105" bestFit="1" customWidth="1"/>
    <col min="3319" max="3320" width="12.42578125" style="105" bestFit="1" customWidth="1"/>
    <col min="3321" max="3321" width="11" style="105" customWidth="1"/>
    <col min="3322" max="3335" width="12.7109375" style="105" customWidth="1"/>
    <col min="3336" max="3336" width="13.140625" style="105" customWidth="1"/>
    <col min="3337" max="3337" width="12.7109375" style="105" customWidth="1"/>
    <col min="3338" max="3338" width="13.7109375" style="105" customWidth="1"/>
    <col min="3339" max="3339" width="13.5703125" style="105" customWidth="1"/>
    <col min="3340" max="3340" width="13.42578125" style="105" customWidth="1"/>
    <col min="3341" max="3342" width="12.7109375" style="105" customWidth="1"/>
    <col min="3343" max="3343" width="13.85546875" style="105" customWidth="1"/>
    <col min="3344" max="3344" width="14.140625" style="105" bestFit="1" customWidth="1"/>
    <col min="3345" max="3345" width="14" style="105" bestFit="1" customWidth="1"/>
    <col min="3346" max="3346" width="18.85546875" style="105" bestFit="1" customWidth="1"/>
    <col min="3347" max="3348" width="17.140625" style="105" bestFit="1" customWidth="1"/>
    <col min="3349" max="3349" width="18.85546875" style="105" bestFit="1" customWidth="1"/>
    <col min="3350" max="3554" width="9.140625" style="105"/>
    <col min="3555" max="3555" width="11.42578125" style="105" bestFit="1" customWidth="1"/>
    <col min="3556" max="3574" width="10.85546875" style="105" bestFit="1" customWidth="1"/>
    <col min="3575" max="3576" width="12.42578125" style="105" bestFit="1" customWidth="1"/>
    <col min="3577" max="3577" width="11" style="105" customWidth="1"/>
    <col min="3578" max="3591" width="12.7109375" style="105" customWidth="1"/>
    <col min="3592" max="3592" width="13.140625" style="105" customWidth="1"/>
    <col min="3593" max="3593" width="12.7109375" style="105" customWidth="1"/>
    <col min="3594" max="3594" width="13.7109375" style="105" customWidth="1"/>
    <col min="3595" max="3595" width="13.5703125" style="105" customWidth="1"/>
    <col min="3596" max="3596" width="13.42578125" style="105" customWidth="1"/>
    <col min="3597" max="3598" width="12.7109375" style="105" customWidth="1"/>
    <col min="3599" max="3599" width="13.85546875" style="105" customWidth="1"/>
    <col min="3600" max="3600" width="14.140625" style="105" bestFit="1" customWidth="1"/>
    <col min="3601" max="3601" width="14" style="105" bestFit="1" customWidth="1"/>
    <col min="3602" max="3602" width="18.85546875" style="105" bestFit="1" customWidth="1"/>
    <col min="3603" max="3604" width="17.140625" style="105" bestFit="1" customWidth="1"/>
    <col min="3605" max="3605" width="18.85546875" style="105" bestFit="1" customWidth="1"/>
    <col min="3606" max="3810" width="9.140625" style="105"/>
    <col min="3811" max="3811" width="11.42578125" style="105" bestFit="1" customWidth="1"/>
    <col min="3812" max="3830" width="10.85546875" style="105" bestFit="1" customWidth="1"/>
    <col min="3831" max="3832" width="12.42578125" style="105" bestFit="1" customWidth="1"/>
    <col min="3833" max="3833" width="11" style="105" customWidth="1"/>
    <col min="3834" max="3847" width="12.7109375" style="105" customWidth="1"/>
    <col min="3848" max="3848" width="13.140625" style="105" customWidth="1"/>
    <col min="3849" max="3849" width="12.7109375" style="105" customWidth="1"/>
    <col min="3850" max="3850" width="13.7109375" style="105" customWidth="1"/>
    <col min="3851" max="3851" width="13.5703125" style="105" customWidth="1"/>
    <col min="3852" max="3852" width="13.42578125" style="105" customWidth="1"/>
    <col min="3853" max="3854" width="12.7109375" style="105" customWidth="1"/>
    <col min="3855" max="3855" width="13.85546875" style="105" customWidth="1"/>
    <col min="3856" max="3856" width="14.140625" style="105" bestFit="1" customWidth="1"/>
    <col min="3857" max="3857" width="14" style="105" bestFit="1" customWidth="1"/>
    <col min="3858" max="3858" width="18.85546875" style="105" bestFit="1" customWidth="1"/>
    <col min="3859" max="3860" width="17.140625" style="105" bestFit="1" customWidth="1"/>
    <col min="3861" max="3861" width="18.85546875" style="105" bestFit="1" customWidth="1"/>
    <col min="3862" max="4066" width="9.140625" style="105"/>
    <col min="4067" max="4067" width="11.42578125" style="105" bestFit="1" customWidth="1"/>
    <col min="4068" max="4086" width="10.85546875" style="105" bestFit="1" customWidth="1"/>
    <col min="4087" max="4088" width="12.42578125" style="105" bestFit="1" customWidth="1"/>
    <col min="4089" max="4089" width="11" style="105" customWidth="1"/>
    <col min="4090" max="4103" width="12.7109375" style="105" customWidth="1"/>
    <col min="4104" max="4104" width="13.140625" style="105" customWidth="1"/>
    <col min="4105" max="4105" width="12.7109375" style="105" customWidth="1"/>
    <col min="4106" max="4106" width="13.7109375" style="105" customWidth="1"/>
    <col min="4107" max="4107" width="13.5703125" style="105" customWidth="1"/>
    <col min="4108" max="4108" width="13.42578125" style="105" customWidth="1"/>
    <col min="4109" max="4110" width="12.7109375" style="105" customWidth="1"/>
    <col min="4111" max="4111" width="13.85546875" style="105" customWidth="1"/>
    <col min="4112" max="4112" width="14.140625" style="105" bestFit="1" customWidth="1"/>
    <col min="4113" max="4113" width="14" style="105" bestFit="1" customWidth="1"/>
    <col min="4114" max="4114" width="18.85546875" style="105" bestFit="1" customWidth="1"/>
    <col min="4115" max="4116" width="17.140625" style="105" bestFit="1" customWidth="1"/>
    <col min="4117" max="4117" width="18.85546875" style="105" bestFit="1" customWidth="1"/>
    <col min="4118" max="4322" width="9.140625" style="105"/>
    <col min="4323" max="4323" width="11.42578125" style="105" bestFit="1" customWidth="1"/>
    <col min="4324" max="4342" width="10.85546875" style="105" bestFit="1" customWidth="1"/>
    <col min="4343" max="4344" width="12.42578125" style="105" bestFit="1" customWidth="1"/>
    <col min="4345" max="4345" width="11" style="105" customWidth="1"/>
    <col min="4346" max="4359" width="12.7109375" style="105" customWidth="1"/>
    <col min="4360" max="4360" width="13.140625" style="105" customWidth="1"/>
    <col min="4361" max="4361" width="12.7109375" style="105" customWidth="1"/>
    <col min="4362" max="4362" width="13.7109375" style="105" customWidth="1"/>
    <col min="4363" max="4363" width="13.5703125" style="105" customWidth="1"/>
    <col min="4364" max="4364" width="13.42578125" style="105" customWidth="1"/>
    <col min="4365" max="4366" width="12.7109375" style="105" customWidth="1"/>
    <col min="4367" max="4367" width="13.85546875" style="105" customWidth="1"/>
    <col min="4368" max="4368" width="14.140625" style="105" bestFit="1" customWidth="1"/>
    <col min="4369" max="4369" width="14" style="105" bestFit="1" customWidth="1"/>
    <col min="4370" max="4370" width="18.85546875" style="105" bestFit="1" customWidth="1"/>
    <col min="4371" max="4372" width="17.140625" style="105" bestFit="1" customWidth="1"/>
    <col min="4373" max="4373" width="18.85546875" style="105" bestFit="1" customWidth="1"/>
    <col min="4374" max="4578" width="9.140625" style="105"/>
    <col min="4579" max="4579" width="11.42578125" style="105" bestFit="1" customWidth="1"/>
    <col min="4580" max="4598" width="10.85546875" style="105" bestFit="1" customWidth="1"/>
    <col min="4599" max="4600" width="12.42578125" style="105" bestFit="1" customWidth="1"/>
    <col min="4601" max="4601" width="11" style="105" customWidth="1"/>
    <col min="4602" max="4615" width="12.7109375" style="105" customWidth="1"/>
    <col min="4616" max="4616" width="13.140625" style="105" customWidth="1"/>
    <col min="4617" max="4617" width="12.7109375" style="105" customWidth="1"/>
    <col min="4618" max="4618" width="13.7109375" style="105" customWidth="1"/>
    <col min="4619" max="4619" width="13.5703125" style="105" customWidth="1"/>
    <col min="4620" max="4620" width="13.42578125" style="105" customWidth="1"/>
    <col min="4621" max="4622" width="12.7109375" style="105" customWidth="1"/>
    <col min="4623" max="4623" width="13.85546875" style="105" customWidth="1"/>
    <col min="4624" max="4624" width="14.140625" style="105" bestFit="1" customWidth="1"/>
    <col min="4625" max="4625" width="14" style="105" bestFit="1" customWidth="1"/>
    <col min="4626" max="4626" width="18.85546875" style="105" bestFit="1" customWidth="1"/>
    <col min="4627" max="4628" width="17.140625" style="105" bestFit="1" customWidth="1"/>
    <col min="4629" max="4629" width="18.85546875" style="105" bestFit="1" customWidth="1"/>
    <col min="4630" max="4834" width="9.140625" style="105"/>
    <col min="4835" max="4835" width="11.42578125" style="105" bestFit="1" customWidth="1"/>
    <col min="4836" max="4854" width="10.85546875" style="105" bestFit="1" customWidth="1"/>
    <col min="4855" max="4856" width="12.42578125" style="105" bestFit="1" customWidth="1"/>
    <col min="4857" max="4857" width="11" style="105" customWidth="1"/>
    <col min="4858" max="4871" width="12.7109375" style="105" customWidth="1"/>
    <col min="4872" max="4872" width="13.140625" style="105" customWidth="1"/>
    <col min="4873" max="4873" width="12.7109375" style="105" customWidth="1"/>
    <col min="4874" max="4874" width="13.7109375" style="105" customWidth="1"/>
    <col min="4875" max="4875" width="13.5703125" style="105" customWidth="1"/>
    <col min="4876" max="4876" width="13.42578125" style="105" customWidth="1"/>
    <col min="4877" max="4878" width="12.7109375" style="105" customWidth="1"/>
    <col min="4879" max="4879" width="13.85546875" style="105" customWidth="1"/>
    <col min="4880" max="4880" width="14.140625" style="105" bestFit="1" customWidth="1"/>
    <col min="4881" max="4881" width="14" style="105" bestFit="1" customWidth="1"/>
    <col min="4882" max="4882" width="18.85546875" style="105" bestFit="1" customWidth="1"/>
    <col min="4883" max="4884" width="17.140625" style="105" bestFit="1" customWidth="1"/>
    <col min="4885" max="4885" width="18.85546875" style="105" bestFit="1" customWidth="1"/>
    <col min="4886" max="5090" width="9.140625" style="105"/>
    <col min="5091" max="5091" width="11.42578125" style="105" bestFit="1" customWidth="1"/>
    <col min="5092" max="5110" width="10.85546875" style="105" bestFit="1" customWidth="1"/>
    <col min="5111" max="5112" width="12.42578125" style="105" bestFit="1" customWidth="1"/>
    <col min="5113" max="5113" width="11" style="105" customWidth="1"/>
    <col min="5114" max="5127" width="12.7109375" style="105" customWidth="1"/>
    <col min="5128" max="5128" width="13.140625" style="105" customWidth="1"/>
    <col min="5129" max="5129" width="12.7109375" style="105" customWidth="1"/>
    <col min="5130" max="5130" width="13.7109375" style="105" customWidth="1"/>
    <col min="5131" max="5131" width="13.5703125" style="105" customWidth="1"/>
    <col min="5132" max="5132" width="13.42578125" style="105" customWidth="1"/>
    <col min="5133" max="5134" width="12.7109375" style="105" customWidth="1"/>
    <col min="5135" max="5135" width="13.85546875" style="105" customWidth="1"/>
    <col min="5136" max="5136" width="14.140625" style="105" bestFit="1" customWidth="1"/>
    <col min="5137" max="5137" width="14" style="105" bestFit="1" customWidth="1"/>
    <col min="5138" max="5138" width="18.85546875" style="105" bestFit="1" customWidth="1"/>
    <col min="5139" max="5140" width="17.140625" style="105" bestFit="1" customWidth="1"/>
    <col min="5141" max="5141" width="18.85546875" style="105" bestFit="1" customWidth="1"/>
    <col min="5142" max="5346" width="9.140625" style="105"/>
    <col min="5347" max="5347" width="11.42578125" style="105" bestFit="1" customWidth="1"/>
    <col min="5348" max="5366" width="10.85546875" style="105" bestFit="1" customWidth="1"/>
    <col min="5367" max="5368" width="12.42578125" style="105" bestFit="1" customWidth="1"/>
    <col min="5369" max="5369" width="11" style="105" customWidth="1"/>
    <col min="5370" max="5383" width="12.7109375" style="105" customWidth="1"/>
    <col min="5384" max="5384" width="13.140625" style="105" customWidth="1"/>
    <col min="5385" max="5385" width="12.7109375" style="105" customWidth="1"/>
    <col min="5386" max="5386" width="13.7109375" style="105" customWidth="1"/>
    <col min="5387" max="5387" width="13.5703125" style="105" customWidth="1"/>
    <col min="5388" max="5388" width="13.42578125" style="105" customWidth="1"/>
    <col min="5389" max="5390" width="12.7109375" style="105" customWidth="1"/>
    <col min="5391" max="5391" width="13.85546875" style="105" customWidth="1"/>
    <col min="5392" max="5392" width="14.140625" style="105" bestFit="1" customWidth="1"/>
    <col min="5393" max="5393" width="14" style="105" bestFit="1" customWidth="1"/>
    <col min="5394" max="5394" width="18.85546875" style="105" bestFit="1" customWidth="1"/>
    <col min="5395" max="5396" width="17.140625" style="105" bestFit="1" customWidth="1"/>
    <col min="5397" max="5397" width="18.85546875" style="105" bestFit="1" customWidth="1"/>
    <col min="5398" max="5602" width="9.140625" style="105"/>
    <col min="5603" max="5603" width="11.42578125" style="105" bestFit="1" customWidth="1"/>
    <col min="5604" max="5622" width="10.85546875" style="105" bestFit="1" customWidth="1"/>
    <col min="5623" max="5624" width="12.42578125" style="105" bestFit="1" customWidth="1"/>
    <col min="5625" max="5625" width="11" style="105" customWidth="1"/>
    <col min="5626" max="5639" width="12.7109375" style="105" customWidth="1"/>
    <col min="5640" max="5640" width="13.140625" style="105" customWidth="1"/>
    <col min="5641" max="5641" width="12.7109375" style="105" customWidth="1"/>
    <col min="5642" max="5642" width="13.7109375" style="105" customWidth="1"/>
    <col min="5643" max="5643" width="13.5703125" style="105" customWidth="1"/>
    <col min="5644" max="5644" width="13.42578125" style="105" customWidth="1"/>
    <col min="5645" max="5646" width="12.7109375" style="105" customWidth="1"/>
    <col min="5647" max="5647" width="13.85546875" style="105" customWidth="1"/>
    <col min="5648" max="5648" width="14.140625" style="105" bestFit="1" customWidth="1"/>
    <col min="5649" max="5649" width="14" style="105" bestFit="1" customWidth="1"/>
    <col min="5650" max="5650" width="18.85546875" style="105" bestFit="1" customWidth="1"/>
    <col min="5651" max="5652" width="17.140625" style="105" bestFit="1" customWidth="1"/>
    <col min="5653" max="5653" width="18.85546875" style="105" bestFit="1" customWidth="1"/>
    <col min="5654" max="5858" width="9.140625" style="105"/>
    <col min="5859" max="5859" width="11.42578125" style="105" bestFit="1" customWidth="1"/>
    <col min="5860" max="5878" width="10.85546875" style="105" bestFit="1" customWidth="1"/>
    <col min="5879" max="5880" width="12.42578125" style="105" bestFit="1" customWidth="1"/>
    <col min="5881" max="5881" width="11" style="105" customWidth="1"/>
    <col min="5882" max="5895" width="12.7109375" style="105" customWidth="1"/>
    <col min="5896" max="5896" width="13.140625" style="105" customWidth="1"/>
    <col min="5897" max="5897" width="12.7109375" style="105" customWidth="1"/>
    <col min="5898" max="5898" width="13.7109375" style="105" customWidth="1"/>
    <col min="5899" max="5899" width="13.5703125" style="105" customWidth="1"/>
    <col min="5900" max="5900" width="13.42578125" style="105" customWidth="1"/>
    <col min="5901" max="5902" width="12.7109375" style="105" customWidth="1"/>
    <col min="5903" max="5903" width="13.85546875" style="105" customWidth="1"/>
    <col min="5904" max="5904" width="14.140625" style="105" bestFit="1" customWidth="1"/>
    <col min="5905" max="5905" width="14" style="105" bestFit="1" customWidth="1"/>
    <col min="5906" max="5906" width="18.85546875" style="105" bestFit="1" customWidth="1"/>
    <col min="5907" max="5908" width="17.140625" style="105" bestFit="1" customWidth="1"/>
    <col min="5909" max="5909" width="18.85546875" style="105" bestFit="1" customWidth="1"/>
    <col min="5910" max="6114" width="9.140625" style="105"/>
    <col min="6115" max="6115" width="11.42578125" style="105" bestFit="1" customWidth="1"/>
    <col min="6116" max="6134" width="10.85546875" style="105" bestFit="1" customWidth="1"/>
    <col min="6135" max="6136" width="12.42578125" style="105" bestFit="1" customWidth="1"/>
    <col min="6137" max="6137" width="11" style="105" customWidth="1"/>
    <col min="6138" max="6151" width="12.7109375" style="105" customWidth="1"/>
    <col min="6152" max="6152" width="13.140625" style="105" customWidth="1"/>
    <col min="6153" max="6153" width="12.7109375" style="105" customWidth="1"/>
    <col min="6154" max="6154" width="13.7109375" style="105" customWidth="1"/>
    <col min="6155" max="6155" width="13.5703125" style="105" customWidth="1"/>
    <col min="6156" max="6156" width="13.42578125" style="105" customWidth="1"/>
    <col min="6157" max="6158" width="12.7109375" style="105" customWidth="1"/>
    <col min="6159" max="6159" width="13.85546875" style="105" customWidth="1"/>
    <col min="6160" max="6160" width="14.140625" style="105" bestFit="1" customWidth="1"/>
    <col min="6161" max="6161" width="14" style="105" bestFit="1" customWidth="1"/>
    <col min="6162" max="6162" width="18.85546875" style="105" bestFit="1" customWidth="1"/>
    <col min="6163" max="6164" width="17.140625" style="105" bestFit="1" customWidth="1"/>
    <col min="6165" max="6165" width="18.85546875" style="105" bestFit="1" customWidth="1"/>
    <col min="6166" max="6370" width="9.140625" style="105"/>
    <col min="6371" max="6371" width="11.42578125" style="105" bestFit="1" customWidth="1"/>
    <col min="6372" max="6390" width="10.85546875" style="105" bestFit="1" customWidth="1"/>
    <col min="6391" max="6392" width="12.42578125" style="105" bestFit="1" customWidth="1"/>
    <col min="6393" max="6393" width="11" style="105" customWidth="1"/>
    <col min="6394" max="6407" width="12.7109375" style="105" customWidth="1"/>
    <col min="6408" max="6408" width="13.140625" style="105" customWidth="1"/>
    <col min="6409" max="6409" width="12.7109375" style="105" customWidth="1"/>
    <col min="6410" max="6410" width="13.7109375" style="105" customWidth="1"/>
    <col min="6411" max="6411" width="13.5703125" style="105" customWidth="1"/>
    <col min="6412" max="6412" width="13.42578125" style="105" customWidth="1"/>
    <col min="6413" max="6414" width="12.7109375" style="105" customWidth="1"/>
    <col min="6415" max="6415" width="13.85546875" style="105" customWidth="1"/>
    <col min="6416" max="6416" width="14.140625" style="105" bestFit="1" customWidth="1"/>
    <col min="6417" max="6417" width="14" style="105" bestFit="1" customWidth="1"/>
    <col min="6418" max="6418" width="18.85546875" style="105" bestFit="1" customWidth="1"/>
    <col min="6419" max="6420" width="17.140625" style="105" bestFit="1" customWidth="1"/>
    <col min="6421" max="6421" width="18.85546875" style="105" bestFit="1" customWidth="1"/>
    <col min="6422" max="6626" width="9.140625" style="105"/>
    <col min="6627" max="6627" width="11.42578125" style="105" bestFit="1" customWidth="1"/>
    <col min="6628" max="6646" width="10.85546875" style="105" bestFit="1" customWidth="1"/>
    <col min="6647" max="6648" width="12.42578125" style="105" bestFit="1" customWidth="1"/>
    <col min="6649" max="6649" width="11" style="105" customWidth="1"/>
    <col min="6650" max="6663" width="12.7109375" style="105" customWidth="1"/>
    <col min="6664" max="6664" width="13.140625" style="105" customWidth="1"/>
    <col min="6665" max="6665" width="12.7109375" style="105" customWidth="1"/>
    <col min="6666" max="6666" width="13.7109375" style="105" customWidth="1"/>
    <col min="6667" max="6667" width="13.5703125" style="105" customWidth="1"/>
    <col min="6668" max="6668" width="13.42578125" style="105" customWidth="1"/>
    <col min="6669" max="6670" width="12.7109375" style="105" customWidth="1"/>
    <col min="6671" max="6671" width="13.85546875" style="105" customWidth="1"/>
    <col min="6672" max="6672" width="14.140625" style="105" bestFit="1" customWidth="1"/>
    <col min="6673" max="6673" width="14" style="105" bestFit="1" customWidth="1"/>
    <col min="6674" max="6674" width="18.85546875" style="105" bestFit="1" customWidth="1"/>
    <col min="6675" max="6676" width="17.140625" style="105" bestFit="1" customWidth="1"/>
    <col min="6677" max="6677" width="18.85546875" style="105" bestFit="1" customWidth="1"/>
    <col min="6678" max="6882" width="9.140625" style="105"/>
    <col min="6883" max="6883" width="11.42578125" style="105" bestFit="1" customWidth="1"/>
    <col min="6884" max="6902" width="10.85546875" style="105" bestFit="1" customWidth="1"/>
    <col min="6903" max="6904" width="12.42578125" style="105" bestFit="1" customWidth="1"/>
    <col min="6905" max="6905" width="11" style="105" customWidth="1"/>
    <col min="6906" max="6919" width="12.7109375" style="105" customWidth="1"/>
    <col min="6920" max="6920" width="13.140625" style="105" customWidth="1"/>
    <col min="6921" max="6921" width="12.7109375" style="105" customWidth="1"/>
    <col min="6922" max="6922" width="13.7109375" style="105" customWidth="1"/>
    <col min="6923" max="6923" width="13.5703125" style="105" customWidth="1"/>
    <col min="6924" max="6924" width="13.42578125" style="105" customWidth="1"/>
    <col min="6925" max="6926" width="12.7109375" style="105" customWidth="1"/>
    <col min="6927" max="6927" width="13.85546875" style="105" customWidth="1"/>
    <col min="6928" max="6928" width="14.140625" style="105" bestFit="1" customWidth="1"/>
    <col min="6929" max="6929" width="14" style="105" bestFit="1" customWidth="1"/>
    <col min="6930" max="6930" width="18.85546875" style="105" bestFit="1" customWidth="1"/>
    <col min="6931" max="6932" width="17.140625" style="105" bestFit="1" customWidth="1"/>
    <col min="6933" max="6933" width="18.85546875" style="105" bestFit="1" customWidth="1"/>
    <col min="6934" max="7138" width="9.140625" style="105"/>
    <col min="7139" max="7139" width="11.42578125" style="105" bestFit="1" customWidth="1"/>
    <col min="7140" max="7158" width="10.85546875" style="105" bestFit="1" customWidth="1"/>
    <col min="7159" max="7160" width="12.42578125" style="105" bestFit="1" customWidth="1"/>
    <col min="7161" max="7161" width="11" style="105" customWidth="1"/>
    <col min="7162" max="7175" width="12.7109375" style="105" customWidth="1"/>
    <col min="7176" max="7176" width="13.140625" style="105" customWidth="1"/>
    <col min="7177" max="7177" width="12.7109375" style="105" customWidth="1"/>
    <col min="7178" max="7178" width="13.7109375" style="105" customWidth="1"/>
    <col min="7179" max="7179" width="13.5703125" style="105" customWidth="1"/>
    <col min="7180" max="7180" width="13.42578125" style="105" customWidth="1"/>
    <col min="7181" max="7182" width="12.7109375" style="105" customWidth="1"/>
    <col min="7183" max="7183" width="13.85546875" style="105" customWidth="1"/>
    <col min="7184" max="7184" width="14.140625" style="105" bestFit="1" customWidth="1"/>
    <col min="7185" max="7185" width="14" style="105" bestFit="1" customWidth="1"/>
    <col min="7186" max="7186" width="18.85546875" style="105" bestFit="1" customWidth="1"/>
    <col min="7187" max="7188" width="17.140625" style="105" bestFit="1" customWidth="1"/>
    <col min="7189" max="7189" width="18.85546875" style="105" bestFit="1" customWidth="1"/>
    <col min="7190" max="7394" width="9.140625" style="105"/>
    <col min="7395" max="7395" width="11.42578125" style="105" bestFit="1" customWidth="1"/>
    <col min="7396" max="7414" width="10.85546875" style="105" bestFit="1" customWidth="1"/>
    <col min="7415" max="7416" width="12.42578125" style="105" bestFit="1" customWidth="1"/>
    <col min="7417" max="7417" width="11" style="105" customWidth="1"/>
    <col min="7418" max="7431" width="12.7109375" style="105" customWidth="1"/>
    <col min="7432" max="7432" width="13.140625" style="105" customWidth="1"/>
    <col min="7433" max="7433" width="12.7109375" style="105" customWidth="1"/>
    <col min="7434" max="7434" width="13.7109375" style="105" customWidth="1"/>
    <col min="7435" max="7435" width="13.5703125" style="105" customWidth="1"/>
    <col min="7436" max="7436" width="13.42578125" style="105" customWidth="1"/>
    <col min="7437" max="7438" width="12.7109375" style="105" customWidth="1"/>
    <col min="7439" max="7439" width="13.85546875" style="105" customWidth="1"/>
    <col min="7440" max="7440" width="14.140625" style="105" bestFit="1" customWidth="1"/>
    <col min="7441" max="7441" width="14" style="105" bestFit="1" customWidth="1"/>
    <col min="7442" max="7442" width="18.85546875" style="105" bestFit="1" customWidth="1"/>
    <col min="7443" max="7444" width="17.140625" style="105" bestFit="1" customWidth="1"/>
    <col min="7445" max="7445" width="18.85546875" style="105" bestFit="1" customWidth="1"/>
    <col min="7446" max="7650" width="9.140625" style="105"/>
    <col min="7651" max="7651" width="11.42578125" style="105" bestFit="1" customWidth="1"/>
    <col min="7652" max="7670" width="10.85546875" style="105" bestFit="1" customWidth="1"/>
    <col min="7671" max="7672" width="12.42578125" style="105" bestFit="1" customWidth="1"/>
    <col min="7673" max="7673" width="11" style="105" customWidth="1"/>
    <col min="7674" max="7687" width="12.7109375" style="105" customWidth="1"/>
    <col min="7688" max="7688" width="13.140625" style="105" customWidth="1"/>
    <col min="7689" max="7689" width="12.7109375" style="105" customWidth="1"/>
    <col min="7690" max="7690" width="13.7109375" style="105" customWidth="1"/>
    <col min="7691" max="7691" width="13.5703125" style="105" customWidth="1"/>
    <col min="7692" max="7692" width="13.42578125" style="105" customWidth="1"/>
    <col min="7693" max="7694" width="12.7109375" style="105" customWidth="1"/>
    <col min="7695" max="7695" width="13.85546875" style="105" customWidth="1"/>
    <col min="7696" max="7696" width="14.140625" style="105" bestFit="1" customWidth="1"/>
    <col min="7697" max="7697" width="14" style="105" bestFit="1" customWidth="1"/>
    <col min="7698" max="7698" width="18.85546875" style="105" bestFit="1" customWidth="1"/>
    <col min="7699" max="7700" width="17.140625" style="105" bestFit="1" customWidth="1"/>
    <col min="7701" max="7701" width="18.85546875" style="105" bestFit="1" customWidth="1"/>
    <col min="7702" max="7906" width="9.140625" style="105"/>
    <col min="7907" max="7907" width="11.42578125" style="105" bestFit="1" customWidth="1"/>
    <col min="7908" max="7926" width="10.85546875" style="105" bestFit="1" customWidth="1"/>
    <col min="7927" max="7928" width="12.42578125" style="105" bestFit="1" customWidth="1"/>
    <col min="7929" max="7929" width="11" style="105" customWidth="1"/>
    <col min="7930" max="7943" width="12.7109375" style="105" customWidth="1"/>
    <col min="7944" max="7944" width="13.140625" style="105" customWidth="1"/>
    <col min="7945" max="7945" width="12.7109375" style="105" customWidth="1"/>
    <col min="7946" max="7946" width="13.7109375" style="105" customWidth="1"/>
    <col min="7947" max="7947" width="13.5703125" style="105" customWidth="1"/>
    <col min="7948" max="7948" width="13.42578125" style="105" customWidth="1"/>
    <col min="7949" max="7950" width="12.7109375" style="105" customWidth="1"/>
    <col min="7951" max="7951" width="13.85546875" style="105" customWidth="1"/>
    <col min="7952" max="7952" width="14.140625" style="105" bestFit="1" customWidth="1"/>
    <col min="7953" max="7953" width="14" style="105" bestFit="1" customWidth="1"/>
    <col min="7954" max="7954" width="18.85546875" style="105" bestFit="1" customWidth="1"/>
    <col min="7955" max="7956" width="17.140625" style="105" bestFit="1" customWidth="1"/>
    <col min="7957" max="7957" width="18.85546875" style="105" bestFit="1" customWidth="1"/>
    <col min="7958" max="8162" width="9.140625" style="105"/>
    <col min="8163" max="8163" width="11.42578125" style="105" bestFit="1" customWidth="1"/>
    <col min="8164" max="8182" width="10.85546875" style="105" bestFit="1" customWidth="1"/>
    <col min="8183" max="8184" width="12.42578125" style="105" bestFit="1" customWidth="1"/>
    <col min="8185" max="8185" width="11" style="105" customWidth="1"/>
    <col min="8186" max="8199" width="12.7109375" style="105" customWidth="1"/>
    <col min="8200" max="8200" width="13.140625" style="105" customWidth="1"/>
    <col min="8201" max="8201" width="12.7109375" style="105" customWidth="1"/>
    <col min="8202" max="8202" width="13.7109375" style="105" customWidth="1"/>
    <col min="8203" max="8203" width="13.5703125" style="105" customWidth="1"/>
    <col min="8204" max="8204" width="13.42578125" style="105" customWidth="1"/>
    <col min="8205" max="8206" width="12.7109375" style="105" customWidth="1"/>
    <col min="8207" max="8207" width="13.85546875" style="105" customWidth="1"/>
    <col min="8208" max="8208" width="14.140625" style="105" bestFit="1" customWidth="1"/>
    <col min="8209" max="8209" width="14" style="105" bestFit="1" customWidth="1"/>
    <col min="8210" max="8210" width="18.85546875" style="105" bestFit="1" customWidth="1"/>
    <col min="8211" max="8212" width="17.140625" style="105" bestFit="1" customWidth="1"/>
    <col min="8213" max="8213" width="18.85546875" style="105" bestFit="1" customWidth="1"/>
    <col min="8214" max="8418" width="9.140625" style="105"/>
    <col min="8419" max="8419" width="11.42578125" style="105" bestFit="1" customWidth="1"/>
    <col min="8420" max="8438" width="10.85546875" style="105" bestFit="1" customWidth="1"/>
    <col min="8439" max="8440" width="12.42578125" style="105" bestFit="1" customWidth="1"/>
    <col min="8441" max="8441" width="11" style="105" customWidth="1"/>
    <col min="8442" max="8455" width="12.7109375" style="105" customWidth="1"/>
    <col min="8456" max="8456" width="13.140625" style="105" customWidth="1"/>
    <col min="8457" max="8457" width="12.7109375" style="105" customWidth="1"/>
    <col min="8458" max="8458" width="13.7109375" style="105" customWidth="1"/>
    <col min="8459" max="8459" width="13.5703125" style="105" customWidth="1"/>
    <col min="8460" max="8460" width="13.42578125" style="105" customWidth="1"/>
    <col min="8461" max="8462" width="12.7109375" style="105" customWidth="1"/>
    <col min="8463" max="8463" width="13.85546875" style="105" customWidth="1"/>
    <col min="8464" max="8464" width="14.140625" style="105" bestFit="1" customWidth="1"/>
    <col min="8465" max="8465" width="14" style="105" bestFit="1" customWidth="1"/>
    <col min="8466" max="8466" width="18.85546875" style="105" bestFit="1" customWidth="1"/>
    <col min="8467" max="8468" width="17.140625" style="105" bestFit="1" customWidth="1"/>
    <col min="8469" max="8469" width="18.85546875" style="105" bestFit="1" customWidth="1"/>
    <col min="8470" max="8674" width="9.140625" style="105"/>
    <col min="8675" max="8675" width="11.42578125" style="105" bestFit="1" customWidth="1"/>
    <col min="8676" max="8694" width="10.85546875" style="105" bestFit="1" customWidth="1"/>
    <col min="8695" max="8696" width="12.42578125" style="105" bestFit="1" customWidth="1"/>
    <col min="8697" max="8697" width="11" style="105" customWidth="1"/>
    <col min="8698" max="8711" width="12.7109375" style="105" customWidth="1"/>
    <col min="8712" max="8712" width="13.140625" style="105" customWidth="1"/>
    <col min="8713" max="8713" width="12.7109375" style="105" customWidth="1"/>
    <col min="8714" max="8714" width="13.7109375" style="105" customWidth="1"/>
    <col min="8715" max="8715" width="13.5703125" style="105" customWidth="1"/>
    <col min="8716" max="8716" width="13.42578125" style="105" customWidth="1"/>
    <col min="8717" max="8718" width="12.7109375" style="105" customWidth="1"/>
    <col min="8719" max="8719" width="13.85546875" style="105" customWidth="1"/>
    <col min="8720" max="8720" width="14.140625" style="105" bestFit="1" customWidth="1"/>
    <col min="8721" max="8721" width="14" style="105" bestFit="1" customWidth="1"/>
    <col min="8722" max="8722" width="18.85546875" style="105" bestFit="1" customWidth="1"/>
    <col min="8723" max="8724" width="17.140625" style="105" bestFit="1" customWidth="1"/>
    <col min="8725" max="8725" width="18.85546875" style="105" bestFit="1" customWidth="1"/>
    <col min="8726" max="8930" width="9.140625" style="105"/>
    <col min="8931" max="8931" width="11.42578125" style="105" bestFit="1" customWidth="1"/>
    <col min="8932" max="8950" width="10.85546875" style="105" bestFit="1" customWidth="1"/>
    <col min="8951" max="8952" width="12.42578125" style="105" bestFit="1" customWidth="1"/>
    <col min="8953" max="8953" width="11" style="105" customWidth="1"/>
    <col min="8954" max="8967" width="12.7109375" style="105" customWidth="1"/>
    <col min="8968" max="8968" width="13.140625" style="105" customWidth="1"/>
    <col min="8969" max="8969" width="12.7109375" style="105" customWidth="1"/>
    <col min="8970" max="8970" width="13.7109375" style="105" customWidth="1"/>
    <col min="8971" max="8971" width="13.5703125" style="105" customWidth="1"/>
    <col min="8972" max="8972" width="13.42578125" style="105" customWidth="1"/>
    <col min="8973" max="8974" width="12.7109375" style="105" customWidth="1"/>
    <col min="8975" max="8975" width="13.85546875" style="105" customWidth="1"/>
    <col min="8976" max="8976" width="14.140625" style="105" bestFit="1" customWidth="1"/>
    <col min="8977" max="8977" width="14" style="105" bestFit="1" customWidth="1"/>
    <col min="8978" max="8978" width="18.85546875" style="105" bestFit="1" customWidth="1"/>
    <col min="8979" max="8980" width="17.140625" style="105" bestFit="1" customWidth="1"/>
    <col min="8981" max="8981" width="18.85546875" style="105" bestFit="1" customWidth="1"/>
    <col min="8982" max="9186" width="9.140625" style="105"/>
    <col min="9187" max="9187" width="11.42578125" style="105" bestFit="1" customWidth="1"/>
    <col min="9188" max="9206" width="10.85546875" style="105" bestFit="1" customWidth="1"/>
    <col min="9207" max="9208" width="12.42578125" style="105" bestFit="1" customWidth="1"/>
    <col min="9209" max="9209" width="11" style="105" customWidth="1"/>
    <col min="9210" max="9223" width="12.7109375" style="105" customWidth="1"/>
    <col min="9224" max="9224" width="13.140625" style="105" customWidth="1"/>
    <col min="9225" max="9225" width="12.7109375" style="105" customWidth="1"/>
    <col min="9226" max="9226" width="13.7109375" style="105" customWidth="1"/>
    <col min="9227" max="9227" width="13.5703125" style="105" customWidth="1"/>
    <col min="9228" max="9228" width="13.42578125" style="105" customWidth="1"/>
    <col min="9229" max="9230" width="12.7109375" style="105" customWidth="1"/>
    <col min="9231" max="9231" width="13.85546875" style="105" customWidth="1"/>
    <col min="9232" max="9232" width="14.140625" style="105" bestFit="1" customWidth="1"/>
    <col min="9233" max="9233" width="14" style="105" bestFit="1" customWidth="1"/>
    <col min="9234" max="9234" width="18.85546875" style="105" bestFit="1" customWidth="1"/>
    <col min="9235" max="9236" width="17.140625" style="105" bestFit="1" customWidth="1"/>
    <col min="9237" max="9237" width="18.85546875" style="105" bestFit="1" customWidth="1"/>
    <col min="9238" max="9442" width="9.140625" style="105"/>
    <col min="9443" max="9443" width="11.42578125" style="105" bestFit="1" customWidth="1"/>
    <col min="9444" max="9462" width="10.85546875" style="105" bestFit="1" customWidth="1"/>
    <col min="9463" max="9464" width="12.42578125" style="105" bestFit="1" customWidth="1"/>
    <col min="9465" max="9465" width="11" style="105" customWidth="1"/>
    <col min="9466" max="9479" width="12.7109375" style="105" customWidth="1"/>
    <col min="9480" max="9480" width="13.140625" style="105" customWidth="1"/>
    <col min="9481" max="9481" width="12.7109375" style="105" customWidth="1"/>
    <col min="9482" max="9482" width="13.7109375" style="105" customWidth="1"/>
    <col min="9483" max="9483" width="13.5703125" style="105" customWidth="1"/>
    <col min="9484" max="9484" width="13.42578125" style="105" customWidth="1"/>
    <col min="9485" max="9486" width="12.7109375" style="105" customWidth="1"/>
    <col min="9487" max="9487" width="13.85546875" style="105" customWidth="1"/>
    <col min="9488" max="9488" width="14.140625" style="105" bestFit="1" customWidth="1"/>
    <col min="9489" max="9489" width="14" style="105" bestFit="1" customWidth="1"/>
    <col min="9490" max="9490" width="18.85546875" style="105" bestFit="1" customWidth="1"/>
    <col min="9491" max="9492" width="17.140625" style="105" bestFit="1" customWidth="1"/>
    <col min="9493" max="9493" width="18.85546875" style="105" bestFit="1" customWidth="1"/>
    <col min="9494" max="9698" width="9.140625" style="105"/>
    <col min="9699" max="9699" width="11.42578125" style="105" bestFit="1" customWidth="1"/>
    <col min="9700" max="9718" width="10.85546875" style="105" bestFit="1" customWidth="1"/>
    <col min="9719" max="9720" width="12.42578125" style="105" bestFit="1" customWidth="1"/>
    <col min="9721" max="9721" width="11" style="105" customWidth="1"/>
    <col min="9722" max="9735" width="12.7109375" style="105" customWidth="1"/>
    <col min="9736" max="9736" width="13.140625" style="105" customWidth="1"/>
    <col min="9737" max="9737" width="12.7109375" style="105" customWidth="1"/>
    <col min="9738" max="9738" width="13.7109375" style="105" customWidth="1"/>
    <col min="9739" max="9739" width="13.5703125" style="105" customWidth="1"/>
    <col min="9740" max="9740" width="13.42578125" style="105" customWidth="1"/>
    <col min="9741" max="9742" width="12.7109375" style="105" customWidth="1"/>
    <col min="9743" max="9743" width="13.85546875" style="105" customWidth="1"/>
    <col min="9744" max="9744" width="14.140625" style="105" bestFit="1" customWidth="1"/>
    <col min="9745" max="9745" width="14" style="105" bestFit="1" customWidth="1"/>
    <col min="9746" max="9746" width="18.85546875" style="105" bestFit="1" customWidth="1"/>
    <col min="9747" max="9748" width="17.140625" style="105" bestFit="1" customWidth="1"/>
    <col min="9749" max="9749" width="18.85546875" style="105" bestFit="1" customWidth="1"/>
    <col min="9750" max="9954" width="9.140625" style="105"/>
    <col min="9955" max="9955" width="11.42578125" style="105" bestFit="1" customWidth="1"/>
    <col min="9956" max="9974" width="10.85546875" style="105" bestFit="1" customWidth="1"/>
    <col min="9975" max="9976" width="12.42578125" style="105" bestFit="1" customWidth="1"/>
    <col min="9977" max="9977" width="11" style="105" customWidth="1"/>
    <col min="9978" max="9991" width="12.7109375" style="105" customWidth="1"/>
    <col min="9992" max="9992" width="13.140625" style="105" customWidth="1"/>
    <col min="9993" max="9993" width="12.7109375" style="105" customWidth="1"/>
    <col min="9994" max="9994" width="13.7109375" style="105" customWidth="1"/>
    <col min="9995" max="9995" width="13.5703125" style="105" customWidth="1"/>
    <col min="9996" max="9996" width="13.42578125" style="105" customWidth="1"/>
    <col min="9997" max="9998" width="12.7109375" style="105" customWidth="1"/>
    <col min="9999" max="9999" width="13.85546875" style="105" customWidth="1"/>
    <col min="10000" max="10000" width="14.140625" style="105" bestFit="1" customWidth="1"/>
    <col min="10001" max="10001" width="14" style="105" bestFit="1" customWidth="1"/>
    <col min="10002" max="10002" width="18.85546875" style="105" bestFit="1" customWidth="1"/>
    <col min="10003" max="10004" width="17.140625" style="105" bestFit="1" customWidth="1"/>
    <col min="10005" max="10005" width="18.85546875" style="105" bestFit="1" customWidth="1"/>
    <col min="10006" max="10210" width="9.140625" style="105"/>
    <col min="10211" max="10211" width="11.42578125" style="105" bestFit="1" customWidth="1"/>
    <col min="10212" max="10230" width="10.85546875" style="105" bestFit="1" customWidth="1"/>
    <col min="10231" max="10232" width="12.42578125" style="105" bestFit="1" customWidth="1"/>
    <col min="10233" max="10233" width="11" style="105" customWidth="1"/>
    <col min="10234" max="10247" width="12.7109375" style="105" customWidth="1"/>
    <col min="10248" max="10248" width="13.140625" style="105" customWidth="1"/>
    <col min="10249" max="10249" width="12.7109375" style="105" customWidth="1"/>
    <col min="10250" max="10250" width="13.7109375" style="105" customWidth="1"/>
    <col min="10251" max="10251" width="13.5703125" style="105" customWidth="1"/>
    <col min="10252" max="10252" width="13.42578125" style="105" customWidth="1"/>
    <col min="10253" max="10254" width="12.7109375" style="105" customWidth="1"/>
    <col min="10255" max="10255" width="13.85546875" style="105" customWidth="1"/>
    <col min="10256" max="10256" width="14.140625" style="105" bestFit="1" customWidth="1"/>
    <col min="10257" max="10257" width="14" style="105" bestFit="1" customWidth="1"/>
    <col min="10258" max="10258" width="18.85546875" style="105" bestFit="1" customWidth="1"/>
    <col min="10259" max="10260" width="17.140625" style="105" bestFit="1" customWidth="1"/>
    <col min="10261" max="10261" width="18.85546875" style="105" bestFit="1" customWidth="1"/>
    <col min="10262" max="10466" width="9.140625" style="105"/>
    <col min="10467" max="10467" width="11.42578125" style="105" bestFit="1" customWidth="1"/>
    <col min="10468" max="10486" width="10.85546875" style="105" bestFit="1" customWidth="1"/>
    <col min="10487" max="10488" width="12.42578125" style="105" bestFit="1" customWidth="1"/>
    <col min="10489" max="10489" width="11" style="105" customWidth="1"/>
    <col min="10490" max="10503" width="12.7109375" style="105" customWidth="1"/>
    <col min="10504" max="10504" width="13.140625" style="105" customWidth="1"/>
    <col min="10505" max="10505" width="12.7109375" style="105" customWidth="1"/>
    <col min="10506" max="10506" width="13.7109375" style="105" customWidth="1"/>
    <col min="10507" max="10507" width="13.5703125" style="105" customWidth="1"/>
    <col min="10508" max="10508" width="13.42578125" style="105" customWidth="1"/>
    <col min="10509" max="10510" width="12.7109375" style="105" customWidth="1"/>
    <col min="10511" max="10511" width="13.85546875" style="105" customWidth="1"/>
    <col min="10512" max="10512" width="14.140625" style="105" bestFit="1" customWidth="1"/>
    <col min="10513" max="10513" width="14" style="105" bestFit="1" customWidth="1"/>
    <col min="10514" max="10514" width="18.85546875" style="105" bestFit="1" customWidth="1"/>
    <col min="10515" max="10516" width="17.140625" style="105" bestFit="1" customWidth="1"/>
    <col min="10517" max="10517" width="18.85546875" style="105" bestFit="1" customWidth="1"/>
    <col min="10518" max="10722" width="9.140625" style="105"/>
    <col min="10723" max="10723" width="11.42578125" style="105" bestFit="1" customWidth="1"/>
    <col min="10724" max="10742" width="10.85546875" style="105" bestFit="1" customWidth="1"/>
    <col min="10743" max="10744" width="12.42578125" style="105" bestFit="1" customWidth="1"/>
    <col min="10745" max="10745" width="11" style="105" customWidth="1"/>
    <col min="10746" max="10759" width="12.7109375" style="105" customWidth="1"/>
    <col min="10760" max="10760" width="13.140625" style="105" customWidth="1"/>
    <col min="10761" max="10761" width="12.7109375" style="105" customWidth="1"/>
    <col min="10762" max="10762" width="13.7109375" style="105" customWidth="1"/>
    <col min="10763" max="10763" width="13.5703125" style="105" customWidth="1"/>
    <col min="10764" max="10764" width="13.42578125" style="105" customWidth="1"/>
    <col min="10765" max="10766" width="12.7109375" style="105" customWidth="1"/>
    <col min="10767" max="10767" width="13.85546875" style="105" customWidth="1"/>
    <col min="10768" max="10768" width="14.140625" style="105" bestFit="1" customWidth="1"/>
    <col min="10769" max="10769" width="14" style="105" bestFit="1" customWidth="1"/>
    <col min="10770" max="10770" width="18.85546875" style="105" bestFit="1" customWidth="1"/>
    <col min="10771" max="10772" width="17.140625" style="105" bestFit="1" customWidth="1"/>
    <col min="10773" max="10773" width="18.85546875" style="105" bestFit="1" customWidth="1"/>
    <col min="10774" max="10978" width="9.140625" style="105"/>
    <col min="10979" max="10979" width="11.42578125" style="105" bestFit="1" customWidth="1"/>
    <col min="10980" max="10998" width="10.85546875" style="105" bestFit="1" customWidth="1"/>
    <col min="10999" max="11000" width="12.42578125" style="105" bestFit="1" customWidth="1"/>
    <col min="11001" max="11001" width="11" style="105" customWidth="1"/>
    <col min="11002" max="11015" width="12.7109375" style="105" customWidth="1"/>
    <col min="11016" max="11016" width="13.140625" style="105" customWidth="1"/>
    <col min="11017" max="11017" width="12.7109375" style="105" customWidth="1"/>
    <col min="11018" max="11018" width="13.7109375" style="105" customWidth="1"/>
    <col min="11019" max="11019" width="13.5703125" style="105" customWidth="1"/>
    <col min="11020" max="11020" width="13.42578125" style="105" customWidth="1"/>
    <col min="11021" max="11022" width="12.7109375" style="105" customWidth="1"/>
    <col min="11023" max="11023" width="13.85546875" style="105" customWidth="1"/>
    <col min="11024" max="11024" width="14.140625" style="105" bestFit="1" customWidth="1"/>
    <col min="11025" max="11025" width="14" style="105" bestFit="1" customWidth="1"/>
    <col min="11026" max="11026" width="18.85546875" style="105" bestFit="1" customWidth="1"/>
    <col min="11027" max="11028" width="17.140625" style="105" bestFit="1" customWidth="1"/>
    <col min="11029" max="11029" width="18.85546875" style="105" bestFit="1" customWidth="1"/>
    <col min="11030" max="11234" width="9.140625" style="105"/>
    <col min="11235" max="11235" width="11.42578125" style="105" bestFit="1" customWidth="1"/>
    <col min="11236" max="11254" width="10.85546875" style="105" bestFit="1" customWidth="1"/>
    <col min="11255" max="11256" width="12.42578125" style="105" bestFit="1" customWidth="1"/>
    <col min="11257" max="11257" width="11" style="105" customWidth="1"/>
    <col min="11258" max="11271" width="12.7109375" style="105" customWidth="1"/>
    <col min="11272" max="11272" width="13.140625" style="105" customWidth="1"/>
    <col min="11273" max="11273" width="12.7109375" style="105" customWidth="1"/>
    <col min="11274" max="11274" width="13.7109375" style="105" customWidth="1"/>
    <col min="11275" max="11275" width="13.5703125" style="105" customWidth="1"/>
    <col min="11276" max="11276" width="13.42578125" style="105" customWidth="1"/>
    <col min="11277" max="11278" width="12.7109375" style="105" customWidth="1"/>
    <col min="11279" max="11279" width="13.85546875" style="105" customWidth="1"/>
    <col min="11280" max="11280" width="14.140625" style="105" bestFit="1" customWidth="1"/>
    <col min="11281" max="11281" width="14" style="105" bestFit="1" customWidth="1"/>
    <col min="11282" max="11282" width="18.85546875" style="105" bestFit="1" customWidth="1"/>
    <col min="11283" max="11284" width="17.140625" style="105" bestFit="1" customWidth="1"/>
    <col min="11285" max="11285" width="18.85546875" style="105" bestFit="1" customWidth="1"/>
    <col min="11286" max="11490" width="9.140625" style="105"/>
    <col min="11491" max="11491" width="11.42578125" style="105" bestFit="1" customWidth="1"/>
    <col min="11492" max="11510" width="10.85546875" style="105" bestFit="1" customWidth="1"/>
    <col min="11511" max="11512" width="12.42578125" style="105" bestFit="1" customWidth="1"/>
    <col min="11513" max="11513" width="11" style="105" customWidth="1"/>
    <col min="11514" max="11527" width="12.7109375" style="105" customWidth="1"/>
    <col min="11528" max="11528" width="13.140625" style="105" customWidth="1"/>
    <col min="11529" max="11529" width="12.7109375" style="105" customWidth="1"/>
    <col min="11530" max="11530" width="13.7109375" style="105" customWidth="1"/>
    <col min="11531" max="11531" width="13.5703125" style="105" customWidth="1"/>
    <col min="11532" max="11532" width="13.42578125" style="105" customWidth="1"/>
    <col min="11533" max="11534" width="12.7109375" style="105" customWidth="1"/>
    <col min="11535" max="11535" width="13.85546875" style="105" customWidth="1"/>
    <col min="11536" max="11536" width="14.140625" style="105" bestFit="1" customWidth="1"/>
    <col min="11537" max="11537" width="14" style="105" bestFit="1" customWidth="1"/>
    <col min="11538" max="11538" width="18.85546875" style="105" bestFit="1" customWidth="1"/>
    <col min="11539" max="11540" width="17.140625" style="105" bestFit="1" customWidth="1"/>
    <col min="11541" max="11541" width="18.85546875" style="105" bestFit="1" customWidth="1"/>
    <col min="11542" max="11746" width="9.140625" style="105"/>
    <col min="11747" max="11747" width="11.42578125" style="105" bestFit="1" customWidth="1"/>
    <col min="11748" max="11766" width="10.85546875" style="105" bestFit="1" customWidth="1"/>
    <col min="11767" max="11768" width="12.42578125" style="105" bestFit="1" customWidth="1"/>
    <col min="11769" max="11769" width="11" style="105" customWidth="1"/>
    <col min="11770" max="11783" width="12.7109375" style="105" customWidth="1"/>
    <col min="11784" max="11784" width="13.140625" style="105" customWidth="1"/>
    <col min="11785" max="11785" width="12.7109375" style="105" customWidth="1"/>
    <col min="11786" max="11786" width="13.7109375" style="105" customWidth="1"/>
    <col min="11787" max="11787" width="13.5703125" style="105" customWidth="1"/>
    <col min="11788" max="11788" width="13.42578125" style="105" customWidth="1"/>
    <col min="11789" max="11790" width="12.7109375" style="105" customWidth="1"/>
    <col min="11791" max="11791" width="13.85546875" style="105" customWidth="1"/>
    <col min="11792" max="11792" width="14.140625" style="105" bestFit="1" customWidth="1"/>
    <col min="11793" max="11793" width="14" style="105" bestFit="1" customWidth="1"/>
    <col min="11794" max="11794" width="18.85546875" style="105" bestFit="1" customWidth="1"/>
    <col min="11795" max="11796" width="17.140625" style="105" bestFit="1" customWidth="1"/>
    <col min="11797" max="11797" width="18.85546875" style="105" bestFit="1" customWidth="1"/>
    <col min="11798" max="12002" width="9.140625" style="105"/>
    <col min="12003" max="12003" width="11.42578125" style="105" bestFit="1" customWidth="1"/>
    <col min="12004" max="12022" width="10.85546875" style="105" bestFit="1" customWidth="1"/>
    <col min="12023" max="12024" width="12.42578125" style="105" bestFit="1" customWidth="1"/>
    <col min="12025" max="12025" width="11" style="105" customWidth="1"/>
    <col min="12026" max="12039" width="12.7109375" style="105" customWidth="1"/>
    <col min="12040" max="12040" width="13.140625" style="105" customWidth="1"/>
    <col min="12041" max="12041" width="12.7109375" style="105" customWidth="1"/>
    <col min="12042" max="12042" width="13.7109375" style="105" customWidth="1"/>
    <col min="12043" max="12043" width="13.5703125" style="105" customWidth="1"/>
    <col min="12044" max="12044" width="13.42578125" style="105" customWidth="1"/>
    <col min="12045" max="12046" width="12.7109375" style="105" customWidth="1"/>
    <col min="12047" max="12047" width="13.85546875" style="105" customWidth="1"/>
    <col min="12048" max="12048" width="14.140625" style="105" bestFit="1" customWidth="1"/>
    <col min="12049" max="12049" width="14" style="105" bestFit="1" customWidth="1"/>
    <col min="12050" max="12050" width="18.85546875" style="105" bestFit="1" customWidth="1"/>
    <col min="12051" max="12052" width="17.140625" style="105" bestFit="1" customWidth="1"/>
    <col min="12053" max="12053" width="18.85546875" style="105" bestFit="1" customWidth="1"/>
    <col min="12054" max="12258" width="9.140625" style="105"/>
    <col min="12259" max="12259" width="11.42578125" style="105" bestFit="1" customWidth="1"/>
    <col min="12260" max="12278" width="10.85546875" style="105" bestFit="1" customWidth="1"/>
    <col min="12279" max="12280" width="12.42578125" style="105" bestFit="1" customWidth="1"/>
    <col min="12281" max="12281" width="11" style="105" customWidth="1"/>
    <col min="12282" max="12295" width="12.7109375" style="105" customWidth="1"/>
    <col min="12296" max="12296" width="13.140625" style="105" customWidth="1"/>
    <col min="12297" max="12297" width="12.7109375" style="105" customWidth="1"/>
    <col min="12298" max="12298" width="13.7109375" style="105" customWidth="1"/>
    <col min="12299" max="12299" width="13.5703125" style="105" customWidth="1"/>
    <col min="12300" max="12300" width="13.42578125" style="105" customWidth="1"/>
    <col min="12301" max="12302" width="12.7109375" style="105" customWidth="1"/>
    <col min="12303" max="12303" width="13.85546875" style="105" customWidth="1"/>
    <col min="12304" max="12304" width="14.140625" style="105" bestFit="1" customWidth="1"/>
    <col min="12305" max="12305" width="14" style="105" bestFit="1" customWidth="1"/>
    <col min="12306" max="12306" width="18.85546875" style="105" bestFit="1" customWidth="1"/>
    <col min="12307" max="12308" width="17.140625" style="105" bestFit="1" customWidth="1"/>
    <col min="12309" max="12309" width="18.85546875" style="105" bestFit="1" customWidth="1"/>
    <col min="12310" max="12514" width="9.140625" style="105"/>
    <col min="12515" max="12515" width="11.42578125" style="105" bestFit="1" customWidth="1"/>
    <col min="12516" max="12534" width="10.85546875" style="105" bestFit="1" customWidth="1"/>
    <col min="12535" max="12536" width="12.42578125" style="105" bestFit="1" customWidth="1"/>
    <col min="12537" max="12537" width="11" style="105" customWidth="1"/>
    <col min="12538" max="12551" width="12.7109375" style="105" customWidth="1"/>
    <col min="12552" max="12552" width="13.140625" style="105" customWidth="1"/>
    <col min="12553" max="12553" width="12.7109375" style="105" customWidth="1"/>
    <col min="12554" max="12554" width="13.7109375" style="105" customWidth="1"/>
    <col min="12555" max="12555" width="13.5703125" style="105" customWidth="1"/>
    <col min="12556" max="12556" width="13.42578125" style="105" customWidth="1"/>
    <col min="12557" max="12558" width="12.7109375" style="105" customWidth="1"/>
    <col min="12559" max="12559" width="13.85546875" style="105" customWidth="1"/>
    <col min="12560" max="12560" width="14.140625" style="105" bestFit="1" customWidth="1"/>
    <col min="12561" max="12561" width="14" style="105" bestFit="1" customWidth="1"/>
    <col min="12562" max="12562" width="18.85546875" style="105" bestFit="1" customWidth="1"/>
    <col min="12563" max="12564" width="17.140625" style="105" bestFit="1" customWidth="1"/>
    <col min="12565" max="12565" width="18.85546875" style="105" bestFit="1" customWidth="1"/>
    <col min="12566" max="12770" width="9.140625" style="105"/>
    <col min="12771" max="12771" width="11.42578125" style="105" bestFit="1" customWidth="1"/>
    <col min="12772" max="12790" width="10.85546875" style="105" bestFit="1" customWidth="1"/>
    <col min="12791" max="12792" width="12.42578125" style="105" bestFit="1" customWidth="1"/>
    <col min="12793" max="12793" width="11" style="105" customWidth="1"/>
    <col min="12794" max="12807" width="12.7109375" style="105" customWidth="1"/>
    <col min="12808" max="12808" width="13.140625" style="105" customWidth="1"/>
    <col min="12809" max="12809" width="12.7109375" style="105" customWidth="1"/>
    <col min="12810" max="12810" width="13.7109375" style="105" customWidth="1"/>
    <col min="12811" max="12811" width="13.5703125" style="105" customWidth="1"/>
    <col min="12812" max="12812" width="13.42578125" style="105" customWidth="1"/>
    <col min="12813" max="12814" width="12.7109375" style="105" customWidth="1"/>
    <col min="12815" max="12815" width="13.85546875" style="105" customWidth="1"/>
    <col min="12816" max="12816" width="14.140625" style="105" bestFit="1" customWidth="1"/>
    <col min="12817" max="12817" width="14" style="105" bestFit="1" customWidth="1"/>
    <col min="12818" max="12818" width="18.85546875" style="105" bestFit="1" customWidth="1"/>
    <col min="12819" max="12820" width="17.140625" style="105" bestFit="1" customWidth="1"/>
    <col min="12821" max="12821" width="18.85546875" style="105" bestFit="1" customWidth="1"/>
    <col min="12822" max="13026" width="9.140625" style="105"/>
    <col min="13027" max="13027" width="11.42578125" style="105" bestFit="1" customWidth="1"/>
    <col min="13028" max="13046" width="10.85546875" style="105" bestFit="1" customWidth="1"/>
    <col min="13047" max="13048" width="12.42578125" style="105" bestFit="1" customWidth="1"/>
    <col min="13049" max="13049" width="11" style="105" customWidth="1"/>
    <col min="13050" max="13063" width="12.7109375" style="105" customWidth="1"/>
    <col min="13064" max="13064" width="13.140625" style="105" customWidth="1"/>
    <col min="13065" max="13065" width="12.7109375" style="105" customWidth="1"/>
    <col min="13066" max="13066" width="13.7109375" style="105" customWidth="1"/>
    <col min="13067" max="13067" width="13.5703125" style="105" customWidth="1"/>
    <col min="13068" max="13068" width="13.42578125" style="105" customWidth="1"/>
    <col min="13069" max="13070" width="12.7109375" style="105" customWidth="1"/>
    <col min="13071" max="13071" width="13.85546875" style="105" customWidth="1"/>
    <col min="13072" max="13072" width="14.140625" style="105" bestFit="1" customWidth="1"/>
    <col min="13073" max="13073" width="14" style="105" bestFit="1" customWidth="1"/>
    <col min="13074" max="13074" width="18.85546875" style="105" bestFit="1" customWidth="1"/>
    <col min="13075" max="13076" width="17.140625" style="105" bestFit="1" customWidth="1"/>
    <col min="13077" max="13077" width="18.85546875" style="105" bestFit="1" customWidth="1"/>
    <col min="13078" max="13282" width="9.140625" style="105"/>
    <col min="13283" max="13283" width="11.42578125" style="105" bestFit="1" customWidth="1"/>
    <col min="13284" max="13302" width="10.85546875" style="105" bestFit="1" customWidth="1"/>
    <col min="13303" max="13304" width="12.42578125" style="105" bestFit="1" customWidth="1"/>
    <col min="13305" max="13305" width="11" style="105" customWidth="1"/>
    <col min="13306" max="13319" width="12.7109375" style="105" customWidth="1"/>
    <col min="13320" max="13320" width="13.140625" style="105" customWidth="1"/>
    <col min="13321" max="13321" width="12.7109375" style="105" customWidth="1"/>
    <col min="13322" max="13322" width="13.7109375" style="105" customWidth="1"/>
    <col min="13323" max="13323" width="13.5703125" style="105" customWidth="1"/>
    <col min="13324" max="13324" width="13.42578125" style="105" customWidth="1"/>
    <col min="13325" max="13326" width="12.7109375" style="105" customWidth="1"/>
    <col min="13327" max="13327" width="13.85546875" style="105" customWidth="1"/>
    <col min="13328" max="13328" width="14.140625" style="105" bestFit="1" customWidth="1"/>
    <col min="13329" max="13329" width="14" style="105" bestFit="1" customWidth="1"/>
    <col min="13330" max="13330" width="18.85546875" style="105" bestFit="1" customWidth="1"/>
    <col min="13331" max="13332" width="17.140625" style="105" bestFit="1" customWidth="1"/>
    <col min="13333" max="13333" width="18.85546875" style="105" bestFit="1" customWidth="1"/>
    <col min="13334" max="13538" width="9.140625" style="105"/>
    <col min="13539" max="13539" width="11.42578125" style="105" bestFit="1" customWidth="1"/>
    <col min="13540" max="13558" width="10.85546875" style="105" bestFit="1" customWidth="1"/>
    <col min="13559" max="13560" width="12.42578125" style="105" bestFit="1" customWidth="1"/>
    <col min="13561" max="13561" width="11" style="105" customWidth="1"/>
    <col min="13562" max="13575" width="12.7109375" style="105" customWidth="1"/>
    <col min="13576" max="13576" width="13.140625" style="105" customWidth="1"/>
    <col min="13577" max="13577" width="12.7109375" style="105" customWidth="1"/>
    <col min="13578" max="13578" width="13.7109375" style="105" customWidth="1"/>
    <col min="13579" max="13579" width="13.5703125" style="105" customWidth="1"/>
    <col min="13580" max="13580" width="13.42578125" style="105" customWidth="1"/>
    <col min="13581" max="13582" width="12.7109375" style="105" customWidth="1"/>
    <col min="13583" max="13583" width="13.85546875" style="105" customWidth="1"/>
    <col min="13584" max="13584" width="14.140625" style="105" bestFit="1" customWidth="1"/>
    <col min="13585" max="13585" width="14" style="105" bestFit="1" customWidth="1"/>
    <col min="13586" max="13586" width="18.85546875" style="105" bestFit="1" customWidth="1"/>
    <col min="13587" max="13588" width="17.140625" style="105" bestFit="1" customWidth="1"/>
    <col min="13589" max="13589" width="18.85546875" style="105" bestFit="1" customWidth="1"/>
    <col min="13590" max="13794" width="9.140625" style="105"/>
    <col min="13795" max="13795" width="11.42578125" style="105" bestFit="1" customWidth="1"/>
    <col min="13796" max="13814" width="10.85546875" style="105" bestFit="1" customWidth="1"/>
    <col min="13815" max="13816" width="12.42578125" style="105" bestFit="1" customWidth="1"/>
    <col min="13817" max="13817" width="11" style="105" customWidth="1"/>
    <col min="13818" max="13831" width="12.7109375" style="105" customWidth="1"/>
    <col min="13832" max="13832" width="13.140625" style="105" customWidth="1"/>
    <col min="13833" max="13833" width="12.7109375" style="105" customWidth="1"/>
    <col min="13834" max="13834" width="13.7109375" style="105" customWidth="1"/>
    <col min="13835" max="13835" width="13.5703125" style="105" customWidth="1"/>
    <col min="13836" max="13836" width="13.42578125" style="105" customWidth="1"/>
    <col min="13837" max="13838" width="12.7109375" style="105" customWidth="1"/>
    <col min="13839" max="13839" width="13.85546875" style="105" customWidth="1"/>
    <col min="13840" max="13840" width="14.140625" style="105" bestFit="1" customWidth="1"/>
    <col min="13841" max="13841" width="14" style="105" bestFit="1" customWidth="1"/>
    <col min="13842" max="13842" width="18.85546875" style="105" bestFit="1" customWidth="1"/>
    <col min="13843" max="13844" width="17.140625" style="105" bestFit="1" customWidth="1"/>
    <col min="13845" max="13845" width="18.85546875" style="105" bestFit="1" customWidth="1"/>
    <col min="13846" max="14050" width="9.140625" style="105"/>
    <col min="14051" max="14051" width="11.42578125" style="105" bestFit="1" customWidth="1"/>
    <col min="14052" max="14070" width="10.85546875" style="105" bestFit="1" customWidth="1"/>
    <col min="14071" max="14072" width="12.42578125" style="105" bestFit="1" customWidth="1"/>
    <col min="14073" max="14073" width="11" style="105" customWidth="1"/>
    <col min="14074" max="14087" width="12.7109375" style="105" customWidth="1"/>
    <col min="14088" max="14088" width="13.140625" style="105" customWidth="1"/>
    <col min="14089" max="14089" width="12.7109375" style="105" customWidth="1"/>
    <col min="14090" max="14090" width="13.7109375" style="105" customWidth="1"/>
    <col min="14091" max="14091" width="13.5703125" style="105" customWidth="1"/>
    <col min="14092" max="14092" width="13.42578125" style="105" customWidth="1"/>
    <col min="14093" max="14094" width="12.7109375" style="105" customWidth="1"/>
    <col min="14095" max="14095" width="13.85546875" style="105" customWidth="1"/>
    <col min="14096" max="14096" width="14.140625" style="105" bestFit="1" customWidth="1"/>
    <col min="14097" max="14097" width="14" style="105" bestFit="1" customWidth="1"/>
    <col min="14098" max="14098" width="18.85546875" style="105" bestFit="1" customWidth="1"/>
    <col min="14099" max="14100" width="17.140625" style="105" bestFit="1" customWidth="1"/>
    <col min="14101" max="14101" width="18.85546875" style="105" bestFit="1" customWidth="1"/>
    <col min="14102" max="14306" width="9.140625" style="105"/>
    <col min="14307" max="14307" width="11.42578125" style="105" bestFit="1" customWidth="1"/>
    <col min="14308" max="14326" width="10.85546875" style="105" bestFit="1" customWidth="1"/>
    <col min="14327" max="14328" width="12.42578125" style="105" bestFit="1" customWidth="1"/>
    <col min="14329" max="14329" width="11" style="105" customWidth="1"/>
    <col min="14330" max="14343" width="12.7109375" style="105" customWidth="1"/>
    <col min="14344" max="14344" width="13.140625" style="105" customWidth="1"/>
    <col min="14345" max="14345" width="12.7109375" style="105" customWidth="1"/>
    <col min="14346" max="14346" width="13.7109375" style="105" customWidth="1"/>
    <col min="14347" max="14347" width="13.5703125" style="105" customWidth="1"/>
    <col min="14348" max="14348" width="13.42578125" style="105" customWidth="1"/>
    <col min="14349" max="14350" width="12.7109375" style="105" customWidth="1"/>
    <col min="14351" max="14351" width="13.85546875" style="105" customWidth="1"/>
    <col min="14352" max="14352" width="14.140625" style="105" bestFit="1" customWidth="1"/>
    <col min="14353" max="14353" width="14" style="105" bestFit="1" customWidth="1"/>
    <col min="14354" max="14354" width="18.85546875" style="105" bestFit="1" customWidth="1"/>
    <col min="14355" max="14356" width="17.140625" style="105" bestFit="1" customWidth="1"/>
    <col min="14357" max="14357" width="18.85546875" style="105" bestFit="1" customWidth="1"/>
    <col min="14358" max="14562" width="9.140625" style="105"/>
    <col min="14563" max="14563" width="11.42578125" style="105" bestFit="1" customWidth="1"/>
    <col min="14564" max="14582" width="10.85546875" style="105" bestFit="1" customWidth="1"/>
    <col min="14583" max="14584" width="12.42578125" style="105" bestFit="1" customWidth="1"/>
    <col min="14585" max="14585" width="11" style="105" customWidth="1"/>
    <col min="14586" max="14599" width="12.7109375" style="105" customWidth="1"/>
    <col min="14600" max="14600" width="13.140625" style="105" customWidth="1"/>
    <col min="14601" max="14601" width="12.7109375" style="105" customWidth="1"/>
    <col min="14602" max="14602" width="13.7109375" style="105" customWidth="1"/>
    <col min="14603" max="14603" width="13.5703125" style="105" customWidth="1"/>
    <col min="14604" max="14604" width="13.42578125" style="105" customWidth="1"/>
    <col min="14605" max="14606" width="12.7109375" style="105" customWidth="1"/>
    <col min="14607" max="14607" width="13.85546875" style="105" customWidth="1"/>
    <col min="14608" max="14608" width="14.140625" style="105" bestFit="1" customWidth="1"/>
    <col min="14609" max="14609" width="14" style="105" bestFit="1" customWidth="1"/>
    <col min="14610" max="14610" width="18.85546875" style="105" bestFit="1" customWidth="1"/>
    <col min="14611" max="14612" width="17.140625" style="105" bestFit="1" customWidth="1"/>
    <col min="14613" max="14613" width="18.85546875" style="105" bestFit="1" customWidth="1"/>
    <col min="14614" max="14818" width="9.140625" style="105"/>
    <col min="14819" max="14819" width="11.42578125" style="105" bestFit="1" customWidth="1"/>
    <col min="14820" max="14838" width="10.85546875" style="105" bestFit="1" customWidth="1"/>
    <col min="14839" max="14840" width="12.42578125" style="105" bestFit="1" customWidth="1"/>
    <col min="14841" max="14841" width="11" style="105" customWidth="1"/>
    <col min="14842" max="14855" width="12.7109375" style="105" customWidth="1"/>
    <col min="14856" max="14856" width="13.140625" style="105" customWidth="1"/>
    <col min="14857" max="14857" width="12.7109375" style="105" customWidth="1"/>
    <col min="14858" max="14858" width="13.7109375" style="105" customWidth="1"/>
    <col min="14859" max="14859" width="13.5703125" style="105" customWidth="1"/>
    <col min="14860" max="14860" width="13.42578125" style="105" customWidth="1"/>
    <col min="14861" max="14862" width="12.7109375" style="105" customWidth="1"/>
    <col min="14863" max="14863" width="13.85546875" style="105" customWidth="1"/>
    <col min="14864" max="14864" width="14.140625" style="105" bestFit="1" customWidth="1"/>
    <col min="14865" max="14865" width="14" style="105" bestFit="1" customWidth="1"/>
    <col min="14866" max="14866" width="18.85546875" style="105" bestFit="1" customWidth="1"/>
    <col min="14867" max="14868" width="17.140625" style="105" bestFit="1" customWidth="1"/>
    <col min="14869" max="14869" width="18.85546875" style="105" bestFit="1" customWidth="1"/>
    <col min="14870" max="15074" width="9.140625" style="105"/>
    <col min="15075" max="15075" width="11.42578125" style="105" bestFit="1" customWidth="1"/>
    <col min="15076" max="15094" width="10.85546875" style="105" bestFit="1" customWidth="1"/>
    <col min="15095" max="15096" width="12.42578125" style="105" bestFit="1" customWidth="1"/>
    <col min="15097" max="15097" width="11" style="105" customWidth="1"/>
    <col min="15098" max="15111" width="12.7109375" style="105" customWidth="1"/>
    <col min="15112" max="15112" width="13.140625" style="105" customWidth="1"/>
    <col min="15113" max="15113" width="12.7109375" style="105" customWidth="1"/>
    <col min="15114" max="15114" width="13.7109375" style="105" customWidth="1"/>
    <col min="15115" max="15115" width="13.5703125" style="105" customWidth="1"/>
    <col min="15116" max="15116" width="13.42578125" style="105" customWidth="1"/>
    <col min="15117" max="15118" width="12.7109375" style="105" customWidth="1"/>
    <col min="15119" max="15119" width="13.85546875" style="105" customWidth="1"/>
    <col min="15120" max="15120" width="14.140625" style="105" bestFit="1" customWidth="1"/>
    <col min="15121" max="15121" width="14" style="105" bestFit="1" customWidth="1"/>
    <col min="15122" max="15122" width="18.85546875" style="105" bestFit="1" customWidth="1"/>
    <col min="15123" max="15124" width="17.140625" style="105" bestFit="1" customWidth="1"/>
    <col min="15125" max="15125" width="18.85546875" style="105" bestFit="1" customWidth="1"/>
    <col min="15126" max="15330" width="9.140625" style="105"/>
    <col min="15331" max="15331" width="11.42578125" style="105" bestFit="1" customWidth="1"/>
    <col min="15332" max="15350" width="10.85546875" style="105" bestFit="1" customWidth="1"/>
    <col min="15351" max="15352" width="12.42578125" style="105" bestFit="1" customWidth="1"/>
    <col min="15353" max="15353" width="11" style="105" customWidth="1"/>
    <col min="15354" max="15367" width="12.7109375" style="105" customWidth="1"/>
    <col min="15368" max="15368" width="13.140625" style="105" customWidth="1"/>
    <col min="15369" max="15369" width="12.7109375" style="105" customWidth="1"/>
    <col min="15370" max="15370" width="13.7109375" style="105" customWidth="1"/>
    <col min="15371" max="15371" width="13.5703125" style="105" customWidth="1"/>
    <col min="15372" max="15372" width="13.42578125" style="105" customWidth="1"/>
    <col min="15373" max="15374" width="12.7109375" style="105" customWidth="1"/>
    <col min="15375" max="15375" width="13.85546875" style="105" customWidth="1"/>
    <col min="15376" max="15376" width="14.140625" style="105" bestFit="1" customWidth="1"/>
    <col min="15377" max="15377" width="14" style="105" bestFit="1" customWidth="1"/>
    <col min="15378" max="15378" width="18.85546875" style="105" bestFit="1" customWidth="1"/>
    <col min="15379" max="15380" width="17.140625" style="105" bestFit="1" customWidth="1"/>
    <col min="15381" max="15381" width="18.85546875" style="105" bestFit="1" customWidth="1"/>
    <col min="15382" max="15586" width="9.140625" style="105"/>
    <col min="15587" max="15587" width="11.42578125" style="105" bestFit="1" customWidth="1"/>
    <col min="15588" max="15606" width="10.85546875" style="105" bestFit="1" customWidth="1"/>
    <col min="15607" max="15608" width="12.42578125" style="105" bestFit="1" customWidth="1"/>
    <col min="15609" max="15609" width="11" style="105" customWidth="1"/>
    <col min="15610" max="15623" width="12.7109375" style="105" customWidth="1"/>
    <col min="15624" max="15624" width="13.140625" style="105" customWidth="1"/>
    <col min="15625" max="15625" width="12.7109375" style="105" customWidth="1"/>
    <col min="15626" max="15626" width="13.7109375" style="105" customWidth="1"/>
    <col min="15627" max="15627" width="13.5703125" style="105" customWidth="1"/>
    <col min="15628" max="15628" width="13.42578125" style="105" customWidth="1"/>
    <col min="15629" max="15630" width="12.7109375" style="105" customWidth="1"/>
    <col min="15631" max="15631" width="13.85546875" style="105" customWidth="1"/>
    <col min="15632" max="15632" width="14.140625" style="105" bestFit="1" customWidth="1"/>
    <col min="15633" max="15633" width="14" style="105" bestFit="1" customWidth="1"/>
    <col min="15634" max="15634" width="18.85546875" style="105" bestFit="1" customWidth="1"/>
    <col min="15635" max="15636" width="17.140625" style="105" bestFit="1" customWidth="1"/>
    <col min="15637" max="15637" width="18.85546875" style="105" bestFit="1" customWidth="1"/>
    <col min="15638" max="15842" width="9.140625" style="105"/>
    <col min="15843" max="15843" width="11.42578125" style="105" bestFit="1" customWidth="1"/>
    <col min="15844" max="15862" width="10.85546875" style="105" bestFit="1" customWidth="1"/>
    <col min="15863" max="15864" width="12.42578125" style="105" bestFit="1" customWidth="1"/>
    <col min="15865" max="15865" width="11" style="105" customWidth="1"/>
    <col min="15866" max="15879" width="12.7109375" style="105" customWidth="1"/>
    <col min="15880" max="15880" width="13.140625" style="105" customWidth="1"/>
    <col min="15881" max="15881" width="12.7109375" style="105" customWidth="1"/>
    <col min="15882" max="15882" width="13.7109375" style="105" customWidth="1"/>
    <col min="15883" max="15883" width="13.5703125" style="105" customWidth="1"/>
    <col min="15884" max="15884" width="13.42578125" style="105" customWidth="1"/>
    <col min="15885" max="15886" width="12.7109375" style="105" customWidth="1"/>
    <col min="15887" max="15887" width="13.85546875" style="105" customWidth="1"/>
    <col min="15888" max="15888" width="14.140625" style="105" bestFit="1" customWidth="1"/>
    <col min="15889" max="15889" width="14" style="105" bestFit="1" customWidth="1"/>
    <col min="15890" max="15890" width="18.85546875" style="105" bestFit="1" customWidth="1"/>
    <col min="15891" max="15892" width="17.140625" style="105" bestFit="1" customWidth="1"/>
    <col min="15893" max="15893" width="18.85546875" style="105" bestFit="1" customWidth="1"/>
    <col min="15894" max="16098" width="9.140625" style="105"/>
    <col min="16099" max="16099" width="11.42578125" style="105" bestFit="1" customWidth="1"/>
    <col min="16100" max="16118" width="10.85546875" style="105" bestFit="1" customWidth="1"/>
    <col min="16119" max="16120" width="12.42578125" style="105" bestFit="1" customWidth="1"/>
    <col min="16121" max="16121" width="11" style="105" customWidth="1"/>
    <col min="16122" max="16135" width="12.7109375" style="105" customWidth="1"/>
    <col min="16136" max="16136" width="13.140625" style="105" customWidth="1"/>
    <col min="16137" max="16137" width="12.7109375" style="105" customWidth="1"/>
    <col min="16138" max="16138" width="13.7109375" style="105" customWidth="1"/>
    <col min="16139" max="16139" width="13.5703125" style="105" customWidth="1"/>
    <col min="16140" max="16140" width="13.42578125" style="105" customWidth="1"/>
    <col min="16141" max="16142" width="12.7109375" style="105" customWidth="1"/>
    <col min="16143" max="16143" width="13.85546875" style="105" customWidth="1"/>
    <col min="16144" max="16144" width="14.140625" style="105" bestFit="1" customWidth="1"/>
    <col min="16145" max="16145" width="14" style="105" bestFit="1" customWidth="1"/>
    <col min="16146" max="16146" width="18.85546875" style="105" bestFit="1" customWidth="1"/>
    <col min="16147" max="16148" width="17.140625" style="105" bestFit="1" customWidth="1"/>
    <col min="16149" max="16149" width="18.85546875" style="105" bestFit="1" customWidth="1"/>
    <col min="16150" max="16384" width="9.140625" style="105"/>
  </cols>
  <sheetData>
    <row r="1" spans="1:22" ht="24.95" customHeight="1" x14ac:dyDescent="0.25"/>
    <row r="2" spans="1:22" ht="24.95" customHeight="1" x14ac:dyDescent="0.25">
      <c r="A2" s="210" t="s">
        <v>92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</row>
    <row r="3" spans="1:22" ht="24.95" customHeight="1" x14ac:dyDescent="0.25">
      <c r="A3" s="210" t="s">
        <v>93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</row>
    <row r="4" spans="1:22" ht="24.95" customHeight="1" thickBot="1" x14ac:dyDescent="0.3">
      <c r="A4" s="211"/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</row>
    <row r="5" spans="1:22" s="182" customFormat="1" ht="24.95" customHeight="1" thickBot="1" x14ac:dyDescent="0.3">
      <c r="A5" s="169" t="s">
        <v>40</v>
      </c>
      <c r="B5" s="170">
        <v>2004</v>
      </c>
      <c r="C5" s="170">
        <v>2005</v>
      </c>
      <c r="D5" s="170">
        <v>2006</v>
      </c>
      <c r="E5" s="170">
        <v>2007</v>
      </c>
      <c r="F5" s="170">
        <v>2008</v>
      </c>
      <c r="G5" s="170">
        <v>2009</v>
      </c>
      <c r="H5" s="170">
        <v>2010</v>
      </c>
      <c r="I5" s="170">
        <v>2011</v>
      </c>
      <c r="J5" s="170">
        <v>2012</v>
      </c>
      <c r="K5" s="170">
        <v>2013</v>
      </c>
      <c r="L5" s="170">
        <v>2014</v>
      </c>
      <c r="M5" s="170">
        <v>2015</v>
      </c>
      <c r="N5" s="170">
        <v>2016</v>
      </c>
      <c r="O5" s="170">
        <v>2017</v>
      </c>
      <c r="P5" s="170">
        <v>2018</v>
      </c>
      <c r="Q5" s="170">
        <v>2019</v>
      </c>
      <c r="R5" s="170">
        <v>2020</v>
      </c>
      <c r="S5" s="170">
        <v>2021</v>
      </c>
      <c r="T5" s="170">
        <v>2022</v>
      </c>
      <c r="U5" s="170">
        <v>2023</v>
      </c>
    </row>
    <row r="6" spans="1:22" s="182" customFormat="1" ht="24.95" customHeight="1" x14ac:dyDescent="0.25">
      <c r="A6" s="183" t="s">
        <v>3</v>
      </c>
      <c r="B6" s="172">
        <v>1476</v>
      </c>
      <c r="C6" s="172">
        <v>1457</v>
      </c>
      <c r="D6" s="172">
        <v>1482</v>
      </c>
      <c r="E6" s="172">
        <v>1318</v>
      </c>
      <c r="F6" s="172">
        <v>1225</v>
      </c>
      <c r="G6" s="172">
        <v>1178</v>
      </c>
      <c r="H6" s="172">
        <v>1185</v>
      </c>
      <c r="I6" s="172">
        <v>1185</v>
      </c>
      <c r="J6" s="172">
        <v>1205</v>
      </c>
      <c r="K6" s="172">
        <v>1226</v>
      </c>
      <c r="L6" s="172">
        <v>1222</v>
      </c>
      <c r="M6" s="172">
        <v>1221</v>
      </c>
      <c r="N6" s="172">
        <v>1235</v>
      </c>
      <c r="O6" s="172">
        <v>1292</v>
      </c>
      <c r="P6" s="172">
        <v>1246</v>
      </c>
      <c r="Q6" s="186">
        <v>1194.798</v>
      </c>
      <c r="R6" s="186">
        <v>1202.3352</v>
      </c>
      <c r="S6" s="186">
        <v>1460.5</v>
      </c>
      <c r="T6" s="186">
        <v>1479.49</v>
      </c>
      <c r="U6" s="173">
        <v>1613.6510000000001</v>
      </c>
    </row>
    <row r="7" spans="1:22" s="182" customFormat="1" ht="24.95" customHeight="1" x14ac:dyDescent="0.25">
      <c r="A7" s="187" t="s">
        <v>4</v>
      </c>
      <c r="B7" s="175">
        <v>1409</v>
      </c>
      <c r="C7" s="175">
        <v>1461</v>
      </c>
      <c r="D7" s="175">
        <v>1480</v>
      </c>
      <c r="E7" s="175">
        <v>1298</v>
      </c>
      <c r="F7" s="175">
        <v>1225</v>
      </c>
      <c r="G7" s="175">
        <v>1178</v>
      </c>
      <c r="H7" s="175">
        <v>1185</v>
      </c>
      <c r="I7" s="175">
        <v>1185</v>
      </c>
      <c r="J7" s="175">
        <v>1236</v>
      </c>
      <c r="K7" s="175">
        <v>1232</v>
      </c>
      <c r="L7" s="175">
        <v>1222</v>
      </c>
      <c r="M7" s="175">
        <v>1241</v>
      </c>
      <c r="N7" s="175">
        <v>1240</v>
      </c>
      <c r="O7" s="175">
        <v>1272</v>
      </c>
      <c r="P7" s="175">
        <v>1229</v>
      </c>
      <c r="Q7" s="178">
        <v>1193.3979999999999</v>
      </c>
      <c r="R7" s="178">
        <v>1193.83815</v>
      </c>
      <c r="S7" s="178">
        <v>1460.7220526315789</v>
      </c>
      <c r="T7" s="178">
        <v>1475.096</v>
      </c>
      <c r="U7" s="176">
        <v>1604.761</v>
      </c>
    </row>
    <row r="8" spans="1:22" s="182" customFormat="1" ht="24.95" customHeight="1" x14ac:dyDescent="0.25">
      <c r="A8" s="187" t="s">
        <v>5</v>
      </c>
      <c r="B8" s="175">
        <v>1422</v>
      </c>
      <c r="C8" s="175">
        <v>1469</v>
      </c>
      <c r="D8" s="175">
        <v>1480</v>
      </c>
      <c r="E8" s="175">
        <v>1290</v>
      </c>
      <c r="F8" s="175">
        <v>1222</v>
      </c>
      <c r="G8" s="175">
        <v>1178</v>
      </c>
      <c r="H8" s="175">
        <v>1185</v>
      </c>
      <c r="I8" s="175">
        <v>1185</v>
      </c>
      <c r="J8" s="175">
        <v>1240</v>
      </c>
      <c r="K8" s="175">
        <v>1255</v>
      </c>
      <c r="L8" s="175">
        <v>1222</v>
      </c>
      <c r="M8" s="175">
        <v>1270</v>
      </c>
      <c r="N8" s="175">
        <v>1261</v>
      </c>
      <c r="O8" s="175">
        <v>1254</v>
      </c>
      <c r="P8" s="175">
        <v>1217</v>
      </c>
      <c r="Q8" s="178">
        <v>1196.009</v>
      </c>
      <c r="R8" s="178">
        <v>1198.534388888889</v>
      </c>
      <c r="S8" s="178">
        <v>1460.7874999999999</v>
      </c>
      <c r="T8" s="178">
        <v>1473.7629999999999</v>
      </c>
      <c r="U8" s="176">
        <v>1611.7560000000001</v>
      </c>
      <c r="V8" s="194"/>
    </row>
    <row r="9" spans="1:22" s="182" customFormat="1" ht="24.95" customHeight="1" x14ac:dyDescent="0.25">
      <c r="A9" s="187" t="s">
        <v>6</v>
      </c>
      <c r="B9" s="175">
        <v>1442</v>
      </c>
      <c r="C9" s="175">
        <v>1474</v>
      </c>
      <c r="D9" s="175">
        <v>1481</v>
      </c>
      <c r="E9" s="175">
        <v>1284</v>
      </c>
      <c r="F9" s="175">
        <v>1216</v>
      </c>
      <c r="G9" s="175">
        <v>1179</v>
      </c>
      <c r="H9" s="175">
        <v>1185</v>
      </c>
      <c r="I9" s="175">
        <v>1187</v>
      </c>
      <c r="J9" s="175">
        <v>1263</v>
      </c>
      <c r="K9" s="175">
        <v>1268</v>
      </c>
      <c r="L9" s="175">
        <v>1218</v>
      </c>
      <c r="M9" s="175">
        <v>1297</v>
      </c>
      <c r="N9" s="175">
        <v>1277</v>
      </c>
      <c r="O9" s="175">
        <v>1251</v>
      </c>
      <c r="P9" s="175">
        <v>1202</v>
      </c>
      <c r="Q9" s="178">
        <v>1194.8309999999999</v>
      </c>
      <c r="R9" s="178">
        <v>1226.4000000000001</v>
      </c>
      <c r="S9" s="178">
        <v>1475.6388888888889</v>
      </c>
      <c r="T9" s="178">
        <v>1473.6189999999999</v>
      </c>
      <c r="U9" s="176">
        <v>1598.1559999999999</v>
      </c>
    </row>
    <row r="10" spans="1:22" s="182" customFormat="1" ht="24.95" customHeight="1" x14ac:dyDescent="0.25">
      <c r="A10" s="187" t="s">
        <v>7</v>
      </c>
      <c r="B10" s="175">
        <v>1462</v>
      </c>
      <c r="C10" s="175">
        <v>1473</v>
      </c>
      <c r="D10" s="175">
        <v>1485</v>
      </c>
      <c r="E10" s="175">
        <v>1274</v>
      </c>
      <c r="F10" s="175">
        <v>1212</v>
      </c>
      <c r="G10" s="175">
        <v>1187</v>
      </c>
      <c r="H10" s="175">
        <v>1185</v>
      </c>
      <c r="I10" s="175">
        <v>1196</v>
      </c>
      <c r="J10" s="175">
        <v>1249</v>
      </c>
      <c r="K10" s="175">
        <v>1269</v>
      </c>
      <c r="L10" s="175">
        <v>1222</v>
      </c>
      <c r="M10" s="175">
        <v>1309</v>
      </c>
      <c r="N10" s="175">
        <v>1284</v>
      </c>
      <c r="O10" s="175">
        <v>1250</v>
      </c>
      <c r="P10" s="175">
        <v>1200</v>
      </c>
      <c r="Q10" s="178">
        <v>1193.5029999999999</v>
      </c>
      <c r="R10" s="178">
        <v>1227.2057333333335</v>
      </c>
      <c r="S10" s="178">
        <v>1486.3833333333334</v>
      </c>
      <c r="T10" s="178">
        <v>1481.1410000000001</v>
      </c>
      <c r="U10" s="176">
        <v>1519.8150000000001</v>
      </c>
    </row>
    <row r="11" spans="1:22" s="182" customFormat="1" ht="24.95" customHeight="1" x14ac:dyDescent="0.25">
      <c r="A11" s="187" t="s">
        <v>41</v>
      </c>
      <c r="B11" s="175">
        <v>1460</v>
      </c>
      <c r="C11" s="175">
        <v>1468</v>
      </c>
      <c r="D11" s="175">
        <v>1485</v>
      </c>
      <c r="E11" s="175">
        <v>1269</v>
      </c>
      <c r="F11" s="175">
        <v>1205</v>
      </c>
      <c r="G11" s="175">
        <v>1180</v>
      </c>
      <c r="H11" s="175">
        <v>1185</v>
      </c>
      <c r="I11" s="175">
        <v>1197</v>
      </c>
      <c r="J11" s="175">
        <v>1240</v>
      </c>
      <c r="K11" s="175">
        <v>1236</v>
      </c>
      <c r="L11" s="175">
        <v>1213</v>
      </c>
      <c r="M11" s="175">
        <v>1306</v>
      </c>
      <c r="N11" s="175">
        <v>1266</v>
      </c>
      <c r="O11" s="175">
        <v>1248</v>
      </c>
      <c r="P11" s="175">
        <v>1200</v>
      </c>
      <c r="Q11" s="178">
        <v>1193.991</v>
      </c>
      <c r="R11" s="178">
        <v>1243.3260833333334</v>
      </c>
      <c r="S11" s="178">
        <v>1486.9318181818182</v>
      </c>
      <c r="T11" s="178">
        <v>1481.347</v>
      </c>
      <c r="U11" s="176">
        <v>1469.883</v>
      </c>
      <c r="V11" s="194"/>
    </row>
    <row r="12" spans="1:22" s="182" customFormat="1" ht="24.95" customHeight="1" x14ac:dyDescent="0.25">
      <c r="A12" s="187" t="s">
        <v>42</v>
      </c>
      <c r="B12" s="175">
        <v>1463</v>
      </c>
      <c r="C12" s="175">
        <v>1475</v>
      </c>
      <c r="D12" s="175">
        <v>1486</v>
      </c>
      <c r="E12" s="175">
        <v>1260</v>
      </c>
      <c r="F12" s="175">
        <v>1202</v>
      </c>
      <c r="G12" s="175">
        <v>1184</v>
      </c>
      <c r="H12" s="175">
        <v>1185</v>
      </c>
      <c r="I12" s="175">
        <v>1197</v>
      </c>
      <c r="J12" s="175">
        <v>1254</v>
      </c>
      <c r="K12" s="175">
        <v>1217</v>
      </c>
      <c r="L12" s="175">
        <v>1215</v>
      </c>
      <c r="M12" s="175">
        <v>1231</v>
      </c>
      <c r="N12" s="175">
        <v>1273</v>
      </c>
      <c r="O12" s="175">
        <v>1258</v>
      </c>
      <c r="P12" s="175">
        <v>1201</v>
      </c>
      <c r="Q12" s="178">
        <v>1194.8239999999998</v>
      </c>
      <c r="R12" s="178">
        <v>1230.0067142857142</v>
      </c>
      <c r="S12" s="178">
        <v>1473.0372142857141</v>
      </c>
      <c r="T12" s="178">
        <v>1479.5940000000001</v>
      </c>
      <c r="U12" s="176">
        <v>1500.3689999999999</v>
      </c>
    </row>
    <row r="13" spans="1:22" s="182" customFormat="1" ht="24.95" customHeight="1" x14ac:dyDescent="0.25">
      <c r="A13" s="187" t="s">
        <v>10</v>
      </c>
      <c r="B13" s="175">
        <v>1463</v>
      </c>
      <c r="C13" s="175">
        <v>1480</v>
      </c>
      <c r="D13" s="175">
        <v>1488</v>
      </c>
      <c r="E13" s="175">
        <v>1253</v>
      </c>
      <c r="F13" s="175">
        <v>1196</v>
      </c>
      <c r="G13" s="175">
        <v>1184</v>
      </c>
      <c r="H13" s="175">
        <v>1185</v>
      </c>
      <c r="I13" s="175">
        <v>1199</v>
      </c>
      <c r="J13" s="175">
        <v>1248</v>
      </c>
      <c r="K13" s="175">
        <v>1209</v>
      </c>
      <c r="L13" s="175">
        <v>1213</v>
      </c>
      <c r="M13" s="175">
        <v>1217</v>
      </c>
      <c r="N13" s="175">
        <v>1281</v>
      </c>
      <c r="O13" s="175">
        <v>1254</v>
      </c>
      <c r="P13" s="175">
        <v>1206</v>
      </c>
      <c r="Q13" s="178">
        <v>1198.9714999999999</v>
      </c>
      <c r="R13" s="178">
        <v>1223.0858000000001</v>
      </c>
      <c r="S13" s="178">
        <v>1475.1440476190478</v>
      </c>
      <c r="T13" s="178">
        <v>1476.5440000000001</v>
      </c>
      <c r="U13" s="176"/>
    </row>
    <row r="14" spans="1:22" s="182" customFormat="1" ht="24.95" customHeight="1" x14ac:dyDescent="0.25">
      <c r="A14" s="187" t="s">
        <v>11</v>
      </c>
      <c r="B14" s="175">
        <v>1463</v>
      </c>
      <c r="C14" s="175">
        <v>1481</v>
      </c>
      <c r="D14" s="175">
        <v>1488</v>
      </c>
      <c r="E14" s="175">
        <v>1249</v>
      </c>
      <c r="F14" s="175">
        <v>1188</v>
      </c>
      <c r="G14" s="175">
        <v>1183</v>
      </c>
      <c r="H14" s="175">
        <v>1185</v>
      </c>
      <c r="I14" s="175">
        <v>1200</v>
      </c>
      <c r="J14" s="175">
        <v>1228</v>
      </c>
      <c r="K14" s="175">
        <v>1211</v>
      </c>
      <c r="L14" s="175">
        <v>1204</v>
      </c>
      <c r="M14" s="175">
        <v>1222</v>
      </c>
      <c r="N14" s="175">
        <v>1289</v>
      </c>
      <c r="O14" s="175">
        <v>1255</v>
      </c>
      <c r="P14" s="175">
        <v>1206</v>
      </c>
      <c r="Q14" s="178">
        <v>1194.873</v>
      </c>
      <c r="R14" s="178">
        <v>1221.6089545454547</v>
      </c>
      <c r="S14" s="178">
        <v>1470.5649047619049</v>
      </c>
      <c r="T14" s="178">
        <v>1475.914</v>
      </c>
      <c r="U14" s="177"/>
      <c r="V14" s="194"/>
    </row>
    <row r="15" spans="1:22" s="182" customFormat="1" ht="24.95" customHeight="1" x14ac:dyDescent="0.25">
      <c r="A15" s="187" t="s">
        <v>12</v>
      </c>
      <c r="B15" s="175">
        <v>1463</v>
      </c>
      <c r="C15" s="175">
        <v>1476</v>
      </c>
      <c r="D15" s="175">
        <v>1485</v>
      </c>
      <c r="E15" s="175">
        <v>1245</v>
      </c>
      <c r="F15" s="175">
        <v>1185</v>
      </c>
      <c r="G15" s="175">
        <v>1183</v>
      </c>
      <c r="H15" s="175">
        <v>1185</v>
      </c>
      <c r="I15" s="175">
        <v>1200</v>
      </c>
      <c r="J15" s="175">
        <v>1200</v>
      </c>
      <c r="K15" s="175">
        <v>1220</v>
      </c>
      <c r="L15" s="175">
        <v>1207</v>
      </c>
      <c r="M15" s="175">
        <v>1220</v>
      </c>
      <c r="N15" s="175">
        <v>1298</v>
      </c>
      <c r="O15" s="175">
        <v>1259</v>
      </c>
      <c r="P15" s="175">
        <v>1205</v>
      </c>
      <c r="Q15" s="178">
        <v>1195.6252727272729</v>
      </c>
      <c r="R15" s="178">
        <v>1241.4231578947367</v>
      </c>
      <c r="S15" s="178">
        <v>1481.0597777777775</v>
      </c>
      <c r="T15" s="178">
        <v>1475.1679999999999</v>
      </c>
      <c r="U15" s="176"/>
    </row>
    <row r="16" spans="1:22" s="182" customFormat="1" ht="24.95" customHeight="1" x14ac:dyDescent="0.25">
      <c r="A16" s="187" t="s">
        <v>21</v>
      </c>
      <c r="B16" s="175">
        <v>1463</v>
      </c>
      <c r="C16" s="175">
        <v>1477</v>
      </c>
      <c r="D16" s="175">
        <v>1463</v>
      </c>
      <c r="E16" s="175">
        <v>1240</v>
      </c>
      <c r="F16" s="175">
        <v>1183</v>
      </c>
      <c r="G16" s="175">
        <v>1183</v>
      </c>
      <c r="H16" s="175">
        <v>1185</v>
      </c>
      <c r="I16" s="175">
        <v>1200</v>
      </c>
      <c r="J16" s="175">
        <v>1207</v>
      </c>
      <c r="K16" s="175">
        <v>1218</v>
      </c>
      <c r="L16" s="175">
        <v>1200</v>
      </c>
      <c r="M16" s="175">
        <v>1219</v>
      </c>
      <c r="N16" s="175">
        <v>1296</v>
      </c>
      <c r="O16" s="175">
        <v>1253</v>
      </c>
      <c r="P16" s="178">
        <v>1199.7760000000001</v>
      </c>
      <c r="Q16" s="178">
        <v>1201.0852500000001</v>
      </c>
      <c r="R16" s="178">
        <v>1248.6151363636363</v>
      </c>
      <c r="S16" s="178">
        <v>1480.7807727272725</v>
      </c>
      <c r="T16" s="178">
        <v>1484.175</v>
      </c>
      <c r="U16" s="176"/>
    </row>
    <row r="17" spans="1:22" s="182" customFormat="1" ht="24.95" customHeight="1" thickBot="1" x14ac:dyDescent="0.3">
      <c r="A17" s="190" t="s">
        <v>14</v>
      </c>
      <c r="B17" s="180">
        <v>1462</v>
      </c>
      <c r="C17" s="180">
        <v>1478</v>
      </c>
      <c r="D17" s="180">
        <v>1396</v>
      </c>
      <c r="E17" s="180">
        <v>1214</v>
      </c>
      <c r="F17" s="180">
        <v>1180</v>
      </c>
      <c r="G17" s="180">
        <v>1185</v>
      </c>
      <c r="H17" s="180">
        <v>1185</v>
      </c>
      <c r="I17" s="180">
        <v>1217</v>
      </c>
      <c r="J17" s="180">
        <v>1222</v>
      </c>
      <c r="K17" s="180">
        <v>1222</v>
      </c>
      <c r="L17" s="180">
        <v>1206</v>
      </c>
      <c r="M17" s="180">
        <v>1216</v>
      </c>
      <c r="N17" s="180">
        <v>1303</v>
      </c>
      <c r="O17" s="180">
        <v>1251</v>
      </c>
      <c r="P17" s="181">
        <v>1195.3117000000002</v>
      </c>
      <c r="Q17" s="181">
        <v>1201.7066818181816</v>
      </c>
      <c r="R17" s="181">
        <v>1351.3489545454547</v>
      </c>
      <c r="S17" s="181">
        <v>1477.1029047619045</v>
      </c>
      <c r="T17" s="181">
        <v>1530.1469999999999</v>
      </c>
      <c r="U17" s="193"/>
      <c r="V17" s="194"/>
    </row>
    <row r="18" spans="1:22" s="182" customFormat="1" ht="18.75" thickBot="1" x14ac:dyDescent="0.3">
      <c r="A18" s="200" t="s">
        <v>43</v>
      </c>
      <c r="B18" s="203">
        <f>AVERAGE(B6:B17)</f>
        <v>1454</v>
      </c>
      <c r="C18" s="203">
        <f t="shared" ref="C18:E18" si="0">AVERAGE(C6:C17)</f>
        <v>1472.4166666666667</v>
      </c>
      <c r="D18" s="203">
        <f t="shared" si="0"/>
        <v>1474.9166666666667</v>
      </c>
      <c r="E18" s="203">
        <f t="shared" si="0"/>
        <v>1266.1666666666667</v>
      </c>
      <c r="F18" s="203">
        <f t="shared" ref="F18" si="1">AVERAGE(F6:F17)</f>
        <v>1203.25</v>
      </c>
      <c r="G18" s="203">
        <f t="shared" ref="G18" si="2">AVERAGE(G6:G17)</f>
        <v>1181.8333333333333</v>
      </c>
      <c r="H18" s="203">
        <f t="shared" ref="H18" si="3">AVERAGE(H6:H17)</f>
        <v>1185</v>
      </c>
      <c r="I18" s="203">
        <f t="shared" ref="I18" si="4">AVERAGE(I6:I17)</f>
        <v>1195.6666666666667</v>
      </c>
      <c r="J18" s="203">
        <f t="shared" ref="J18" si="5">AVERAGE(J6:J17)</f>
        <v>1232.6666666666667</v>
      </c>
      <c r="K18" s="203">
        <f t="shared" ref="K18" si="6">AVERAGE(K6:K17)</f>
        <v>1231.9166666666667</v>
      </c>
      <c r="L18" s="203">
        <f t="shared" ref="L18" si="7">AVERAGE(L6:L17)</f>
        <v>1213.6666666666667</v>
      </c>
      <c r="M18" s="203">
        <f t="shared" ref="M18" si="8">AVERAGE(M6:M17)</f>
        <v>1247.4166666666667</v>
      </c>
      <c r="N18" s="203">
        <f t="shared" ref="N18:O18" si="9">AVERAGE(N6:N17)</f>
        <v>1275.25</v>
      </c>
      <c r="O18" s="203">
        <f t="shared" si="9"/>
        <v>1258.0833333333333</v>
      </c>
      <c r="P18" s="204">
        <f t="shared" ref="P18:U18" si="10">AVERAGE(P6:P17)</f>
        <v>1208.9239749999999</v>
      </c>
      <c r="Q18" s="204">
        <f t="shared" si="10"/>
        <v>1196.1346420454545</v>
      </c>
      <c r="R18" s="204">
        <f t="shared" si="10"/>
        <v>1233.9773560992128</v>
      </c>
      <c r="S18" s="204">
        <f t="shared" si="10"/>
        <v>1474.0544345807696</v>
      </c>
      <c r="T18" s="204">
        <f t="shared" si="10"/>
        <v>1482.1665</v>
      </c>
      <c r="U18" s="204">
        <f t="shared" si="10"/>
        <v>1559.7701428571431</v>
      </c>
    </row>
    <row r="20" spans="1:22" x14ac:dyDescent="0.25">
      <c r="A20" s="213"/>
      <c r="B20" s="213"/>
      <c r="C20" s="213"/>
      <c r="L20" s="107"/>
      <c r="M20" s="107"/>
      <c r="N20" s="107"/>
      <c r="O20" s="107"/>
      <c r="P20" s="107"/>
      <c r="Q20" s="212"/>
      <c r="R20" s="212"/>
      <c r="S20" s="212"/>
      <c r="T20" s="212"/>
      <c r="U20" s="212"/>
      <c r="V20" s="107"/>
    </row>
  </sheetData>
  <mergeCells count="5">
    <mergeCell ref="A4:U4"/>
    <mergeCell ref="Q20:U20"/>
    <mergeCell ref="A20:C20"/>
    <mergeCell ref="A2:U2"/>
    <mergeCell ref="A3:U3"/>
  </mergeCells>
  <printOptions horizontalCentered="1" verticalCentered="1"/>
  <pageMargins left="0" right="0" top="0" bottom="0" header="3" footer="0"/>
  <pageSetup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85"/>
  <sheetViews>
    <sheetView topLeftCell="A685" zoomScaleNormal="100" workbookViewId="0">
      <selection activeCell="G704" sqref="G704:G706"/>
    </sheetView>
  </sheetViews>
  <sheetFormatPr defaultRowHeight="15" x14ac:dyDescent="0.25"/>
  <cols>
    <col min="1" max="1" width="13.7109375" style="38" customWidth="1"/>
    <col min="2" max="2" width="10.85546875" customWidth="1"/>
    <col min="3" max="3" width="12.5703125" customWidth="1"/>
    <col min="4" max="4" width="11.140625" customWidth="1"/>
    <col min="6" max="6" width="10.28515625" customWidth="1"/>
    <col min="7" max="7" width="10.42578125" customWidth="1"/>
    <col min="257" max="257" width="13.7109375" customWidth="1"/>
    <col min="258" max="258" width="10.85546875" customWidth="1"/>
    <col min="259" max="259" width="12.5703125" customWidth="1"/>
    <col min="260" max="260" width="11.140625" customWidth="1"/>
    <col min="262" max="262" width="10.28515625" customWidth="1"/>
    <col min="263" max="263" width="10.42578125" customWidth="1"/>
    <col min="513" max="513" width="13.7109375" customWidth="1"/>
    <col min="514" max="514" width="10.85546875" customWidth="1"/>
    <col min="515" max="515" width="12.5703125" customWidth="1"/>
    <col min="516" max="516" width="11.140625" customWidth="1"/>
    <col min="518" max="518" width="10.28515625" customWidth="1"/>
    <col min="519" max="519" width="10.42578125" customWidth="1"/>
    <col min="769" max="769" width="13.7109375" customWidth="1"/>
    <col min="770" max="770" width="10.85546875" customWidth="1"/>
    <col min="771" max="771" width="12.5703125" customWidth="1"/>
    <col min="772" max="772" width="11.140625" customWidth="1"/>
    <col min="774" max="774" width="10.28515625" customWidth="1"/>
    <col min="775" max="775" width="10.42578125" customWidth="1"/>
    <col min="1025" max="1025" width="13.7109375" customWidth="1"/>
    <col min="1026" max="1026" width="10.85546875" customWidth="1"/>
    <col min="1027" max="1027" width="12.5703125" customWidth="1"/>
    <col min="1028" max="1028" width="11.140625" customWidth="1"/>
    <col min="1030" max="1030" width="10.28515625" customWidth="1"/>
    <col min="1031" max="1031" width="10.42578125" customWidth="1"/>
    <col min="1281" max="1281" width="13.7109375" customWidth="1"/>
    <col min="1282" max="1282" width="10.85546875" customWidth="1"/>
    <col min="1283" max="1283" width="12.5703125" customWidth="1"/>
    <col min="1284" max="1284" width="11.140625" customWidth="1"/>
    <col min="1286" max="1286" width="10.28515625" customWidth="1"/>
    <col min="1287" max="1287" width="10.42578125" customWidth="1"/>
    <col min="1537" max="1537" width="13.7109375" customWidth="1"/>
    <col min="1538" max="1538" width="10.85546875" customWidth="1"/>
    <col min="1539" max="1539" width="12.5703125" customWidth="1"/>
    <col min="1540" max="1540" width="11.140625" customWidth="1"/>
    <col min="1542" max="1542" width="10.28515625" customWidth="1"/>
    <col min="1543" max="1543" width="10.42578125" customWidth="1"/>
    <col min="1793" max="1793" width="13.7109375" customWidth="1"/>
    <col min="1794" max="1794" width="10.85546875" customWidth="1"/>
    <col min="1795" max="1795" width="12.5703125" customWidth="1"/>
    <col min="1796" max="1796" width="11.140625" customWidth="1"/>
    <col min="1798" max="1798" width="10.28515625" customWidth="1"/>
    <col min="1799" max="1799" width="10.42578125" customWidth="1"/>
    <col min="2049" max="2049" width="13.7109375" customWidth="1"/>
    <col min="2050" max="2050" width="10.85546875" customWidth="1"/>
    <col min="2051" max="2051" width="12.5703125" customWidth="1"/>
    <col min="2052" max="2052" width="11.140625" customWidth="1"/>
    <col min="2054" max="2054" width="10.28515625" customWidth="1"/>
    <col min="2055" max="2055" width="10.42578125" customWidth="1"/>
    <col min="2305" max="2305" width="13.7109375" customWidth="1"/>
    <col min="2306" max="2306" width="10.85546875" customWidth="1"/>
    <col min="2307" max="2307" width="12.5703125" customWidth="1"/>
    <col min="2308" max="2308" width="11.140625" customWidth="1"/>
    <col min="2310" max="2310" width="10.28515625" customWidth="1"/>
    <col min="2311" max="2311" width="10.42578125" customWidth="1"/>
    <col min="2561" max="2561" width="13.7109375" customWidth="1"/>
    <col min="2562" max="2562" width="10.85546875" customWidth="1"/>
    <col min="2563" max="2563" width="12.5703125" customWidth="1"/>
    <col min="2564" max="2564" width="11.140625" customWidth="1"/>
    <col min="2566" max="2566" width="10.28515625" customWidth="1"/>
    <col min="2567" max="2567" width="10.42578125" customWidth="1"/>
    <col min="2817" max="2817" width="13.7109375" customWidth="1"/>
    <col min="2818" max="2818" width="10.85546875" customWidth="1"/>
    <col min="2819" max="2819" width="12.5703125" customWidth="1"/>
    <col min="2820" max="2820" width="11.140625" customWidth="1"/>
    <col min="2822" max="2822" width="10.28515625" customWidth="1"/>
    <col min="2823" max="2823" width="10.42578125" customWidth="1"/>
    <col min="3073" max="3073" width="13.7109375" customWidth="1"/>
    <col min="3074" max="3074" width="10.85546875" customWidth="1"/>
    <col min="3075" max="3075" width="12.5703125" customWidth="1"/>
    <col min="3076" max="3076" width="11.140625" customWidth="1"/>
    <col min="3078" max="3078" width="10.28515625" customWidth="1"/>
    <col min="3079" max="3079" width="10.42578125" customWidth="1"/>
    <col min="3329" max="3329" width="13.7109375" customWidth="1"/>
    <col min="3330" max="3330" width="10.85546875" customWidth="1"/>
    <col min="3331" max="3331" width="12.5703125" customWidth="1"/>
    <col min="3332" max="3332" width="11.140625" customWidth="1"/>
    <col min="3334" max="3334" width="10.28515625" customWidth="1"/>
    <col min="3335" max="3335" width="10.42578125" customWidth="1"/>
    <col min="3585" max="3585" width="13.7109375" customWidth="1"/>
    <col min="3586" max="3586" width="10.85546875" customWidth="1"/>
    <col min="3587" max="3587" width="12.5703125" customWidth="1"/>
    <col min="3588" max="3588" width="11.140625" customWidth="1"/>
    <col min="3590" max="3590" width="10.28515625" customWidth="1"/>
    <col min="3591" max="3591" width="10.42578125" customWidth="1"/>
    <col min="3841" max="3841" width="13.7109375" customWidth="1"/>
    <col min="3842" max="3842" width="10.85546875" customWidth="1"/>
    <col min="3843" max="3843" width="12.5703125" customWidth="1"/>
    <col min="3844" max="3844" width="11.140625" customWidth="1"/>
    <col min="3846" max="3846" width="10.28515625" customWidth="1"/>
    <col min="3847" max="3847" width="10.42578125" customWidth="1"/>
    <col min="4097" max="4097" width="13.7109375" customWidth="1"/>
    <col min="4098" max="4098" width="10.85546875" customWidth="1"/>
    <col min="4099" max="4099" width="12.5703125" customWidth="1"/>
    <col min="4100" max="4100" width="11.140625" customWidth="1"/>
    <col min="4102" max="4102" width="10.28515625" customWidth="1"/>
    <col min="4103" max="4103" width="10.42578125" customWidth="1"/>
    <col min="4353" max="4353" width="13.7109375" customWidth="1"/>
    <col min="4354" max="4354" width="10.85546875" customWidth="1"/>
    <col min="4355" max="4355" width="12.5703125" customWidth="1"/>
    <col min="4356" max="4356" width="11.140625" customWidth="1"/>
    <col min="4358" max="4358" width="10.28515625" customWidth="1"/>
    <col min="4359" max="4359" width="10.42578125" customWidth="1"/>
    <col min="4609" max="4609" width="13.7109375" customWidth="1"/>
    <col min="4610" max="4610" width="10.85546875" customWidth="1"/>
    <col min="4611" max="4611" width="12.5703125" customWidth="1"/>
    <col min="4612" max="4612" width="11.140625" customWidth="1"/>
    <col min="4614" max="4614" width="10.28515625" customWidth="1"/>
    <col min="4615" max="4615" width="10.42578125" customWidth="1"/>
    <col min="4865" max="4865" width="13.7109375" customWidth="1"/>
    <col min="4866" max="4866" width="10.85546875" customWidth="1"/>
    <col min="4867" max="4867" width="12.5703125" customWidth="1"/>
    <col min="4868" max="4868" width="11.140625" customWidth="1"/>
    <col min="4870" max="4870" width="10.28515625" customWidth="1"/>
    <col min="4871" max="4871" width="10.42578125" customWidth="1"/>
    <col min="5121" max="5121" width="13.7109375" customWidth="1"/>
    <col min="5122" max="5122" width="10.85546875" customWidth="1"/>
    <col min="5123" max="5123" width="12.5703125" customWidth="1"/>
    <col min="5124" max="5124" width="11.140625" customWidth="1"/>
    <col min="5126" max="5126" width="10.28515625" customWidth="1"/>
    <col min="5127" max="5127" width="10.42578125" customWidth="1"/>
    <col min="5377" max="5377" width="13.7109375" customWidth="1"/>
    <col min="5378" max="5378" width="10.85546875" customWidth="1"/>
    <col min="5379" max="5379" width="12.5703125" customWidth="1"/>
    <col min="5380" max="5380" width="11.140625" customWidth="1"/>
    <col min="5382" max="5382" width="10.28515625" customWidth="1"/>
    <col min="5383" max="5383" width="10.42578125" customWidth="1"/>
    <col min="5633" max="5633" width="13.7109375" customWidth="1"/>
    <col min="5634" max="5634" width="10.85546875" customWidth="1"/>
    <col min="5635" max="5635" width="12.5703125" customWidth="1"/>
    <col min="5636" max="5636" width="11.140625" customWidth="1"/>
    <col min="5638" max="5638" width="10.28515625" customWidth="1"/>
    <col min="5639" max="5639" width="10.42578125" customWidth="1"/>
    <col min="5889" max="5889" width="13.7109375" customWidth="1"/>
    <col min="5890" max="5890" width="10.85546875" customWidth="1"/>
    <col min="5891" max="5891" width="12.5703125" customWidth="1"/>
    <col min="5892" max="5892" width="11.140625" customWidth="1"/>
    <col min="5894" max="5894" width="10.28515625" customWidth="1"/>
    <col min="5895" max="5895" width="10.42578125" customWidth="1"/>
    <col min="6145" max="6145" width="13.7109375" customWidth="1"/>
    <col min="6146" max="6146" width="10.85546875" customWidth="1"/>
    <col min="6147" max="6147" width="12.5703125" customWidth="1"/>
    <col min="6148" max="6148" width="11.140625" customWidth="1"/>
    <col min="6150" max="6150" width="10.28515625" customWidth="1"/>
    <col min="6151" max="6151" width="10.42578125" customWidth="1"/>
    <col min="6401" max="6401" width="13.7109375" customWidth="1"/>
    <col min="6402" max="6402" width="10.85546875" customWidth="1"/>
    <col min="6403" max="6403" width="12.5703125" customWidth="1"/>
    <col min="6404" max="6404" width="11.140625" customWidth="1"/>
    <col min="6406" max="6406" width="10.28515625" customWidth="1"/>
    <col min="6407" max="6407" width="10.42578125" customWidth="1"/>
    <col min="6657" max="6657" width="13.7109375" customWidth="1"/>
    <col min="6658" max="6658" width="10.85546875" customWidth="1"/>
    <col min="6659" max="6659" width="12.5703125" customWidth="1"/>
    <col min="6660" max="6660" width="11.140625" customWidth="1"/>
    <col min="6662" max="6662" width="10.28515625" customWidth="1"/>
    <col min="6663" max="6663" width="10.42578125" customWidth="1"/>
    <col min="6913" max="6913" width="13.7109375" customWidth="1"/>
    <col min="6914" max="6914" width="10.85546875" customWidth="1"/>
    <col min="6915" max="6915" width="12.5703125" customWidth="1"/>
    <col min="6916" max="6916" width="11.140625" customWidth="1"/>
    <col min="6918" max="6918" width="10.28515625" customWidth="1"/>
    <col min="6919" max="6919" width="10.42578125" customWidth="1"/>
    <col min="7169" max="7169" width="13.7109375" customWidth="1"/>
    <col min="7170" max="7170" width="10.85546875" customWidth="1"/>
    <col min="7171" max="7171" width="12.5703125" customWidth="1"/>
    <col min="7172" max="7172" width="11.140625" customWidth="1"/>
    <col min="7174" max="7174" width="10.28515625" customWidth="1"/>
    <col min="7175" max="7175" width="10.42578125" customWidth="1"/>
    <col min="7425" max="7425" width="13.7109375" customWidth="1"/>
    <col min="7426" max="7426" width="10.85546875" customWidth="1"/>
    <col min="7427" max="7427" width="12.5703125" customWidth="1"/>
    <col min="7428" max="7428" width="11.140625" customWidth="1"/>
    <col min="7430" max="7430" width="10.28515625" customWidth="1"/>
    <col min="7431" max="7431" width="10.42578125" customWidth="1"/>
    <col min="7681" max="7681" width="13.7109375" customWidth="1"/>
    <col min="7682" max="7682" width="10.85546875" customWidth="1"/>
    <col min="7683" max="7683" width="12.5703125" customWidth="1"/>
    <col min="7684" max="7684" width="11.140625" customWidth="1"/>
    <col min="7686" max="7686" width="10.28515625" customWidth="1"/>
    <col min="7687" max="7687" width="10.42578125" customWidth="1"/>
    <col min="7937" max="7937" width="13.7109375" customWidth="1"/>
    <col min="7938" max="7938" width="10.85546875" customWidth="1"/>
    <col min="7939" max="7939" width="12.5703125" customWidth="1"/>
    <col min="7940" max="7940" width="11.140625" customWidth="1"/>
    <col min="7942" max="7942" width="10.28515625" customWidth="1"/>
    <col min="7943" max="7943" width="10.42578125" customWidth="1"/>
    <col min="8193" max="8193" width="13.7109375" customWidth="1"/>
    <col min="8194" max="8194" width="10.85546875" customWidth="1"/>
    <col min="8195" max="8195" width="12.5703125" customWidth="1"/>
    <col min="8196" max="8196" width="11.140625" customWidth="1"/>
    <col min="8198" max="8198" width="10.28515625" customWidth="1"/>
    <col min="8199" max="8199" width="10.42578125" customWidth="1"/>
    <col min="8449" max="8449" width="13.7109375" customWidth="1"/>
    <col min="8450" max="8450" width="10.85546875" customWidth="1"/>
    <col min="8451" max="8451" width="12.5703125" customWidth="1"/>
    <col min="8452" max="8452" width="11.140625" customWidth="1"/>
    <col min="8454" max="8454" width="10.28515625" customWidth="1"/>
    <col min="8455" max="8455" width="10.42578125" customWidth="1"/>
    <col min="8705" max="8705" width="13.7109375" customWidth="1"/>
    <col min="8706" max="8706" width="10.85546875" customWidth="1"/>
    <col min="8707" max="8707" width="12.5703125" customWidth="1"/>
    <col min="8708" max="8708" width="11.140625" customWidth="1"/>
    <col min="8710" max="8710" width="10.28515625" customWidth="1"/>
    <col min="8711" max="8711" width="10.42578125" customWidth="1"/>
    <col min="8961" max="8961" width="13.7109375" customWidth="1"/>
    <col min="8962" max="8962" width="10.85546875" customWidth="1"/>
    <col min="8963" max="8963" width="12.5703125" customWidth="1"/>
    <col min="8964" max="8964" width="11.140625" customWidth="1"/>
    <col min="8966" max="8966" width="10.28515625" customWidth="1"/>
    <col min="8967" max="8967" width="10.42578125" customWidth="1"/>
    <col min="9217" max="9217" width="13.7109375" customWidth="1"/>
    <col min="9218" max="9218" width="10.85546875" customWidth="1"/>
    <col min="9219" max="9219" width="12.5703125" customWidth="1"/>
    <col min="9220" max="9220" width="11.140625" customWidth="1"/>
    <col min="9222" max="9222" width="10.28515625" customWidth="1"/>
    <col min="9223" max="9223" width="10.42578125" customWidth="1"/>
    <col min="9473" max="9473" width="13.7109375" customWidth="1"/>
    <col min="9474" max="9474" width="10.85546875" customWidth="1"/>
    <col min="9475" max="9475" width="12.5703125" customWidth="1"/>
    <col min="9476" max="9476" width="11.140625" customWidth="1"/>
    <col min="9478" max="9478" width="10.28515625" customWidth="1"/>
    <col min="9479" max="9479" width="10.42578125" customWidth="1"/>
    <col min="9729" max="9729" width="13.7109375" customWidth="1"/>
    <col min="9730" max="9730" width="10.85546875" customWidth="1"/>
    <col min="9731" max="9731" width="12.5703125" customWidth="1"/>
    <col min="9732" max="9732" width="11.140625" customWidth="1"/>
    <col min="9734" max="9734" width="10.28515625" customWidth="1"/>
    <col min="9735" max="9735" width="10.42578125" customWidth="1"/>
    <col min="9985" max="9985" width="13.7109375" customWidth="1"/>
    <col min="9986" max="9986" width="10.85546875" customWidth="1"/>
    <col min="9987" max="9987" width="12.5703125" customWidth="1"/>
    <col min="9988" max="9988" width="11.140625" customWidth="1"/>
    <col min="9990" max="9990" width="10.28515625" customWidth="1"/>
    <col min="9991" max="9991" width="10.42578125" customWidth="1"/>
    <col min="10241" max="10241" width="13.7109375" customWidth="1"/>
    <col min="10242" max="10242" width="10.85546875" customWidth="1"/>
    <col min="10243" max="10243" width="12.5703125" customWidth="1"/>
    <col min="10244" max="10244" width="11.140625" customWidth="1"/>
    <col min="10246" max="10246" width="10.28515625" customWidth="1"/>
    <col min="10247" max="10247" width="10.42578125" customWidth="1"/>
    <col min="10497" max="10497" width="13.7109375" customWidth="1"/>
    <col min="10498" max="10498" width="10.85546875" customWidth="1"/>
    <col min="10499" max="10499" width="12.5703125" customWidth="1"/>
    <col min="10500" max="10500" width="11.140625" customWidth="1"/>
    <col min="10502" max="10502" width="10.28515625" customWidth="1"/>
    <col min="10503" max="10503" width="10.42578125" customWidth="1"/>
    <col min="10753" max="10753" width="13.7109375" customWidth="1"/>
    <col min="10754" max="10754" width="10.85546875" customWidth="1"/>
    <col min="10755" max="10755" width="12.5703125" customWidth="1"/>
    <col min="10756" max="10756" width="11.140625" customWidth="1"/>
    <col min="10758" max="10758" width="10.28515625" customWidth="1"/>
    <col min="10759" max="10759" width="10.42578125" customWidth="1"/>
    <col min="11009" max="11009" width="13.7109375" customWidth="1"/>
    <col min="11010" max="11010" width="10.85546875" customWidth="1"/>
    <col min="11011" max="11011" width="12.5703125" customWidth="1"/>
    <col min="11012" max="11012" width="11.140625" customWidth="1"/>
    <col min="11014" max="11014" width="10.28515625" customWidth="1"/>
    <col min="11015" max="11015" width="10.42578125" customWidth="1"/>
    <col min="11265" max="11265" width="13.7109375" customWidth="1"/>
    <col min="11266" max="11266" width="10.85546875" customWidth="1"/>
    <col min="11267" max="11267" width="12.5703125" customWidth="1"/>
    <col min="11268" max="11268" width="11.140625" customWidth="1"/>
    <col min="11270" max="11270" width="10.28515625" customWidth="1"/>
    <col min="11271" max="11271" width="10.42578125" customWidth="1"/>
    <col min="11521" max="11521" width="13.7109375" customWidth="1"/>
    <col min="11522" max="11522" width="10.85546875" customWidth="1"/>
    <col min="11523" max="11523" width="12.5703125" customWidth="1"/>
    <col min="11524" max="11524" width="11.140625" customWidth="1"/>
    <col min="11526" max="11526" width="10.28515625" customWidth="1"/>
    <col min="11527" max="11527" width="10.42578125" customWidth="1"/>
    <col min="11777" max="11777" width="13.7109375" customWidth="1"/>
    <col min="11778" max="11778" width="10.85546875" customWidth="1"/>
    <col min="11779" max="11779" width="12.5703125" customWidth="1"/>
    <col min="11780" max="11780" width="11.140625" customWidth="1"/>
    <col min="11782" max="11782" width="10.28515625" customWidth="1"/>
    <col min="11783" max="11783" width="10.42578125" customWidth="1"/>
    <col min="12033" max="12033" width="13.7109375" customWidth="1"/>
    <col min="12034" max="12034" width="10.85546875" customWidth="1"/>
    <col min="12035" max="12035" width="12.5703125" customWidth="1"/>
    <col min="12036" max="12036" width="11.140625" customWidth="1"/>
    <col min="12038" max="12038" width="10.28515625" customWidth="1"/>
    <col min="12039" max="12039" width="10.42578125" customWidth="1"/>
    <col min="12289" max="12289" width="13.7109375" customWidth="1"/>
    <col min="12290" max="12290" width="10.85546875" customWidth="1"/>
    <col min="12291" max="12291" width="12.5703125" customWidth="1"/>
    <col min="12292" max="12292" width="11.140625" customWidth="1"/>
    <col min="12294" max="12294" width="10.28515625" customWidth="1"/>
    <col min="12295" max="12295" width="10.42578125" customWidth="1"/>
    <col min="12545" max="12545" width="13.7109375" customWidth="1"/>
    <col min="12546" max="12546" width="10.85546875" customWidth="1"/>
    <col min="12547" max="12547" width="12.5703125" customWidth="1"/>
    <col min="12548" max="12548" width="11.140625" customWidth="1"/>
    <col min="12550" max="12550" width="10.28515625" customWidth="1"/>
    <col min="12551" max="12551" width="10.42578125" customWidth="1"/>
    <col min="12801" max="12801" width="13.7109375" customWidth="1"/>
    <col min="12802" max="12802" width="10.85546875" customWidth="1"/>
    <col min="12803" max="12803" width="12.5703125" customWidth="1"/>
    <col min="12804" max="12804" width="11.140625" customWidth="1"/>
    <col min="12806" max="12806" width="10.28515625" customWidth="1"/>
    <col min="12807" max="12807" width="10.42578125" customWidth="1"/>
    <col min="13057" max="13057" width="13.7109375" customWidth="1"/>
    <col min="13058" max="13058" width="10.85546875" customWidth="1"/>
    <col min="13059" max="13059" width="12.5703125" customWidth="1"/>
    <col min="13060" max="13060" width="11.140625" customWidth="1"/>
    <col min="13062" max="13062" width="10.28515625" customWidth="1"/>
    <col min="13063" max="13063" width="10.42578125" customWidth="1"/>
    <col min="13313" max="13313" width="13.7109375" customWidth="1"/>
    <col min="13314" max="13314" width="10.85546875" customWidth="1"/>
    <col min="13315" max="13315" width="12.5703125" customWidth="1"/>
    <col min="13316" max="13316" width="11.140625" customWidth="1"/>
    <col min="13318" max="13318" width="10.28515625" customWidth="1"/>
    <col min="13319" max="13319" width="10.42578125" customWidth="1"/>
    <col min="13569" max="13569" width="13.7109375" customWidth="1"/>
    <col min="13570" max="13570" width="10.85546875" customWidth="1"/>
    <col min="13571" max="13571" width="12.5703125" customWidth="1"/>
    <col min="13572" max="13572" width="11.140625" customWidth="1"/>
    <col min="13574" max="13574" width="10.28515625" customWidth="1"/>
    <col min="13575" max="13575" width="10.42578125" customWidth="1"/>
    <col min="13825" max="13825" width="13.7109375" customWidth="1"/>
    <col min="13826" max="13826" width="10.85546875" customWidth="1"/>
    <col min="13827" max="13827" width="12.5703125" customWidth="1"/>
    <col min="13828" max="13828" width="11.140625" customWidth="1"/>
    <col min="13830" max="13830" width="10.28515625" customWidth="1"/>
    <col min="13831" max="13831" width="10.42578125" customWidth="1"/>
    <col min="14081" max="14081" width="13.7109375" customWidth="1"/>
    <col min="14082" max="14082" width="10.85546875" customWidth="1"/>
    <col min="14083" max="14083" width="12.5703125" customWidth="1"/>
    <col min="14084" max="14084" width="11.140625" customWidth="1"/>
    <col min="14086" max="14086" width="10.28515625" customWidth="1"/>
    <col min="14087" max="14087" width="10.42578125" customWidth="1"/>
    <col min="14337" max="14337" width="13.7109375" customWidth="1"/>
    <col min="14338" max="14338" width="10.85546875" customWidth="1"/>
    <col min="14339" max="14339" width="12.5703125" customWidth="1"/>
    <col min="14340" max="14340" width="11.140625" customWidth="1"/>
    <col min="14342" max="14342" width="10.28515625" customWidth="1"/>
    <col min="14343" max="14343" width="10.42578125" customWidth="1"/>
    <col min="14593" max="14593" width="13.7109375" customWidth="1"/>
    <col min="14594" max="14594" width="10.85546875" customWidth="1"/>
    <col min="14595" max="14595" width="12.5703125" customWidth="1"/>
    <col min="14596" max="14596" width="11.140625" customWidth="1"/>
    <col min="14598" max="14598" width="10.28515625" customWidth="1"/>
    <col min="14599" max="14599" width="10.42578125" customWidth="1"/>
    <col min="14849" max="14849" width="13.7109375" customWidth="1"/>
    <col min="14850" max="14850" width="10.85546875" customWidth="1"/>
    <col min="14851" max="14851" width="12.5703125" customWidth="1"/>
    <col min="14852" max="14852" width="11.140625" customWidth="1"/>
    <col min="14854" max="14854" width="10.28515625" customWidth="1"/>
    <col min="14855" max="14855" width="10.42578125" customWidth="1"/>
    <col min="15105" max="15105" width="13.7109375" customWidth="1"/>
    <col min="15106" max="15106" width="10.85546875" customWidth="1"/>
    <col min="15107" max="15107" width="12.5703125" customWidth="1"/>
    <col min="15108" max="15108" width="11.140625" customWidth="1"/>
    <col min="15110" max="15110" width="10.28515625" customWidth="1"/>
    <col min="15111" max="15111" width="10.42578125" customWidth="1"/>
    <col min="15361" max="15361" width="13.7109375" customWidth="1"/>
    <col min="15362" max="15362" width="10.85546875" customWidth="1"/>
    <col min="15363" max="15363" width="12.5703125" customWidth="1"/>
    <col min="15364" max="15364" width="11.140625" customWidth="1"/>
    <col min="15366" max="15366" width="10.28515625" customWidth="1"/>
    <col min="15367" max="15367" width="10.42578125" customWidth="1"/>
    <col min="15617" max="15617" width="13.7109375" customWidth="1"/>
    <col min="15618" max="15618" width="10.85546875" customWidth="1"/>
    <col min="15619" max="15619" width="12.5703125" customWidth="1"/>
    <col min="15620" max="15620" width="11.140625" customWidth="1"/>
    <col min="15622" max="15622" width="10.28515625" customWidth="1"/>
    <col min="15623" max="15623" width="10.42578125" customWidth="1"/>
    <col min="15873" max="15873" width="13.7109375" customWidth="1"/>
    <col min="15874" max="15874" width="10.85546875" customWidth="1"/>
    <col min="15875" max="15875" width="12.5703125" customWidth="1"/>
    <col min="15876" max="15876" width="11.140625" customWidth="1"/>
    <col min="15878" max="15878" width="10.28515625" customWidth="1"/>
    <col min="15879" max="15879" width="10.42578125" customWidth="1"/>
    <col min="16129" max="16129" width="13.7109375" customWidth="1"/>
    <col min="16130" max="16130" width="10.85546875" customWidth="1"/>
    <col min="16131" max="16131" width="12.5703125" customWidth="1"/>
    <col min="16132" max="16132" width="11.140625" customWidth="1"/>
    <col min="16134" max="16134" width="10.28515625" customWidth="1"/>
    <col min="16135" max="16135" width="10.42578125" customWidth="1"/>
  </cols>
  <sheetData>
    <row r="1" spans="1:22" ht="42" customHeight="1" thickBot="1" x14ac:dyDescent="0.3">
      <c r="A1" s="214"/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</row>
    <row r="2" spans="1:22" ht="25.5" thickBot="1" x14ac:dyDescent="0.7">
      <c r="A2" s="64" t="s">
        <v>44</v>
      </c>
      <c r="B2" s="29" t="s">
        <v>3</v>
      </c>
      <c r="C2" s="29" t="s">
        <v>4</v>
      </c>
      <c r="D2" s="29" t="s">
        <v>5</v>
      </c>
      <c r="E2" s="29" t="s">
        <v>6</v>
      </c>
      <c r="F2" s="29" t="s">
        <v>7</v>
      </c>
      <c r="G2" s="29" t="s">
        <v>41</v>
      </c>
      <c r="H2" s="29" t="s">
        <v>42</v>
      </c>
      <c r="I2" s="29" t="s">
        <v>10</v>
      </c>
      <c r="J2" s="29" t="s">
        <v>11</v>
      </c>
      <c r="K2" s="29" t="s">
        <v>12</v>
      </c>
      <c r="L2" s="29" t="s">
        <v>21</v>
      </c>
      <c r="M2" s="29" t="s">
        <v>14</v>
      </c>
      <c r="N2" s="1"/>
      <c r="O2" s="1"/>
      <c r="P2" s="1"/>
      <c r="Q2" s="1"/>
      <c r="R2" s="1"/>
      <c r="S2" s="1"/>
      <c r="T2" s="1"/>
      <c r="U2" s="1"/>
      <c r="V2" s="1"/>
    </row>
    <row r="3" spans="1:22" ht="24.75" x14ac:dyDescent="0.65">
      <c r="A3" s="39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1">
        <v>1990</v>
      </c>
      <c r="M3" s="11">
        <v>1945</v>
      </c>
      <c r="N3" s="1"/>
      <c r="O3" s="1"/>
      <c r="P3" s="1"/>
      <c r="Q3" s="1"/>
      <c r="R3" s="1"/>
      <c r="S3" s="1"/>
      <c r="T3" s="1"/>
      <c r="U3" s="1"/>
      <c r="V3" s="1"/>
    </row>
    <row r="4" spans="1:22" ht="24.75" x14ac:dyDescent="0.65">
      <c r="A4" s="108">
        <v>2</v>
      </c>
      <c r="B4" s="12"/>
      <c r="C4" s="12"/>
      <c r="D4" s="12"/>
      <c r="E4" s="12"/>
      <c r="F4" s="12"/>
      <c r="G4" s="12"/>
      <c r="H4" s="12"/>
      <c r="I4" s="12"/>
      <c r="J4" s="12"/>
      <c r="K4" s="13"/>
      <c r="L4" s="13">
        <v>1990</v>
      </c>
      <c r="M4" s="13">
        <v>1945</v>
      </c>
      <c r="N4" s="1"/>
      <c r="O4" s="1"/>
      <c r="P4" s="1"/>
      <c r="Q4" s="1"/>
      <c r="R4" s="1"/>
      <c r="S4" s="1"/>
      <c r="T4" s="1"/>
      <c r="U4" s="1"/>
      <c r="V4" s="1"/>
    </row>
    <row r="5" spans="1:22" ht="24.75" x14ac:dyDescent="0.65">
      <c r="A5" s="108">
        <v>3</v>
      </c>
      <c r="B5" s="12"/>
      <c r="C5" s="12"/>
      <c r="D5" s="12"/>
      <c r="E5" s="12"/>
      <c r="F5" s="12"/>
      <c r="G5" s="12"/>
      <c r="H5" s="12"/>
      <c r="I5" s="12"/>
      <c r="J5" s="12"/>
      <c r="K5" s="13"/>
      <c r="L5" s="13">
        <v>1990</v>
      </c>
      <c r="M5" s="13">
        <v>1940</v>
      </c>
      <c r="N5" s="1"/>
      <c r="O5" s="1"/>
      <c r="P5" s="1"/>
      <c r="Q5" s="1"/>
      <c r="R5" s="1"/>
      <c r="S5" s="1"/>
      <c r="T5" s="1"/>
      <c r="U5" s="1"/>
      <c r="V5" s="1"/>
    </row>
    <row r="6" spans="1:22" ht="24.75" x14ac:dyDescent="0.65">
      <c r="A6" s="108">
        <v>4</v>
      </c>
      <c r="B6" s="12"/>
      <c r="C6" s="12"/>
      <c r="D6" s="12"/>
      <c r="E6" s="12"/>
      <c r="F6" s="12"/>
      <c r="G6" s="12"/>
      <c r="H6" s="12"/>
      <c r="I6" s="12"/>
      <c r="J6" s="12"/>
      <c r="K6" s="13">
        <v>1900</v>
      </c>
      <c r="L6" s="13">
        <v>1980</v>
      </c>
      <c r="M6" s="13">
        <v>1930</v>
      </c>
      <c r="N6" s="1"/>
      <c r="O6" s="1"/>
      <c r="P6" s="1"/>
      <c r="Q6" s="1"/>
      <c r="R6" s="1"/>
      <c r="S6" s="1"/>
      <c r="T6" s="1"/>
      <c r="U6" s="1"/>
      <c r="V6" s="1"/>
    </row>
    <row r="7" spans="1:22" ht="24.75" x14ac:dyDescent="0.65">
      <c r="A7" s="108">
        <v>5</v>
      </c>
      <c r="B7" s="12"/>
      <c r="C7" s="12"/>
      <c r="D7" s="12"/>
      <c r="E7" s="12"/>
      <c r="F7" s="12"/>
      <c r="G7" s="12"/>
      <c r="H7" s="12"/>
      <c r="I7" s="12"/>
      <c r="J7" s="12"/>
      <c r="K7" s="13"/>
      <c r="L7" s="13">
        <v>1990</v>
      </c>
      <c r="M7" s="13"/>
      <c r="N7" s="1"/>
      <c r="O7" s="1"/>
      <c r="P7" s="1"/>
      <c r="Q7" s="1"/>
      <c r="R7" s="1"/>
      <c r="S7" s="1"/>
      <c r="T7" s="1"/>
      <c r="U7" s="1"/>
      <c r="V7" s="1"/>
    </row>
    <row r="8" spans="1:22" ht="24.75" x14ac:dyDescent="0.65">
      <c r="A8" s="108">
        <v>6</v>
      </c>
      <c r="B8" s="12"/>
      <c r="C8" s="12"/>
      <c r="D8" s="12"/>
      <c r="E8" s="12"/>
      <c r="F8" s="12"/>
      <c r="G8" s="12"/>
      <c r="H8" s="12"/>
      <c r="I8" s="12"/>
      <c r="J8" s="12"/>
      <c r="K8" s="13"/>
      <c r="L8" s="13">
        <v>1990</v>
      </c>
      <c r="M8" s="13">
        <v>1915</v>
      </c>
      <c r="N8" s="1"/>
      <c r="O8" s="1"/>
      <c r="P8" s="1"/>
      <c r="Q8" s="1"/>
      <c r="R8" s="1"/>
      <c r="S8" s="1"/>
      <c r="T8" s="1"/>
      <c r="U8" s="1"/>
      <c r="V8" s="1"/>
    </row>
    <row r="9" spans="1:22" ht="24.75" x14ac:dyDescent="0.65">
      <c r="A9" s="108">
        <v>7</v>
      </c>
      <c r="B9" s="12"/>
      <c r="C9" s="12"/>
      <c r="D9" s="12"/>
      <c r="E9" s="12"/>
      <c r="F9" s="12"/>
      <c r="G9" s="12"/>
      <c r="H9" s="12"/>
      <c r="I9" s="12"/>
      <c r="J9" s="12"/>
      <c r="K9" s="13"/>
      <c r="L9" s="13"/>
      <c r="M9" s="13">
        <v>1890</v>
      </c>
      <c r="N9" s="1"/>
      <c r="O9" s="1"/>
      <c r="P9" s="1"/>
      <c r="Q9" s="1"/>
      <c r="R9" s="1"/>
      <c r="S9" s="1"/>
      <c r="T9" s="1"/>
      <c r="U9" s="1"/>
      <c r="V9" s="1"/>
    </row>
    <row r="10" spans="1:22" ht="24.75" x14ac:dyDescent="0.65">
      <c r="A10" s="108">
        <v>8</v>
      </c>
      <c r="B10" s="12"/>
      <c r="C10" s="12"/>
      <c r="D10" s="12"/>
      <c r="E10" s="12"/>
      <c r="F10" s="12"/>
      <c r="G10" s="12"/>
      <c r="H10" s="12"/>
      <c r="I10" s="12"/>
      <c r="J10" s="12"/>
      <c r="K10" s="13">
        <v>1990</v>
      </c>
      <c r="L10" s="13">
        <v>1990</v>
      </c>
      <c r="M10" s="13">
        <v>1800</v>
      </c>
      <c r="N10" s="1"/>
      <c r="O10" s="1"/>
      <c r="P10" s="1"/>
      <c r="Q10" s="1"/>
      <c r="R10" s="1"/>
      <c r="S10" s="1"/>
      <c r="T10" s="1"/>
      <c r="U10" s="1"/>
      <c r="V10" s="1"/>
    </row>
    <row r="11" spans="1:22" ht="24.75" x14ac:dyDescent="0.65">
      <c r="A11" s="108">
        <v>9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  <c r="L11" s="13">
        <v>1990</v>
      </c>
      <c r="M11" s="13">
        <v>1770</v>
      </c>
      <c r="N11" s="1"/>
      <c r="O11" s="1"/>
      <c r="P11" s="1"/>
      <c r="Q11" s="1"/>
      <c r="R11" s="1"/>
      <c r="S11" s="1"/>
      <c r="T11" s="1"/>
      <c r="U11" s="1"/>
      <c r="V11" s="1"/>
    </row>
    <row r="12" spans="1:22" ht="24.75" x14ac:dyDescent="0.65">
      <c r="A12" s="108">
        <v>10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13">
        <v>1990</v>
      </c>
      <c r="M12" s="13">
        <v>1790</v>
      </c>
      <c r="N12" s="1"/>
      <c r="O12" s="1"/>
      <c r="P12" s="1"/>
      <c r="Q12" s="1"/>
      <c r="R12" s="1"/>
      <c r="S12" s="1"/>
      <c r="T12" s="1"/>
      <c r="U12" s="1"/>
      <c r="V12" s="1"/>
    </row>
    <row r="13" spans="1:22" ht="24.75" x14ac:dyDescent="0.65">
      <c r="A13" s="108">
        <v>11</v>
      </c>
      <c r="B13" s="12"/>
      <c r="C13" s="12"/>
      <c r="D13" s="12"/>
      <c r="E13" s="12"/>
      <c r="F13" s="12"/>
      <c r="G13" s="12"/>
      <c r="H13" s="12"/>
      <c r="I13" s="12"/>
      <c r="J13" s="12"/>
      <c r="K13" s="13">
        <v>1970</v>
      </c>
      <c r="L13" s="13">
        <v>1990</v>
      </c>
      <c r="M13" s="13">
        <v>1820</v>
      </c>
      <c r="N13" s="1"/>
      <c r="O13" s="1"/>
      <c r="P13" s="1"/>
      <c r="Q13" s="1"/>
      <c r="R13" s="1"/>
      <c r="S13" s="1"/>
      <c r="T13" s="1"/>
      <c r="U13" s="1"/>
      <c r="V13" s="1"/>
    </row>
    <row r="14" spans="1:22" ht="24.75" x14ac:dyDescent="0.65">
      <c r="A14" s="108">
        <v>12</v>
      </c>
      <c r="B14" s="12"/>
      <c r="C14" s="12"/>
      <c r="D14" s="12"/>
      <c r="E14" s="12"/>
      <c r="F14" s="12"/>
      <c r="G14" s="12"/>
      <c r="H14" s="12"/>
      <c r="I14" s="12"/>
      <c r="J14" s="12"/>
      <c r="K14" s="13"/>
      <c r="L14" s="13">
        <v>2000</v>
      </c>
      <c r="M14" s="13"/>
      <c r="N14" s="1"/>
      <c r="O14" s="1"/>
      <c r="P14" s="1"/>
      <c r="Q14" s="1"/>
      <c r="R14" s="1"/>
      <c r="S14" s="1"/>
      <c r="T14" s="1"/>
      <c r="U14" s="1"/>
      <c r="V14" s="1"/>
    </row>
    <row r="15" spans="1:22" ht="24.75" x14ac:dyDescent="0.65">
      <c r="A15" s="108">
        <v>13</v>
      </c>
      <c r="B15" s="12"/>
      <c r="C15" s="12"/>
      <c r="D15" s="12"/>
      <c r="E15" s="12"/>
      <c r="F15" s="12"/>
      <c r="G15" s="12"/>
      <c r="H15" s="12"/>
      <c r="I15" s="12"/>
      <c r="J15" s="12"/>
      <c r="K15" s="13">
        <v>1980</v>
      </c>
      <c r="L15" s="13">
        <v>1970</v>
      </c>
      <c r="M15" s="13">
        <v>1820</v>
      </c>
      <c r="N15" s="1"/>
      <c r="O15" s="1"/>
      <c r="P15" s="1"/>
      <c r="Q15" s="1"/>
      <c r="R15" s="1"/>
      <c r="S15" s="1"/>
      <c r="T15" s="1"/>
      <c r="U15" s="1"/>
      <c r="V15" s="1"/>
    </row>
    <row r="16" spans="1:22" ht="24.75" x14ac:dyDescent="0.65">
      <c r="A16" s="108">
        <v>14</v>
      </c>
      <c r="B16" s="12"/>
      <c r="C16" s="12"/>
      <c r="D16" s="12"/>
      <c r="E16" s="12"/>
      <c r="F16" s="12"/>
      <c r="G16" s="12"/>
      <c r="H16" s="12"/>
      <c r="I16" s="12"/>
      <c r="J16" s="12"/>
      <c r="K16" s="13"/>
      <c r="L16" s="13"/>
      <c r="M16" s="13">
        <v>1815</v>
      </c>
      <c r="N16" s="1"/>
      <c r="O16" s="1"/>
      <c r="P16" s="1"/>
      <c r="Q16" s="1"/>
      <c r="R16" s="1"/>
      <c r="S16" s="1"/>
      <c r="T16" s="1"/>
      <c r="U16" s="1"/>
      <c r="V16" s="1"/>
    </row>
    <row r="17" spans="1:22" ht="24.75" x14ac:dyDescent="0.65">
      <c r="A17" s="108">
        <v>15</v>
      </c>
      <c r="B17" s="12"/>
      <c r="C17" s="12"/>
      <c r="D17" s="12"/>
      <c r="E17" s="12"/>
      <c r="F17" s="12"/>
      <c r="G17" s="12"/>
      <c r="H17" s="12"/>
      <c r="I17" s="12"/>
      <c r="J17" s="12"/>
      <c r="K17" s="13">
        <v>2015</v>
      </c>
      <c r="L17" s="13">
        <v>1960</v>
      </c>
      <c r="M17" s="13">
        <v>1760</v>
      </c>
      <c r="N17" s="1"/>
      <c r="O17" s="1"/>
      <c r="P17" s="1"/>
      <c r="Q17" s="1"/>
      <c r="R17" s="1"/>
      <c r="S17" s="1"/>
      <c r="T17" s="1"/>
      <c r="U17" s="1"/>
      <c r="V17" s="1"/>
    </row>
    <row r="18" spans="1:22" ht="24.75" x14ac:dyDescent="0.65">
      <c r="A18" s="108">
        <v>16</v>
      </c>
      <c r="B18" s="12"/>
      <c r="C18" s="12"/>
      <c r="D18" s="12"/>
      <c r="E18" s="12"/>
      <c r="F18" s="12"/>
      <c r="G18" s="12"/>
      <c r="H18" s="12"/>
      <c r="I18" s="12"/>
      <c r="J18" s="12"/>
      <c r="K18" s="13"/>
      <c r="L18" s="13">
        <v>1955</v>
      </c>
      <c r="M18" s="13">
        <v>1740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24.75" x14ac:dyDescent="0.65">
      <c r="A19" s="108">
        <v>17</v>
      </c>
      <c r="B19" s="12"/>
      <c r="C19" s="12"/>
      <c r="D19" s="12"/>
      <c r="E19" s="12"/>
      <c r="F19" s="12"/>
      <c r="G19" s="12"/>
      <c r="H19" s="12"/>
      <c r="I19" s="12"/>
      <c r="J19" s="12"/>
      <c r="K19" s="13"/>
      <c r="L19" s="13"/>
      <c r="M19" s="13">
        <v>1720</v>
      </c>
      <c r="N19" s="1"/>
      <c r="O19" s="1"/>
      <c r="P19" s="1"/>
      <c r="Q19" s="1"/>
      <c r="R19" s="1"/>
      <c r="S19" s="1"/>
      <c r="T19" s="1"/>
      <c r="U19" s="1"/>
      <c r="V19" s="1"/>
    </row>
    <row r="20" spans="1:22" ht="24.75" x14ac:dyDescent="0.65">
      <c r="A20" s="108">
        <v>18</v>
      </c>
      <c r="B20" s="12"/>
      <c r="C20" s="12"/>
      <c r="D20" s="12"/>
      <c r="E20" s="12"/>
      <c r="F20" s="12"/>
      <c r="G20" s="12"/>
      <c r="H20" s="12"/>
      <c r="I20" s="12"/>
      <c r="J20" s="12"/>
      <c r="K20" s="13">
        <v>1800</v>
      </c>
      <c r="L20" s="13">
        <v>1965</v>
      </c>
      <c r="M20" s="13">
        <v>1675</v>
      </c>
      <c r="N20" s="1"/>
      <c r="O20" s="1"/>
      <c r="P20" s="1"/>
      <c r="Q20" s="1"/>
      <c r="R20" s="1"/>
      <c r="S20" s="1"/>
      <c r="T20" s="1"/>
      <c r="U20" s="1"/>
      <c r="V20" s="1"/>
    </row>
    <row r="21" spans="1:22" ht="24.75" x14ac:dyDescent="0.65">
      <c r="A21" s="108">
        <v>19</v>
      </c>
      <c r="B21" s="12"/>
      <c r="C21" s="12"/>
      <c r="D21" s="12"/>
      <c r="E21" s="12"/>
      <c r="F21" s="12"/>
      <c r="G21" s="12"/>
      <c r="H21" s="12"/>
      <c r="I21" s="12"/>
      <c r="J21" s="12"/>
      <c r="K21" s="13"/>
      <c r="L21" s="13">
        <v>1960</v>
      </c>
      <c r="M21" s="13"/>
      <c r="N21" s="1"/>
      <c r="O21" s="1"/>
      <c r="P21" s="1"/>
      <c r="Q21" s="1"/>
      <c r="R21" s="1"/>
      <c r="S21" s="1"/>
      <c r="T21" s="1"/>
      <c r="U21" s="1"/>
      <c r="V21" s="1"/>
    </row>
    <row r="22" spans="1:22" ht="24.75" x14ac:dyDescent="0.65">
      <c r="A22" s="108">
        <v>20</v>
      </c>
      <c r="B22" s="12"/>
      <c r="C22" s="12"/>
      <c r="D22" s="12"/>
      <c r="E22" s="12"/>
      <c r="F22" s="12"/>
      <c r="G22" s="12"/>
      <c r="H22" s="12"/>
      <c r="I22" s="12"/>
      <c r="J22" s="12"/>
      <c r="K22" s="13">
        <v>1890</v>
      </c>
      <c r="L22" s="13">
        <v>1955</v>
      </c>
      <c r="M22" s="13">
        <v>1630</v>
      </c>
      <c r="N22" s="1"/>
      <c r="O22" s="1"/>
      <c r="P22" s="1"/>
      <c r="Q22" s="1"/>
      <c r="R22" s="1"/>
      <c r="S22" s="1"/>
      <c r="T22" s="1"/>
      <c r="U22" s="1"/>
      <c r="V22" s="1"/>
    </row>
    <row r="23" spans="1:22" ht="24.75" x14ac:dyDescent="0.65">
      <c r="A23" s="108">
        <v>21</v>
      </c>
      <c r="B23" s="12"/>
      <c r="C23" s="12"/>
      <c r="D23" s="12"/>
      <c r="E23" s="12"/>
      <c r="F23" s="12"/>
      <c r="G23" s="12"/>
      <c r="H23" s="12"/>
      <c r="I23" s="12"/>
      <c r="J23" s="12"/>
      <c r="K23" s="13"/>
      <c r="L23" s="13"/>
      <c r="M23" s="13">
        <v>1665</v>
      </c>
      <c r="N23" s="1"/>
      <c r="O23" s="1"/>
      <c r="P23" s="1"/>
      <c r="Q23" s="1"/>
      <c r="R23" s="1"/>
      <c r="S23" s="1"/>
      <c r="T23" s="1"/>
      <c r="U23" s="1"/>
      <c r="V23" s="1"/>
    </row>
    <row r="24" spans="1:22" ht="24.75" x14ac:dyDescent="0.65">
      <c r="A24" s="108">
        <v>22</v>
      </c>
      <c r="B24" s="12"/>
      <c r="C24" s="12"/>
      <c r="D24" s="12"/>
      <c r="E24" s="12"/>
      <c r="F24" s="12"/>
      <c r="G24" s="12"/>
      <c r="H24" s="12"/>
      <c r="I24" s="12"/>
      <c r="J24" s="12"/>
      <c r="K24" s="13">
        <v>1920</v>
      </c>
      <c r="L24" s="13">
        <v>1965</v>
      </c>
      <c r="M24" s="13">
        <v>1670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24.75" x14ac:dyDescent="0.65">
      <c r="A25" s="108">
        <v>23</v>
      </c>
      <c r="B25" s="12"/>
      <c r="C25" s="12"/>
      <c r="D25" s="12"/>
      <c r="E25" s="12"/>
      <c r="F25" s="12"/>
      <c r="G25" s="12"/>
      <c r="H25" s="12"/>
      <c r="I25" s="12"/>
      <c r="J25" s="12"/>
      <c r="K25" s="13"/>
      <c r="L25" s="13">
        <v>1960</v>
      </c>
      <c r="M25" s="13">
        <v>1660</v>
      </c>
      <c r="N25" s="1"/>
      <c r="O25" s="1"/>
      <c r="P25" s="1"/>
      <c r="Q25" s="1"/>
      <c r="R25" s="1"/>
      <c r="S25" s="1"/>
      <c r="T25" s="1"/>
      <c r="U25" s="1"/>
      <c r="V25" s="1"/>
    </row>
    <row r="26" spans="1:22" ht="24.75" x14ac:dyDescent="0.65">
      <c r="A26" s="108">
        <v>24</v>
      </c>
      <c r="B26" s="12"/>
      <c r="C26" s="12"/>
      <c r="D26" s="12"/>
      <c r="E26" s="12"/>
      <c r="F26" s="12"/>
      <c r="G26" s="12"/>
      <c r="H26" s="12"/>
      <c r="I26" s="12"/>
      <c r="J26" s="12"/>
      <c r="K26" s="13"/>
      <c r="L26" s="13"/>
      <c r="M26" s="13">
        <v>1650</v>
      </c>
      <c r="N26" s="1"/>
      <c r="O26" s="1"/>
      <c r="P26" s="1"/>
      <c r="Q26" s="1"/>
      <c r="R26" s="1"/>
      <c r="S26" s="1"/>
      <c r="T26" s="1"/>
      <c r="U26" s="1"/>
      <c r="V26" s="1"/>
    </row>
    <row r="27" spans="1:22" ht="24.75" x14ac:dyDescent="0.65">
      <c r="A27" s="108">
        <v>25</v>
      </c>
      <c r="B27" s="12"/>
      <c r="C27" s="12"/>
      <c r="D27" s="12"/>
      <c r="E27" s="12"/>
      <c r="F27" s="12"/>
      <c r="G27" s="12"/>
      <c r="H27" s="12"/>
      <c r="I27" s="12"/>
      <c r="J27" s="12"/>
      <c r="K27" s="13">
        <v>1990</v>
      </c>
      <c r="L27" s="13"/>
      <c r="M27" s="13">
        <v>1670</v>
      </c>
      <c r="N27" s="1"/>
      <c r="O27" s="1"/>
      <c r="P27" s="1"/>
      <c r="Q27" s="1"/>
      <c r="R27" s="1"/>
      <c r="S27" s="1"/>
      <c r="T27" s="1"/>
      <c r="U27" s="1"/>
      <c r="V27" s="1"/>
    </row>
    <row r="28" spans="1:22" ht="24.75" x14ac:dyDescent="0.65">
      <c r="A28" s="108">
        <v>26</v>
      </c>
      <c r="B28" s="12"/>
      <c r="C28" s="12"/>
      <c r="D28" s="12"/>
      <c r="E28" s="12"/>
      <c r="F28" s="12"/>
      <c r="G28" s="12"/>
      <c r="H28" s="12"/>
      <c r="I28" s="12"/>
      <c r="J28" s="12"/>
      <c r="K28" s="13">
        <v>1970</v>
      </c>
      <c r="L28" s="13"/>
      <c r="M28" s="13"/>
      <c r="N28" s="1"/>
      <c r="O28" s="1"/>
      <c r="P28" s="1"/>
      <c r="Q28" s="1"/>
      <c r="R28" s="1"/>
      <c r="S28" s="1"/>
      <c r="T28" s="1"/>
      <c r="U28" s="1"/>
      <c r="V28" s="1"/>
    </row>
    <row r="29" spans="1:22" ht="24.75" x14ac:dyDescent="0.65">
      <c r="A29" s="108">
        <v>27</v>
      </c>
      <c r="B29" s="12"/>
      <c r="C29" s="12"/>
      <c r="D29" s="12"/>
      <c r="E29" s="12"/>
      <c r="F29" s="12"/>
      <c r="G29" s="12"/>
      <c r="H29" s="12"/>
      <c r="I29" s="12"/>
      <c r="J29" s="12"/>
      <c r="K29" s="13">
        <v>1965</v>
      </c>
      <c r="L29" s="13"/>
      <c r="M29" s="13">
        <v>1675</v>
      </c>
      <c r="N29" s="1"/>
      <c r="O29" s="1"/>
      <c r="P29" s="1"/>
      <c r="Q29" s="1"/>
      <c r="R29" s="1"/>
      <c r="S29" s="1"/>
      <c r="T29" s="1"/>
      <c r="U29" s="1"/>
      <c r="V29" s="1"/>
    </row>
    <row r="30" spans="1:22" ht="24.75" x14ac:dyDescent="0.65">
      <c r="A30" s="108">
        <v>28</v>
      </c>
      <c r="B30" s="12"/>
      <c r="C30" s="12"/>
      <c r="D30" s="12"/>
      <c r="E30" s="12"/>
      <c r="F30" s="12"/>
      <c r="G30" s="12"/>
      <c r="H30" s="12"/>
      <c r="I30" s="12"/>
      <c r="J30" s="12"/>
      <c r="K30" s="13">
        <v>1960</v>
      </c>
      <c r="L30" s="13"/>
      <c r="M30" s="13">
        <v>1680</v>
      </c>
      <c r="N30" s="1"/>
      <c r="O30" s="1"/>
      <c r="P30" s="1"/>
      <c r="Q30" s="1"/>
      <c r="R30" s="1"/>
      <c r="S30" s="1"/>
      <c r="T30" s="1"/>
      <c r="U30" s="1"/>
      <c r="V30" s="1"/>
    </row>
    <row r="31" spans="1:22" ht="24.75" x14ac:dyDescent="0.65">
      <c r="A31" s="108">
        <v>29</v>
      </c>
      <c r="B31" s="12"/>
      <c r="C31" s="12"/>
      <c r="D31" s="12"/>
      <c r="E31" s="12"/>
      <c r="F31" s="12"/>
      <c r="G31" s="12"/>
      <c r="H31" s="12"/>
      <c r="I31" s="12"/>
      <c r="J31" s="12"/>
      <c r="K31" s="13">
        <v>1960</v>
      </c>
      <c r="L31" s="13">
        <v>1950</v>
      </c>
      <c r="M31" s="13">
        <v>1685</v>
      </c>
      <c r="N31" s="1"/>
      <c r="O31" s="1"/>
      <c r="P31" s="1"/>
      <c r="Q31" s="1"/>
      <c r="R31" s="1"/>
      <c r="S31" s="1"/>
      <c r="T31" s="1"/>
      <c r="U31" s="1"/>
      <c r="V31" s="1"/>
    </row>
    <row r="32" spans="1:22" ht="24.75" x14ac:dyDescent="0.65">
      <c r="A32" s="108">
        <v>30</v>
      </c>
      <c r="B32" s="12"/>
      <c r="C32" s="12"/>
      <c r="D32" s="12"/>
      <c r="E32" s="12"/>
      <c r="F32" s="12"/>
      <c r="G32" s="12"/>
      <c r="H32" s="12"/>
      <c r="I32" s="12"/>
      <c r="J32" s="12"/>
      <c r="K32" s="13">
        <v>1970</v>
      </c>
      <c r="L32" s="13">
        <v>1950</v>
      </c>
      <c r="M32" s="13">
        <v>1685</v>
      </c>
      <c r="N32" s="1"/>
      <c r="O32" s="1"/>
      <c r="P32" s="1"/>
      <c r="Q32" s="1"/>
      <c r="R32" s="1"/>
      <c r="S32" s="1"/>
      <c r="T32" s="1"/>
      <c r="U32" s="1"/>
      <c r="V32" s="1"/>
    </row>
    <row r="33" spans="1:22" ht="28.5" thickBot="1" x14ac:dyDescent="0.75">
      <c r="A33" s="109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5"/>
      <c r="L33" s="15"/>
      <c r="M33" s="15">
        <v>1690</v>
      </c>
      <c r="N33" s="1"/>
      <c r="O33" s="1"/>
      <c r="P33" s="1"/>
      <c r="Q33" s="1"/>
      <c r="R33" s="1"/>
      <c r="S33" s="1"/>
      <c r="T33" s="16"/>
      <c r="U33" s="16"/>
      <c r="V33" s="16"/>
    </row>
    <row r="34" spans="1:22" ht="25.5" thickBot="1" x14ac:dyDescent="0.7">
      <c r="A34" s="195" t="s">
        <v>15</v>
      </c>
      <c r="B34" s="195"/>
      <c r="C34" s="195"/>
      <c r="D34" s="195"/>
      <c r="E34" s="195"/>
      <c r="F34" s="195"/>
      <c r="G34" s="195"/>
      <c r="H34" s="195"/>
      <c r="I34" s="195"/>
      <c r="J34" s="195"/>
      <c r="K34" s="197">
        <f>AVERAGE(K3:K33)</f>
        <v>1948.5714285714287</v>
      </c>
      <c r="L34" s="197">
        <f t="shared" ref="L34:M34" si="0">AVERAGE(L3:L33)</f>
        <v>1975.2380952380952</v>
      </c>
      <c r="M34" s="197">
        <f t="shared" si="0"/>
        <v>1764.2592592592594</v>
      </c>
      <c r="N34" s="18"/>
      <c r="O34" s="1"/>
      <c r="P34" s="1"/>
      <c r="Q34" s="1"/>
      <c r="R34" s="1"/>
      <c r="S34" s="1"/>
      <c r="T34" s="1"/>
      <c r="U34" s="1"/>
      <c r="V34" s="1"/>
    </row>
    <row r="35" spans="1:22" s="23" customFormat="1" ht="25.5" thickBot="1" x14ac:dyDescent="0.7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20"/>
      <c r="L35" s="20"/>
      <c r="M35" s="20"/>
      <c r="N35" s="21"/>
      <c r="O35" s="22"/>
      <c r="P35" s="22"/>
      <c r="Q35" s="22"/>
      <c r="R35" s="22"/>
      <c r="S35" s="22"/>
      <c r="T35" s="22"/>
      <c r="U35" s="22"/>
      <c r="V35" s="22"/>
    </row>
    <row r="36" spans="1:22" ht="25.5" thickBot="1" x14ac:dyDescent="0.7">
      <c r="A36" s="64" t="s">
        <v>45</v>
      </c>
      <c r="B36" s="29" t="s">
        <v>3</v>
      </c>
      <c r="C36" s="29" t="s">
        <v>4</v>
      </c>
      <c r="D36" s="29" t="s">
        <v>5</v>
      </c>
      <c r="E36" s="29" t="s">
        <v>6</v>
      </c>
      <c r="F36" s="29" t="s">
        <v>7</v>
      </c>
      <c r="G36" s="29" t="s">
        <v>41</v>
      </c>
      <c r="H36" s="29" t="s">
        <v>42</v>
      </c>
      <c r="I36" s="29" t="s">
        <v>10</v>
      </c>
      <c r="J36" s="29" t="s">
        <v>11</v>
      </c>
      <c r="K36" s="29" t="s">
        <v>12</v>
      </c>
      <c r="L36" s="29" t="s">
        <v>21</v>
      </c>
      <c r="M36" s="29" t="s">
        <v>14</v>
      </c>
      <c r="N36" s="1"/>
      <c r="O36" s="1"/>
      <c r="P36" s="1"/>
      <c r="Q36" s="1"/>
      <c r="R36" s="1"/>
      <c r="S36" s="1"/>
      <c r="T36" s="1"/>
      <c r="U36" s="1"/>
      <c r="V36" s="1"/>
    </row>
    <row r="37" spans="1:22" ht="24.75" x14ac:dyDescent="0.65">
      <c r="A37" s="39">
        <v>1</v>
      </c>
      <c r="B37" s="24">
        <v>1680</v>
      </c>
      <c r="C37" s="11"/>
      <c r="D37" s="24">
        <v>1425</v>
      </c>
      <c r="E37" s="25">
        <v>1425</v>
      </c>
      <c r="F37" s="11"/>
      <c r="G37" s="24">
        <v>1460</v>
      </c>
      <c r="H37" s="11"/>
      <c r="I37" s="24">
        <v>1460</v>
      </c>
      <c r="J37" s="24">
        <v>1460</v>
      </c>
      <c r="K37" s="11"/>
      <c r="L37" s="24">
        <v>1460</v>
      </c>
      <c r="M37" s="24">
        <v>1460</v>
      </c>
    </row>
    <row r="38" spans="1:22" ht="24.75" x14ac:dyDescent="0.65">
      <c r="A38" s="108">
        <v>2</v>
      </c>
      <c r="B38" s="13"/>
      <c r="C38" s="13"/>
      <c r="D38" s="13"/>
      <c r="E38" s="13"/>
      <c r="F38" s="13"/>
      <c r="G38" s="26">
        <v>1460</v>
      </c>
      <c r="H38" s="13"/>
      <c r="I38" s="26">
        <v>1460</v>
      </c>
      <c r="J38" s="26">
        <v>1460</v>
      </c>
      <c r="K38" s="26">
        <v>1460</v>
      </c>
      <c r="L38" s="26">
        <v>1460</v>
      </c>
      <c r="M38" s="26">
        <v>1460</v>
      </c>
    </row>
    <row r="39" spans="1:22" ht="24.75" x14ac:dyDescent="0.65">
      <c r="A39" s="108">
        <v>3</v>
      </c>
      <c r="B39" s="26">
        <v>1660</v>
      </c>
      <c r="C39" s="13"/>
      <c r="D39" s="13"/>
      <c r="E39" s="27">
        <v>1425</v>
      </c>
      <c r="F39" s="26">
        <v>1450</v>
      </c>
      <c r="G39" s="26">
        <v>1460</v>
      </c>
      <c r="H39" s="26">
        <v>1460</v>
      </c>
      <c r="I39" s="26">
        <v>1460</v>
      </c>
      <c r="J39" s="13"/>
      <c r="K39" s="26">
        <v>1460</v>
      </c>
      <c r="L39" s="26">
        <v>1460</v>
      </c>
      <c r="M39" s="13"/>
    </row>
    <row r="40" spans="1:22" ht="24.75" x14ac:dyDescent="0.65">
      <c r="A40" s="108">
        <v>4</v>
      </c>
      <c r="B40" s="26">
        <v>1640</v>
      </c>
      <c r="C40" s="13"/>
      <c r="D40" s="26">
        <v>1425</v>
      </c>
      <c r="E40" s="27">
        <v>1425</v>
      </c>
      <c r="F40" s="26">
        <v>1455</v>
      </c>
      <c r="G40" s="13"/>
      <c r="H40" s="26">
        <v>1460</v>
      </c>
      <c r="I40" s="26">
        <v>1460</v>
      </c>
      <c r="J40" s="26">
        <v>1460</v>
      </c>
      <c r="K40" s="26">
        <v>1460</v>
      </c>
      <c r="L40" s="26">
        <v>1460</v>
      </c>
      <c r="M40" s="26">
        <v>1460</v>
      </c>
    </row>
    <row r="41" spans="1:22" ht="24.75" x14ac:dyDescent="0.65">
      <c r="A41" s="108">
        <v>5</v>
      </c>
      <c r="B41" s="26">
        <v>1640</v>
      </c>
      <c r="C41" s="13"/>
      <c r="D41" s="13"/>
      <c r="E41" s="27">
        <v>1425</v>
      </c>
      <c r="F41" s="26">
        <v>1460</v>
      </c>
      <c r="G41" s="26">
        <v>1460</v>
      </c>
      <c r="H41" s="26">
        <v>1460</v>
      </c>
      <c r="I41" s="26">
        <v>1460</v>
      </c>
      <c r="J41" s="26">
        <v>1460</v>
      </c>
      <c r="K41" s="26">
        <v>1460</v>
      </c>
      <c r="L41" s="13"/>
      <c r="M41" s="26">
        <v>1460</v>
      </c>
    </row>
    <row r="42" spans="1:22" ht="24.75" x14ac:dyDescent="0.65">
      <c r="A42" s="108">
        <v>6</v>
      </c>
      <c r="B42" s="26">
        <v>1640</v>
      </c>
      <c r="C42" s="13"/>
      <c r="D42" s="26">
        <v>1425</v>
      </c>
      <c r="E42" s="27">
        <v>1425</v>
      </c>
      <c r="F42" s="26">
        <v>1460</v>
      </c>
      <c r="G42" s="26">
        <v>1455</v>
      </c>
      <c r="H42" s="26">
        <v>1460</v>
      </c>
      <c r="I42" s="13"/>
      <c r="J42" s="26">
        <v>1460</v>
      </c>
      <c r="K42" s="26">
        <v>1460</v>
      </c>
      <c r="L42" s="26">
        <v>1460</v>
      </c>
      <c r="M42" s="26">
        <v>1460</v>
      </c>
    </row>
    <row r="43" spans="1:22" ht="24.75" x14ac:dyDescent="0.65">
      <c r="A43" s="108">
        <v>7</v>
      </c>
      <c r="B43" s="26">
        <v>1625</v>
      </c>
      <c r="C43" s="26">
        <v>1360</v>
      </c>
      <c r="D43" s="26">
        <v>1425</v>
      </c>
      <c r="E43" s="27">
        <v>1425</v>
      </c>
      <c r="F43" s="13"/>
      <c r="G43" s="26">
        <v>1455</v>
      </c>
      <c r="H43" s="26">
        <v>1460</v>
      </c>
      <c r="I43" s="26">
        <v>1460</v>
      </c>
      <c r="J43" s="26">
        <v>1460</v>
      </c>
      <c r="K43" s="26">
        <v>1460</v>
      </c>
      <c r="L43" s="26">
        <v>1460</v>
      </c>
      <c r="M43" s="26">
        <v>1460</v>
      </c>
    </row>
    <row r="44" spans="1:22" ht="24.75" x14ac:dyDescent="0.65">
      <c r="A44" s="108">
        <v>8</v>
      </c>
      <c r="B44" s="26">
        <v>1615</v>
      </c>
      <c r="C44" s="26">
        <v>1370</v>
      </c>
      <c r="D44" s="26">
        <v>1420</v>
      </c>
      <c r="E44" s="27">
        <v>1425</v>
      </c>
      <c r="F44" s="26">
        <v>1460</v>
      </c>
      <c r="G44" s="26">
        <v>1455</v>
      </c>
      <c r="H44" s="26">
        <v>1460</v>
      </c>
      <c r="I44" s="26">
        <v>1460</v>
      </c>
      <c r="J44" s="26">
        <v>1460</v>
      </c>
      <c r="K44" s="13"/>
      <c r="L44" s="26">
        <v>1460</v>
      </c>
      <c r="M44" s="26">
        <v>1460</v>
      </c>
    </row>
    <row r="45" spans="1:22" ht="24.75" x14ac:dyDescent="0.65">
      <c r="A45" s="108">
        <v>9</v>
      </c>
      <c r="B45" s="13"/>
      <c r="C45" s="26">
        <v>1385</v>
      </c>
      <c r="D45" s="26">
        <v>1400</v>
      </c>
      <c r="E45" s="13"/>
      <c r="F45" s="26">
        <v>1460</v>
      </c>
      <c r="G45" s="26">
        <v>1455</v>
      </c>
      <c r="H45" s="13"/>
      <c r="I45" s="26">
        <v>1460</v>
      </c>
      <c r="J45" s="26">
        <v>1460</v>
      </c>
      <c r="K45" s="26">
        <v>1460</v>
      </c>
      <c r="L45" s="26">
        <v>1460</v>
      </c>
      <c r="M45" s="26">
        <v>1460</v>
      </c>
    </row>
    <row r="46" spans="1:22" ht="24.75" x14ac:dyDescent="0.65">
      <c r="A46" s="108">
        <v>10</v>
      </c>
      <c r="B46" s="26">
        <v>1550</v>
      </c>
      <c r="C46" s="26">
        <v>1430</v>
      </c>
      <c r="D46" s="26">
        <v>1410</v>
      </c>
      <c r="E46" s="13"/>
      <c r="F46" s="26">
        <v>1460</v>
      </c>
      <c r="G46" s="26">
        <v>1455</v>
      </c>
      <c r="H46" s="26">
        <v>1460</v>
      </c>
      <c r="I46" s="26">
        <v>1460</v>
      </c>
      <c r="J46" s="13"/>
      <c r="K46" s="26">
        <v>1460</v>
      </c>
      <c r="L46" s="26">
        <v>1460</v>
      </c>
      <c r="M46" s="13"/>
    </row>
    <row r="47" spans="1:22" ht="24.75" x14ac:dyDescent="0.65">
      <c r="A47" s="108">
        <v>11</v>
      </c>
      <c r="B47" s="26">
        <v>1520</v>
      </c>
      <c r="C47" s="26">
        <v>1440</v>
      </c>
      <c r="D47" s="26">
        <v>1415</v>
      </c>
      <c r="E47" s="13"/>
      <c r="F47" s="26">
        <v>1460</v>
      </c>
      <c r="G47" s="13"/>
      <c r="H47" s="26">
        <v>1460</v>
      </c>
      <c r="I47" s="26">
        <v>1460</v>
      </c>
      <c r="J47" s="26">
        <v>1460</v>
      </c>
      <c r="K47" s="26">
        <v>1460</v>
      </c>
      <c r="L47" s="26">
        <v>1460</v>
      </c>
      <c r="M47" s="26">
        <v>1460</v>
      </c>
    </row>
    <row r="48" spans="1:22" ht="24.75" x14ac:dyDescent="0.65">
      <c r="A48" s="108">
        <v>12</v>
      </c>
      <c r="B48" s="26">
        <v>1525</v>
      </c>
      <c r="C48" s="26">
        <v>1450</v>
      </c>
      <c r="D48" s="13"/>
      <c r="E48" s="27">
        <v>1440</v>
      </c>
      <c r="F48" s="26">
        <v>1465</v>
      </c>
      <c r="G48" s="26">
        <v>1455</v>
      </c>
      <c r="H48" s="26">
        <v>1460</v>
      </c>
      <c r="I48" s="26">
        <v>1460</v>
      </c>
      <c r="J48" s="26">
        <v>1460</v>
      </c>
      <c r="K48" s="26">
        <v>1460</v>
      </c>
      <c r="L48" s="13"/>
      <c r="M48" s="26">
        <v>1460</v>
      </c>
    </row>
    <row r="49" spans="1:13" ht="24.75" x14ac:dyDescent="0.65">
      <c r="A49" s="108">
        <v>13</v>
      </c>
      <c r="B49" s="26">
        <v>1515</v>
      </c>
      <c r="C49" s="13"/>
      <c r="D49" s="26">
        <v>1415</v>
      </c>
      <c r="E49" s="27">
        <v>1445</v>
      </c>
      <c r="F49" s="26">
        <v>1460</v>
      </c>
      <c r="G49" s="26">
        <v>1455</v>
      </c>
      <c r="H49" s="26">
        <v>1460</v>
      </c>
      <c r="I49" s="13"/>
      <c r="J49" s="26">
        <v>1460</v>
      </c>
      <c r="K49" s="26">
        <v>1460</v>
      </c>
      <c r="L49" s="26">
        <v>1460</v>
      </c>
      <c r="M49" s="26">
        <v>1460</v>
      </c>
    </row>
    <row r="50" spans="1:13" ht="24.75" x14ac:dyDescent="0.65">
      <c r="A50" s="108">
        <v>14</v>
      </c>
      <c r="B50" s="26">
        <v>1405</v>
      </c>
      <c r="C50" s="26">
        <v>1420</v>
      </c>
      <c r="D50" s="26">
        <v>1415</v>
      </c>
      <c r="E50" s="27">
        <v>1445</v>
      </c>
      <c r="F50" s="13"/>
      <c r="G50" s="26">
        <v>1455</v>
      </c>
      <c r="H50" s="13"/>
      <c r="I50" s="26">
        <v>1460</v>
      </c>
      <c r="J50" s="26">
        <v>1460</v>
      </c>
      <c r="K50" s="26">
        <v>1460</v>
      </c>
      <c r="L50" s="26"/>
      <c r="M50" s="26">
        <v>1460</v>
      </c>
    </row>
    <row r="51" spans="1:13" ht="24.75" x14ac:dyDescent="0.65">
      <c r="A51" s="108">
        <v>15</v>
      </c>
      <c r="B51" s="13"/>
      <c r="C51" s="26">
        <v>1400</v>
      </c>
      <c r="D51" s="26">
        <v>1415</v>
      </c>
      <c r="E51" s="27">
        <v>1445</v>
      </c>
      <c r="F51" s="26">
        <v>1460</v>
      </c>
      <c r="G51" s="26">
        <v>1455</v>
      </c>
      <c r="H51" s="26">
        <v>1460</v>
      </c>
      <c r="I51" s="26">
        <v>1460</v>
      </c>
      <c r="J51" s="26">
        <v>1460</v>
      </c>
      <c r="K51" s="13"/>
      <c r="L51" s="26"/>
      <c r="M51" s="26">
        <v>1460</v>
      </c>
    </row>
    <row r="52" spans="1:13" ht="24.75" x14ac:dyDescent="0.65">
      <c r="A52" s="108">
        <v>16</v>
      </c>
      <c r="B52" s="13"/>
      <c r="C52" s="26">
        <v>1400</v>
      </c>
      <c r="D52" s="26">
        <v>1410</v>
      </c>
      <c r="E52" s="13"/>
      <c r="F52" s="26">
        <v>1465</v>
      </c>
      <c r="G52" s="26">
        <v>1455</v>
      </c>
      <c r="H52" s="13"/>
      <c r="I52" s="26">
        <v>1460</v>
      </c>
      <c r="J52" s="26">
        <v>1460</v>
      </c>
      <c r="K52" s="26">
        <v>1460</v>
      </c>
      <c r="L52" s="26"/>
      <c r="M52" s="26">
        <v>1460</v>
      </c>
    </row>
    <row r="53" spans="1:13" ht="24.75" x14ac:dyDescent="0.65">
      <c r="A53" s="108">
        <v>17</v>
      </c>
      <c r="B53" s="26">
        <v>1450</v>
      </c>
      <c r="C53" s="26">
        <v>1400</v>
      </c>
      <c r="D53" s="26">
        <v>1415</v>
      </c>
      <c r="E53" s="27">
        <v>1460</v>
      </c>
      <c r="F53" s="26">
        <v>1465</v>
      </c>
      <c r="G53" s="26">
        <v>1460</v>
      </c>
      <c r="H53" s="26">
        <v>1460</v>
      </c>
      <c r="I53" s="26">
        <v>1460</v>
      </c>
      <c r="J53" s="13"/>
      <c r="K53" s="26">
        <v>1460</v>
      </c>
      <c r="L53" s="26">
        <v>1460</v>
      </c>
      <c r="M53" s="13"/>
    </row>
    <row r="54" spans="1:13" ht="24.75" x14ac:dyDescent="0.65">
      <c r="A54" s="108">
        <v>18</v>
      </c>
      <c r="B54" s="26">
        <v>1470</v>
      </c>
      <c r="C54" s="26">
        <v>1415</v>
      </c>
      <c r="D54" s="26">
        <v>1410</v>
      </c>
      <c r="E54" s="27">
        <v>1460</v>
      </c>
      <c r="F54" s="26">
        <v>1465</v>
      </c>
      <c r="G54" s="13"/>
      <c r="H54" s="26">
        <v>1460</v>
      </c>
      <c r="I54" s="26">
        <v>1460</v>
      </c>
      <c r="J54" s="26">
        <v>1460</v>
      </c>
      <c r="K54" s="26">
        <v>1460</v>
      </c>
      <c r="L54" s="26">
        <v>1460</v>
      </c>
      <c r="M54" s="26">
        <v>1460</v>
      </c>
    </row>
    <row r="55" spans="1:13" ht="24.75" x14ac:dyDescent="0.65">
      <c r="A55" s="108">
        <v>19</v>
      </c>
      <c r="B55" s="26">
        <v>1430</v>
      </c>
      <c r="C55" s="26">
        <v>1415</v>
      </c>
      <c r="D55" s="13"/>
      <c r="E55" s="27">
        <v>1460</v>
      </c>
      <c r="F55" s="26">
        <v>1465</v>
      </c>
      <c r="G55" s="26">
        <v>1460</v>
      </c>
      <c r="H55" s="26">
        <v>1460</v>
      </c>
      <c r="I55" s="26">
        <v>1460</v>
      </c>
      <c r="J55" s="26">
        <v>1460</v>
      </c>
      <c r="K55" s="26">
        <v>1460</v>
      </c>
      <c r="L55" s="13"/>
      <c r="M55" s="26">
        <v>1460</v>
      </c>
    </row>
    <row r="56" spans="1:13" ht="24.75" x14ac:dyDescent="0.65">
      <c r="A56" s="108">
        <v>20</v>
      </c>
      <c r="B56" s="26">
        <v>1400</v>
      </c>
      <c r="C56" s="13"/>
      <c r="D56" s="26">
        <v>1410</v>
      </c>
      <c r="E56" s="26">
        <v>1455</v>
      </c>
      <c r="F56" s="26">
        <v>1465</v>
      </c>
      <c r="G56" s="26">
        <v>1460</v>
      </c>
      <c r="H56" s="26">
        <v>1460</v>
      </c>
      <c r="I56" s="13"/>
      <c r="J56" s="26">
        <v>1460</v>
      </c>
      <c r="K56" s="26">
        <v>1460</v>
      </c>
      <c r="L56" s="26">
        <v>1460</v>
      </c>
      <c r="M56" s="26">
        <v>1460</v>
      </c>
    </row>
    <row r="57" spans="1:13" ht="24.75" x14ac:dyDescent="0.65">
      <c r="A57" s="108">
        <v>21</v>
      </c>
      <c r="B57" s="26">
        <v>1400</v>
      </c>
      <c r="C57" s="13"/>
      <c r="D57" s="13"/>
      <c r="E57" s="26">
        <v>1450</v>
      </c>
      <c r="F57" s="13"/>
      <c r="G57" s="26">
        <v>1460</v>
      </c>
      <c r="H57" s="26">
        <v>1460</v>
      </c>
      <c r="I57" s="26">
        <v>1460</v>
      </c>
      <c r="J57" s="26">
        <v>1460</v>
      </c>
      <c r="K57" s="26">
        <v>1460</v>
      </c>
      <c r="L57" s="26">
        <v>1460</v>
      </c>
      <c r="M57" s="26">
        <v>1460</v>
      </c>
    </row>
    <row r="58" spans="1:13" ht="24.75" x14ac:dyDescent="0.65">
      <c r="A58" s="108">
        <v>22</v>
      </c>
      <c r="B58" s="26">
        <v>1400</v>
      </c>
      <c r="C58" s="13"/>
      <c r="D58" s="26">
        <v>1415</v>
      </c>
      <c r="E58" s="26">
        <v>1445</v>
      </c>
      <c r="F58" s="26">
        <v>1465</v>
      </c>
      <c r="G58" s="26">
        <v>1460</v>
      </c>
      <c r="H58" s="26">
        <v>1460</v>
      </c>
      <c r="I58" s="26">
        <v>1460</v>
      </c>
      <c r="J58" s="26">
        <v>1460</v>
      </c>
      <c r="K58" s="13"/>
      <c r="L58" s="26">
        <v>1460</v>
      </c>
      <c r="M58" s="26">
        <v>1460</v>
      </c>
    </row>
    <row r="59" spans="1:13" ht="24.75" x14ac:dyDescent="0.65">
      <c r="A59" s="108">
        <v>23</v>
      </c>
      <c r="B59" s="13"/>
      <c r="C59" s="26">
        <v>1425</v>
      </c>
      <c r="D59" s="26">
        <v>1420</v>
      </c>
      <c r="E59" s="13"/>
      <c r="F59" s="26">
        <v>1465</v>
      </c>
      <c r="G59" s="26">
        <v>1460</v>
      </c>
      <c r="H59" s="26"/>
      <c r="I59" s="26">
        <v>1460</v>
      </c>
      <c r="J59" s="26">
        <v>1460</v>
      </c>
      <c r="K59" s="26">
        <v>1460</v>
      </c>
      <c r="L59" s="26">
        <v>1460</v>
      </c>
      <c r="M59" s="26">
        <v>1460</v>
      </c>
    </row>
    <row r="60" spans="1:13" ht="24.75" x14ac:dyDescent="0.65">
      <c r="A60" s="108">
        <v>24</v>
      </c>
      <c r="B60" s="26">
        <v>1400</v>
      </c>
      <c r="C60" s="26">
        <v>1425</v>
      </c>
      <c r="D60" s="26">
        <v>1425</v>
      </c>
      <c r="E60" s="26">
        <v>1440</v>
      </c>
      <c r="F60" s="26">
        <v>1465</v>
      </c>
      <c r="G60" s="26">
        <v>1460</v>
      </c>
      <c r="H60" s="26">
        <v>1460</v>
      </c>
      <c r="I60" s="26">
        <v>1460</v>
      </c>
      <c r="J60" s="13"/>
      <c r="K60" s="26">
        <v>1460</v>
      </c>
      <c r="L60" s="26">
        <v>1460</v>
      </c>
      <c r="M60" s="13"/>
    </row>
    <row r="61" spans="1:13" ht="24.75" x14ac:dyDescent="0.65">
      <c r="A61" s="108">
        <v>25</v>
      </c>
      <c r="B61" s="26">
        <v>1375</v>
      </c>
      <c r="C61" s="26">
        <v>1425</v>
      </c>
      <c r="D61" s="26">
        <v>1425</v>
      </c>
      <c r="E61" s="26">
        <v>1440</v>
      </c>
      <c r="F61" s="26">
        <v>1460</v>
      </c>
      <c r="G61" s="13"/>
      <c r="H61" s="26">
        <v>1460</v>
      </c>
      <c r="I61" s="26">
        <v>1460</v>
      </c>
      <c r="J61" s="26">
        <v>1460</v>
      </c>
      <c r="K61" s="26">
        <v>1460</v>
      </c>
      <c r="L61" s="26">
        <v>1460</v>
      </c>
      <c r="M61" s="26">
        <v>1460</v>
      </c>
    </row>
    <row r="62" spans="1:13" ht="24.75" x14ac:dyDescent="0.65">
      <c r="A62" s="108">
        <v>26</v>
      </c>
      <c r="B62" s="26">
        <v>1365</v>
      </c>
      <c r="C62" s="26">
        <v>1425</v>
      </c>
      <c r="D62" s="13"/>
      <c r="E62" s="26">
        <v>1440</v>
      </c>
      <c r="F62" s="26">
        <v>1460</v>
      </c>
      <c r="G62" s="26">
        <v>1460</v>
      </c>
      <c r="H62" s="26">
        <v>1460</v>
      </c>
      <c r="I62" s="26">
        <v>1460</v>
      </c>
      <c r="J62" s="26">
        <v>1460</v>
      </c>
      <c r="K62" s="26">
        <v>1460</v>
      </c>
      <c r="L62" s="13"/>
      <c r="M62" s="26">
        <v>1460</v>
      </c>
    </row>
    <row r="63" spans="1:13" ht="24.75" x14ac:dyDescent="0.65">
      <c r="A63" s="108">
        <v>27</v>
      </c>
      <c r="B63" s="26">
        <v>1365</v>
      </c>
      <c r="C63" s="13"/>
      <c r="D63" s="26">
        <v>1425</v>
      </c>
      <c r="E63" s="26">
        <v>1440</v>
      </c>
      <c r="F63" s="26">
        <v>1460</v>
      </c>
      <c r="G63" s="26">
        <v>1460</v>
      </c>
      <c r="H63" s="26">
        <v>1460</v>
      </c>
      <c r="I63" s="13"/>
      <c r="J63" s="26">
        <v>1465</v>
      </c>
      <c r="K63" s="26">
        <v>1460</v>
      </c>
      <c r="L63" s="26">
        <v>1460</v>
      </c>
      <c r="M63" s="26">
        <v>1460</v>
      </c>
    </row>
    <row r="64" spans="1:13" ht="24.75" x14ac:dyDescent="0.65">
      <c r="A64" s="108">
        <v>28</v>
      </c>
      <c r="B64" s="26">
        <v>1370</v>
      </c>
      <c r="C64" s="26">
        <v>1425</v>
      </c>
      <c r="D64" s="26">
        <v>1425</v>
      </c>
      <c r="E64" s="26">
        <v>1440</v>
      </c>
      <c r="F64" s="13"/>
      <c r="G64" s="26">
        <v>1460</v>
      </c>
      <c r="H64" s="26">
        <v>1460</v>
      </c>
      <c r="I64" s="26">
        <v>1460</v>
      </c>
      <c r="J64" s="26">
        <v>1465</v>
      </c>
      <c r="K64" s="26">
        <v>1460</v>
      </c>
      <c r="L64" s="26">
        <v>1460</v>
      </c>
      <c r="M64" s="26">
        <v>1460</v>
      </c>
    </row>
    <row r="65" spans="1:22" ht="24.75" x14ac:dyDescent="0.65">
      <c r="A65" s="108">
        <v>29</v>
      </c>
      <c r="B65" s="26">
        <v>1370</v>
      </c>
      <c r="C65" s="26">
        <v>1425</v>
      </c>
      <c r="D65" s="26">
        <v>1425</v>
      </c>
      <c r="E65" s="26">
        <v>1440</v>
      </c>
      <c r="F65" s="26">
        <v>1460</v>
      </c>
      <c r="G65" s="26">
        <v>1460</v>
      </c>
      <c r="H65" s="26">
        <v>1460</v>
      </c>
      <c r="I65" s="26">
        <v>1460</v>
      </c>
      <c r="J65" s="26">
        <v>1465</v>
      </c>
      <c r="K65" s="13"/>
      <c r="L65" s="26">
        <v>1460</v>
      </c>
      <c r="M65" s="26">
        <v>1460</v>
      </c>
    </row>
    <row r="66" spans="1:22" ht="24.75" x14ac:dyDescent="0.65">
      <c r="A66" s="108">
        <v>30</v>
      </c>
      <c r="B66" s="13"/>
      <c r="C66" s="13"/>
      <c r="D66" s="26">
        <v>1425</v>
      </c>
      <c r="E66" s="13"/>
      <c r="F66" s="26">
        <v>1460</v>
      </c>
      <c r="G66" s="13"/>
      <c r="H66" s="13"/>
      <c r="I66" s="26">
        <v>1460</v>
      </c>
      <c r="J66" s="26">
        <v>1460</v>
      </c>
      <c r="K66" s="26">
        <v>1460</v>
      </c>
      <c r="L66" s="26">
        <v>1460</v>
      </c>
      <c r="M66" s="26">
        <v>1460</v>
      </c>
    </row>
    <row r="67" spans="1:22" ht="25.5" thickBot="1" x14ac:dyDescent="0.7">
      <c r="A67" s="109">
        <v>31</v>
      </c>
      <c r="B67" s="28">
        <v>1360</v>
      </c>
      <c r="C67" s="15"/>
      <c r="D67" s="28">
        <v>1425</v>
      </c>
      <c r="E67" s="15"/>
      <c r="F67" s="28">
        <v>1460</v>
      </c>
      <c r="G67" s="15"/>
      <c r="H67" s="28">
        <v>1460</v>
      </c>
      <c r="I67" s="28">
        <v>1460</v>
      </c>
      <c r="J67" s="15"/>
      <c r="K67" s="28">
        <v>1460</v>
      </c>
      <c r="L67" s="15"/>
      <c r="M67" s="15"/>
    </row>
    <row r="68" spans="1:22" ht="23.25" customHeight="1" thickBot="1" x14ac:dyDescent="0.7">
      <c r="A68" s="195" t="s">
        <v>15</v>
      </c>
      <c r="B68" s="197">
        <f>AVERAGE(B37:B67)</f>
        <v>1486.8</v>
      </c>
      <c r="C68" s="197">
        <f t="shared" ref="C68:D68" si="1">AVERAGE(C37:C67)</f>
        <v>1413.0555555555557</v>
      </c>
      <c r="D68" s="197">
        <f t="shared" si="1"/>
        <v>1418.5416666666667</v>
      </c>
      <c r="E68" s="197">
        <f t="shared" ref="E68" si="2">AVERAGE(E37:E67)</f>
        <v>1440</v>
      </c>
      <c r="F68" s="197">
        <f t="shared" ref="F68" si="3">AVERAGE(F37:F67)</f>
        <v>1461.2</v>
      </c>
      <c r="G68" s="197">
        <f t="shared" ref="G68" si="4">AVERAGE(G37:G67)</f>
        <v>1458</v>
      </c>
      <c r="H68" s="197">
        <f t="shared" ref="H68" si="5">AVERAGE(H37:H67)</f>
        <v>1460</v>
      </c>
      <c r="I68" s="197">
        <f t="shared" ref="I68" si="6">AVERAGE(I37:I67)</f>
        <v>1460</v>
      </c>
      <c r="J68" s="197">
        <f t="shared" ref="J68" si="7">AVERAGE(J37:J67)</f>
        <v>1460.5769230769231</v>
      </c>
      <c r="K68" s="197">
        <f t="shared" ref="K68" si="8">AVERAGE(K37:K67)</f>
        <v>1460</v>
      </c>
      <c r="L68" s="197">
        <f t="shared" ref="L68" si="9">AVERAGE(L37:L67)</f>
        <v>1460</v>
      </c>
      <c r="M68" s="197">
        <f t="shared" ref="M68" si="10">AVERAGE(M37:M67)</f>
        <v>1460</v>
      </c>
    </row>
    <row r="69" spans="1:22" s="23" customFormat="1" ht="25.5" thickBot="1" x14ac:dyDescent="0.7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20"/>
      <c r="L69" s="20"/>
      <c r="M69" s="20"/>
      <c r="N69" s="21"/>
      <c r="O69" s="22"/>
      <c r="P69" s="22"/>
      <c r="Q69" s="22"/>
      <c r="R69" s="22"/>
      <c r="S69" s="22"/>
      <c r="T69" s="22"/>
      <c r="U69" s="22"/>
      <c r="V69" s="22"/>
    </row>
    <row r="70" spans="1:22" ht="25.5" thickBot="1" x14ac:dyDescent="0.7">
      <c r="A70" s="64" t="s">
        <v>46</v>
      </c>
      <c r="B70" s="29" t="s">
        <v>3</v>
      </c>
      <c r="C70" s="29" t="s">
        <v>4</v>
      </c>
      <c r="D70" s="29" t="s">
        <v>5</v>
      </c>
      <c r="E70" s="29" t="s">
        <v>6</v>
      </c>
      <c r="F70" s="29" t="s">
        <v>7</v>
      </c>
      <c r="G70" s="29" t="s">
        <v>41</v>
      </c>
      <c r="H70" s="29" t="s">
        <v>42</v>
      </c>
      <c r="I70" s="29" t="s">
        <v>10</v>
      </c>
      <c r="J70" s="29" t="s">
        <v>11</v>
      </c>
      <c r="K70" s="29" t="s">
        <v>12</v>
      </c>
      <c r="L70" s="29" t="s">
        <v>21</v>
      </c>
      <c r="M70" s="29" t="s">
        <v>14</v>
      </c>
      <c r="N70" s="1"/>
      <c r="O70" s="1"/>
      <c r="P70" s="1"/>
      <c r="Q70" s="1"/>
      <c r="R70" s="1"/>
      <c r="S70" s="1"/>
      <c r="T70" s="1"/>
      <c r="U70" s="1"/>
      <c r="V70" s="1"/>
    </row>
    <row r="71" spans="1:22" ht="24.75" x14ac:dyDescent="0.65">
      <c r="A71" s="39">
        <v>1</v>
      </c>
      <c r="B71" s="24"/>
      <c r="C71" s="24"/>
      <c r="D71" s="24">
        <v>1460</v>
      </c>
      <c r="E71" s="24"/>
      <c r="F71" s="24"/>
      <c r="G71" s="24">
        <v>1465</v>
      </c>
      <c r="H71" s="24"/>
      <c r="I71" s="24">
        <v>1476</v>
      </c>
      <c r="J71" s="24">
        <v>1477</v>
      </c>
      <c r="K71" s="24"/>
      <c r="L71" s="24">
        <v>1472</v>
      </c>
      <c r="M71" s="24">
        <v>1473</v>
      </c>
    </row>
    <row r="72" spans="1:22" ht="24.75" x14ac:dyDescent="0.65">
      <c r="A72" s="108">
        <v>2</v>
      </c>
      <c r="B72" s="26"/>
      <c r="C72" s="26">
        <v>1460</v>
      </c>
      <c r="D72" s="26">
        <v>1460</v>
      </c>
      <c r="E72" s="26"/>
      <c r="F72" s="26">
        <v>1470</v>
      </c>
      <c r="G72" s="26">
        <v>1465</v>
      </c>
      <c r="H72" s="26"/>
      <c r="I72" s="26">
        <v>1476</v>
      </c>
      <c r="J72" s="26"/>
      <c r="K72" s="26">
        <v>1476</v>
      </c>
      <c r="L72" s="26">
        <v>1472</v>
      </c>
      <c r="M72" s="26"/>
    </row>
    <row r="73" spans="1:22" ht="24.75" x14ac:dyDescent="0.65">
      <c r="A73" s="108">
        <v>3</v>
      </c>
      <c r="B73" s="26">
        <v>1460</v>
      </c>
      <c r="C73" s="26">
        <v>1460</v>
      </c>
      <c r="D73" s="26">
        <v>1460</v>
      </c>
      <c r="E73" s="26">
        <v>1470</v>
      </c>
      <c r="F73" s="26">
        <v>1470</v>
      </c>
      <c r="G73" s="26"/>
      <c r="H73" s="26"/>
      <c r="I73" s="26">
        <v>1476</v>
      </c>
      <c r="J73" s="26"/>
      <c r="K73" s="26">
        <v>1475</v>
      </c>
      <c r="L73" s="26"/>
      <c r="M73" s="26"/>
    </row>
    <row r="74" spans="1:22" ht="24.75" x14ac:dyDescent="0.65">
      <c r="A74" s="108">
        <v>4</v>
      </c>
      <c r="B74" s="26">
        <v>1460</v>
      </c>
      <c r="C74" s="26"/>
      <c r="D74" s="26"/>
      <c r="E74" s="26">
        <v>1470</v>
      </c>
      <c r="F74" s="26">
        <v>1470</v>
      </c>
      <c r="G74" s="26"/>
      <c r="H74" s="26">
        <v>1471</v>
      </c>
      <c r="I74" s="26">
        <v>1476</v>
      </c>
      <c r="J74" s="26">
        <v>1480</v>
      </c>
      <c r="K74" s="26">
        <v>1475</v>
      </c>
      <c r="L74" s="26"/>
      <c r="M74" s="26">
        <v>1473</v>
      </c>
    </row>
    <row r="75" spans="1:22" ht="24.75" x14ac:dyDescent="0.65">
      <c r="A75" s="108">
        <v>5</v>
      </c>
      <c r="B75" s="26">
        <v>1460</v>
      </c>
      <c r="C75" s="26">
        <v>1460</v>
      </c>
      <c r="D75" s="26"/>
      <c r="E75" s="26">
        <v>1470</v>
      </c>
      <c r="F75" s="26">
        <v>1470</v>
      </c>
      <c r="G75" s="26">
        <v>1465</v>
      </c>
      <c r="H75" s="26">
        <v>1469</v>
      </c>
      <c r="I75" s="26"/>
      <c r="J75" s="26">
        <v>1479</v>
      </c>
      <c r="K75" s="26">
        <v>1475</v>
      </c>
      <c r="L75" s="26"/>
      <c r="M75" s="26">
        <v>1473</v>
      </c>
    </row>
    <row r="76" spans="1:22" ht="24.75" x14ac:dyDescent="0.65">
      <c r="A76" s="108">
        <v>6</v>
      </c>
      <c r="B76" s="26" t="s">
        <v>17</v>
      </c>
      <c r="C76" s="26">
        <v>1460</v>
      </c>
      <c r="D76" s="26">
        <v>1460</v>
      </c>
      <c r="E76" s="26">
        <v>1480</v>
      </c>
      <c r="F76" s="26"/>
      <c r="G76" s="26">
        <v>1465</v>
      </c>
      <c r="H76" s="26">
        <v>1471</v>
      </c>
      <c r="I76" s="26"/>
      <c r="J76" s="26">
        <v>1475</v>
      </c>
      <c r="K76" s="26">
        <v>1475</v>
      </c>
      <c r="L76" s="26"/>
      <c r="M76" s="26">
        <v>1473</v>
      </c>
    </row>
    <row r="77" spans="1:22" ht="24.75" x14ac:dyDescent="0.65">
      <c r="A77" s="108">
        <v>7</v>
      </c>
      <c r="B77" s="26" t="s">
        <v>17</v>
      </c>
      <c r="C77" s="26">
        <v>1460</v>
      </c>
      <c r="D77" s="26">
        <v>1460</v>
      </c>
      <c r="E77" s="26">
        <v>1480</v>
      </c>
      <c r="F77" s="26"/>
      <c r="G77" s="26">
        <v>1465</v>
      </c>
      <c r="H77" s="26">
        <v>1471</v>
      </c>
      <c r="I77" s="26">
        <v>1475</v>
      </c>
      <c r="J77" s="26">
        <v>1475</v>
      </c>
      <c r="K77" s="26"/>
      <c r="L77" s="26">
        <v>1472</v>
      </c>
      <c r="M77" s="26">
        <v>1473</v>
      </c>
    </row>
    <row r="78" spans="1:22" ht="24.75" x14ac:dyDescent="0.65">
      <c r="A78" s="108">
        <v>8</v>
      </c>
      <c r="B78" s="26">
        <v>1460</v>
      </c>
      <c r="C78" s="26">
        <v>1460</v>
      </c>
      <c r="D78" s="26">
        <v>1460</v>
      </c>
      <c r="E78" s="26"/>
      <c r="F78" s="26">
        <v>1465</v>
      </c>
      <c r="G78" s="26">
        <v>1465</v>
      </c>
      <c r="H78" s="26"/>
      <c r="I78" s="26">
        <v>1475</v>
      </c>
      <c r="J78" s="26">
        <v>1475</v>
      </c>
      <c r="K78" s="26"/>
      <c r="L78" s="26">
        <v>1472</v>
      </c>
      <c r="M78" s="26">
        <v>1473</v>
      </c>
    </row>
    <row r="79" spans="1:22" ht="24.75" x14ac:dyDescent="0.65">
      <c r="A79" s="108">
        <v>9</v>
      </c>
      <c r="B79" s="26">
        <v>1460</v>
      </c>
      <c r="C79" s="26">
        <v>1460</v>
      </c>
      <c r="D79" s="26">
        <v>1460</v>
      </c>
      <c r="E79" s="26"/>
      <c r="F79" s="26">
        <v>1465</v>
      </c>
      <c r="G79" s="26">
        <v>1465</v>
      </c>
      <c r="H79" s="26"/>
      <c r="I79" s="26">
        <v>1475</v>
      </c>
      <c r="J79" s="26"/>
      <c r="K79" s="26">
        <v>1470</v>
      </c>
      <c r="L79" s="26">
        <v>1473</v>
      </c>
      <c r="M79" s="26"/>
    </row>
    <row r="80" spans="1:22" ht="24.75" x14ac:dyDescent="0.65">
      <c r="A80" s="108">
        <v>10</v>
      </c>
      <c r="B80" s="26">
        <v>1460</v>
      </c>
      <c r="C80" s="26"/>
      <c r="D80" s="26">
        <v>1460</v>
      </c>
      <c r="E80" s="26">
        <v>1475</v>
      </c>
      <c r="F80" s="26">
        <v>1465</v>
      </c>
      <c r="G80" s="26"/>
      <c r="H80" s="26">
        <v>1476</v>
      </c>
      <c r="I80" s="26">
        <v>1475</v>
      </c>
      <c r="J80" s="26"/>
      <c r="K80" s="26">
        <v>1470</v>
      </c>
      <c r="L80" s="26">
        <v>1473</v>
      </c>
      <c r="M80" s="26"/>
    </row>
    <row r="81" spans="1:13" ht="24.75" x14ac:dyDescent="0.65">
      <c r="A81" s="108">
        <v>11</v>
      </c>
      <c r="B81" s="26">
        <v>1460</v>
      </c>
      <c r="C81" s="26"/>
      <c r="D81" s="26"/>
      <c r="E81" s="26">
        <v>1470</v>
      </c>
      <c r="F81" s="26">
        <v>1465</v>
      </c>
      <c r="G81" s="26"/>
      <c r="H81" s="26">
        <v>1476</v>
      </c>
      <c r="I81" s="26">
        <v>1476</v>
      </c>
      <c r="J81" s="26">
        <v>1481</v>
      </c>
      <c r="K81" s="26">
        <v>1470</v>
      </c>
      <c r="L81" s="26"/>
      <c r="M81" s="26">
        <v>1475</v>
      </c>
    </row>
    <row r="82" spans="1:13" ht="24.75" x14ac:dyDescent="0.65">
      <c r="A82" s="108">
        <v>12</v>
      </c>
      <c r="B82" s="26">
        <v>1460</v>
      </c>
      <c r="C82" s="26">
        <v>1460</v>
      </c>
      <c r="D82" s="26"/>
      <c r="E82" s="26">
        <v>1465</v>
      </c>
      <c r="F82" s="26">
        <v>1465</v>
      </c>
      <c r="G82" s="26">
        <v>1465</v>
      </c>
      <c r="H82" s="26">
        <v>1476</v>
      </c>
      <c r="I82" s="26"/>
      <c r="J82" s="26">
        <v>1478</v>
      </c>
      <c r="K82" s="26">
        <v>1470</v>
      </c>
      <c r="L82" s="26"/>
      <c r="M82" s="26"/>
    </row>
    <row r="83" spans="1:13" ht="24.75" x14ac:dyDescent="0.65">
      <c r="A83" s="108">
        <v>13</v>
      </c>
      <c r="B83" s="26">
        <v>1460</v>
      </c>
      <c r="C83" s="26">
        <v>1460</v>
      </c>
      <c r="D83" s="26">
        <v>1460</v>
      </c>
      <c r="E83" s="26">
        <v>1460</v>
      </c>
      <c r="F83" s="26"/>
      <c r="G83" s="26">
        <v>1465</v>
      </c>
      <c r="H83" s="26">
        <v>1476</v>
      </c>
      <c r="I83" s="26"/>
      <c r="J83" s="26">
        <v>1475</v>
      </c>
      <c r="K83" s="26"/>
      <c r="L83" s="26">
        <v>1476</v>
      </c>
      <c r="M83" s="26"/>
    </row>
    <row r="84" spans="1:13" ht="24.75" x14ac:dyDescent="0.65">
      <c r="A84" s="108">
        <v>14</v>
      </c>
      <c r="B84" s="26"/>
      <c r="C84" s="26">
        <v>1460</v>
      </c>
      <c r="D84" s="26">
        <v>1460</v>
      </c>
      <c r="E84" s="26">
        <v>1460</v>
      </c>
      <c r="F84" s="26"/>
      <c r="G84" s="26">
        <v>1465</v>
      </c>
      <c r="H84" s="26"/>
      <c r="I84" s="26">
        <v>1476</v>
      </c>
      <c r="J84" s="26">
        <v>1475</v>
      </c>
      <c r="K84" s="26"/>
      <c r="L84" s="26">
        <v>1476</v>
      </c>
      <c r="M84" s="26"/>
    </row>
    <row r="85" spans="1:13" ht="24.75" x14ac:dyDescent="0.65">
      <c r="A85" s="108">
        <v>15</v>
      </c>
      <c r="B85" s="26">
        <v>1460</v>
      </c>
      <c r="C85" s="26">
        <v>1460</v>
      </c>
      <c r="D85" s="26">
        <v>1460</v>
      </c>
      <c r="E85" s="26"/>
      <c r="F85" s="26">
        <v>1472</v>
      </c>
      <c r="G85" s="26">
        <v>1465</v>
      </c>
      <c r="H85" s="26"/>
      <c r="I85" s="26">
        <v>1476</v>
      </c>
      <c r="J85" s="26">
        <v>1475</v>
      </c>
      <c r="K85" s="26"/>
      <c r="L85" s="26">
        <v>1475</v>
      </c>
      <c r="M85" s="26"/>
    </row>
    <row r="86" spans="1:13" ht="24.75" x14ac:dyDescent="0.65">
      <c r="A86" s="108">
        <v>16</v>
      </c>
      <c r="B86" s="26">
        <v>1460</v>
      </c>
      <c r="C86" s="26">
        <v>1460</v>
      </c>
      <c r="D86" s="26">
        <v>1460</v>
      </c>
      <c r="E86" s="26"/>
      <c r="F86" s="26">
        <v>1472</v>
      </c>
      <c r="G86" s="26">
        <v>1465</v>
      </c>
      <c r="H86" s="26"/>
      <c r="I86" s="26">
        <v>1476</v>
      </c>
      <c r="J86" s="26"/>
      <c r="K86" s="26"/>
      <c r="L86" s="26">
        <v>1475</v>
      </c>
      <c r="M86" s="26"/>
    </row>
    <row r="87" spans="1:13" ht="24.75" x14ac:dyDescent="0.65">
      <c r="A87" s="108">
        <v>17</v>
      </c>
      <c r="B87" s="26">
        <v>1460</v>
      </c>
      <c r="C87" s="26">
        <v>1460</v>
      </c>
      <c r="D87" s="26">
        <v>1460</v>
      </c>
      <c r="E87" s="26">
        <v>1460</v>
      </c>
      <c r="F87" s="26">
        <v>1472</v>
      </c>
      <c r="G87" s="26"/>
      <c r="H87" s="26">
        <v>1471</v>
      </c>
      <c r="I87" s="26">
        <v>1476</v>
      </c>
      <c r="J87" s="26"/>
      <c r="K87" s="26">
        <v>1470</v>
      </c>
      <c r="L87" s="26">
        <v>1476</v>
      </c>
      <c r="M87" s="26"/>
    </row>
    <row r="88" spans="1:13" ht="24.75" x14ac:dyDescent="0.65">
      <c r="A88" s="108">
        <v>18</v>
      </c>
      <c r="B88" s="26">
        <v>1460</v>
      </c>
      <c r="C88" s="26"/>
      <c r="D88" s="26"/>
      <c r="E88" s="26">
        <v>1460</v>
      </c>
      <c r="F88" s="26">
        <v>1472</v>
      </c>
      <c r="G88" s="26"/>
      <c r="H88" s="26">
        <v>1476</v>
      </c>
      <c r="I88" s="26">
        <v>1476</v>
      </c>
      <c r="J88" s="26">
        <v>1475</v>
      </c>
      <c r="K88" s="26">
        <v>1470</v>
      </c>
      <c r="L88" s="26"/>
      <c r="M88" s="26">
        <v>1475</v>
      </c>
    </row>
    <row r="89" spans="1:13" ht="24.75" x14ac:dyDescent="0.65">
      <c r="A89" s="108">
        <v>19</v>
      </c>
      <c r="B89" s="26">
        <v>1460</v>
      </c>
      <c r="C89" s="26"/>
      <c r="D89" s="26"/>
      <c r="E89" s="26">
        <v>1460</v>
      </c>
      <c r="F89" s="26">
        <v>1472</v>
      </c>
      <c r="G89" s="26">
        <v>1465</v>
      </c>
      <c r="H89" s="26">
        <v>1465</v>
      </c>
      <c r="I89" s="26"/>
      <c r="J89" s="26">
        <v>1475</v>
      </c>
      <c r="K89" s="26">
        <v>1470</v>
      </c>
      <c r="L89" s="26"/>
      <c r="M89" s="26">
        <v>1475</v>
      </c>
    </row>
    <row r="90" spans="1:13" ht="24.75" x14ac:dyDescent="0.65">
      <c r="A90" s="108">
        <v>20</v>
      </c>
      <c r="B90" s="26"/>
      <c r="C90" s="26">
        <v>1460</v>
      </c>
      <c r="D90" s="26">
        <v>1460</v>
      </c>
      <c r="E90" s="26">
        <v>1460</v>
      </c>
      <c r="F90" s="26"/>
      <c r="G90" s="26">
        <v>1465</v>
      </c>
      <c r="H90" s="26">
        <v>1465</v>
      </c>
      <c r="I90" s="26"/>
      <c r="J90" s="26">
        <v>1475</v>
      </c>
      <c r="K90" s="26">
        <v>1470</v>
      </c>
      <c r="L90" s="26">
        <v>1476</v>
      </c>
      <c r="M90" s="26">
        <v>1476</v>
      </c>
    </row>
    <row r="91" spans="1:13" ht="24.75" x14ac:dyDescent="0.65">
      <c r="A91" s="108">
        <v>21</v>
      </c>
      <c r="B91" s="26"/>
      <c r="C91" s="26">
        <v>1460</v>
      </c>
      <c r="D91" s="26">
        <v>1460</v>
      </c>
      <c r="E91" s="26"/>
      <c r="F91" s="26"/>
      <c r="G91" s="26">
        <v>1465</v>
      </c>
      <c r="H91" s="26">
        <v>1470</v>
      </c>
      <c r="I91" s="26">
        <v>1475</v>
      </c>
      <c r="J91" s="26">
        <v>1475</v>
      </c>
      <c r="K91" s="26"/>
      <c r="L91" s="26">
        <v>1475</v>
      </c>
      <c r="M91" s="26">
        <v>1474</v>
      </c>
    </row>
    <row r="92" spans="1:13" ht="24.75" x14ac:dyDescent="0.65">
      <c r="A92" s="108">
        <v>22</v>
      </c>
      <c r="B92" s="26"/>
      <c r="C92" s="26">
        <v>1460</v>
      </c>
      <c r="D92" s="26">
        <v>1460</v>
      </c>
      <c r="E92" s="26"/>
      <c r="F92" s="26">
        <v>1472</v>
      </c>
      <c r="G92" s="26">
        <v>1465</v>
      </c>
      <c r="H92" s="26"/>
      <c r="I92" s="26">
        <v>1476</v>
      </c>
      <c r="J92" s="26">
        <v>1475</v>
      </c>
      <c r="K92" s="26"/>
      <c r="L92" s="26">
        <v>1475</v>
      </c>
      <c r="M92" s="26">
        <v>1475</v>
      </c>
    </row>
    <row r="93" spans="1:13" ht="24.75" x14ac:dyDescent="0.65">
      <c r="A93" s="108">
        <v>23</v>
      </c>
      <c r="B93" s="26"/>
      <c r="C93" s="26">
        <v>1460</v>
      </c>
      <c r="D93" s="26">
        <v>1460</v>
      </c>
      <c r="E93" s="26"/>
      <c r="F93" s="26">
        <v>1472</v>
      </c>
      <c r="G93" s="26">
        <v>1465</v>
      </c>
      <c r="H93" s="26"/>
      <c r="I93" s="26">
        <v>1480</v>
      </c>
      <c r="J93" s="26"/>
      <c r="K93" s="26">
        <v>1470</v>
      </c>
      <c r="L93" s="26">
        <v>1475</v>
      </c>
      <c r="M93" s="26"/>
    </row>
    <row r="94" spans="1:13" ht="24.75" x14ac:dyDescent="0.65">
      <c r="A94" s="108">
        <v>24</v>
      </c>
      <c r="B94" s="26">
        <v>1460</v>
      </c>
      <c r="C94" s="26">
        <v>1460</v>
      </c>
      <c r="D94" s="26">
        <v>1460</v>
      </c>
      <c r="E94" s="26">
        <v>1460</v>
      </c>
      <c r="F94" s="26">
        <v>1476</v>
      </c>
      <c r="G94" s="26"/>
      <c r="H94" s="26">
        <v>1471</v>
      </c>
      <c r="I94" s="26">
        <v>1481</v>
      </c>
      <c r="J94" s="26"/>
      <c r="K94" s="26">
        <v>1470</v>
      </c>
      <c r="L94" s="26">
        <v>1476</v>
      </c>
      <c r="M94" s="26"/>
    </row>
    <row r="95" spans="1:13" ht="24.75" x14ac:dyDescent="0.65">
      <c r="A95" s="108">
        <v>25</v>
      </c>
      <c r="B95" s="26">
        <v>1460</v>
      </c>
      <c r="C95" s="26"/>
      <c r="D95" s="26"/>
      <c r="E95" s="26">
        <v>1460</v>
      </c>
      <c r="F95" s="26">
        <v>1472</v>
      </c>
      <c r="G95" s="26"/>
      <c r="H95" s="26">
        <v>1471</v>
      </c>
      <c r="I95" s="26">
        <v>1480</v>
      </c>
      <c r="J95" s="26">
        <v>1475</v>
      </c>
      <c r="K95" s="26">
        <v>1470</v>
      </c>
      <c r="L95" s="26"/>
      <c r="M95" s="26">
        <v>1475</v>
      </c>
    </row>
    <row r="96" spans="1:13" ht="24.75" x14ac:dyDescent="0.65">
      <c r="A96" s="108">
        <v>26</v>
      </c>
      <c r="B96" s="26"/>
      <c r="C96" s="26"/>
      <c r="D96" s="26"/>
      <c r="E96" s="26">
        <v>1460</v>
      </c>
      <c r="F96" s="26">
        <v>1465</v>
      </c>
      <c r="G96" s="26">
        <v>1465</v>
      </c>
      <c r="H96" s="26">
        <v>1476</v>
      </c>
      <c r="I96" s="26"/>
      <c r="J96" s="26">
        <v>1475</v>
      </c>
      <c r="K96" s="26">
        <v>1470</v>
      </c>
      <c r="L96" s="26"/>
      <c r="M96" s="26">
        <v>1475</v>
      </c>
    </row>
    <row r="97" spans="1:22" ht="24.75" x14ac:dyDescent="0.65">
      <c r="A97" s="108">
        <v>27</v>
      </c>
      <c r="B97" s="26">
        <v>1460</v>
      </c>
      <c r="C97" s="26">
        <v>1460</v>
      </c>
      <c r="D97" s="26">
        <v>1460</v>
      </c>
      <c r="E97" s="26">
        <v>1460</v>
      </c>
      <c r="F97" s="26"/>
      <c r="G97" s="26"/>
      <c r="H97" s="26">
        <v>1475</v>
      </c>
      <c r="I97" s="26"/>
      <c r="J97" s="26">
        <v>1475</v>
      </c>
      <c r="K97" s="26">
        <v>1470</v>
      </c>
      <c r="L97" s="26">
        <v>1476</v>
      </c>
      <c r="M97" s="26">
        <v>1475</v>
      </c>
    </row>
    <row r="98" spans="1:22" ht="24.75" x14ac:dyDescent="0.65">
      <c r="A98" s="108">
        <v>28</v>
      </c>
      <c r="B98" s="26"/>
      <c r="C98" s="26">
        <v>1460</v>
      </c>
      <c r="D98" s="26">
        <v>1460</v>
      </c>
      <c r="E98" s="26">
        <v>1460</v>
      </c>
      <c r="F98" s="26"/>
      <c r="G98" s="26">
        <v>1471</v>
      </c>
      <c r="H98" s="26">
        <v>1475</v>
      </c>
      <c r="I98" s="26">
        <v>1481</v>
      </c>
      <c r="J98" s="26">
        <v>1475</v>
      </c>
      <c r="K98" s="26"/>
      <c r="L98" s="26">
        <v>1475</v>
      </c>
      <c r="M98" s="26">
        <v>1475</v>
      </c>
    </row>
    <row r="99" spans="1:22" ht="24.75" x14ac:dyDescent="0.65">
      <c r="A99" s="108">
        <v>29</v>
      </c>
      <c r="B99" s="26"/>
      <c r="C99" s="26"/>
      <c r="D99" s="26">
        <v>1465</v>
      </c>
      <c r="E99" s="26"/>
      <c r="F99" s="26">
        <v>1465</v>
      </c>
      <c r="G99" s="26">
        <v>1465</v>
      </c>
      <c r="H99" s="26"/>
      <c r="I99" s="26">
        <v>1478</v>
      </c>
      <c r="J99" s="26">
        <v>1475</v>
      </c>
      <c r="K99" s="26"/>
      <c r="L99" s="26">
        <v>1473</v>
      </c>
      <c r="M99" s="26">
        <v>1475</v>
      </c>
    </row>
    <row r="100" spans="1:22" ht="24.75" x14ac:dyDescent="0.65">
      <c r="A100" s="108">
        <v>30</v>
      </c>
      <c r="B100" s="26"/>
      <c r="C100" s="26"/>
      <c r="D100" s="26">
        <v>1470</v>
      </c>
      <c r="E100" s="26"/>
      <c r="F100" s="26">
        <v>1465</v>
      </c>
      <c r="G100" s="26">
        <v>1465</v>
      </c>
      <c r="H100" s="26"/>
      <c r="I100" s="26">
        <v>1476</v>
      </c>
      <c r="J100" s="26"/>
      <c r="K100" s="26">
        <v>1470</v>
      </c>
      <c r="L100" s="26">
        <v>1471</v>
      </c>
      <c r="M100" s="26"/>
    </row>
    <row r="101" spans="1:22" ht="25.5" thickBot="1" x14ac:dyDescent="0.7">
      <c r="A101" s="109">
        <v>31</v>
      </c>
      <c r="B101" s="28"/>
      <c r="C101" s="28"/>
      <c r="D101" s="28"/>
      <c r="E101" s="28"/>
      <c r="F101" s="28">
        <v>1465</v>
      </c>
      <c r="G101" s="28"/>
      <c r="H101" s="28">
        <v>1476</v>
      </c>
      <c r="I101" s="28">
        <v>1475</v>
      </c>
      <c r="J101" s="28"/>
      <c r="K101" s="28">
        <v>1472</v>
      </c>
      <c r="L101" s="28"/>
      <c r="M101" s="28"/>
    </row>
    <row r="102" spans="1:22" ht="23.25" customHeight="1" thickBot="1" x14ac:dyDescent="0.7">
      <c r="A102" s="195" t="s">
        <v>15</v>
      </c>
      <c r="B102" s="197">
        <f>AVERAGE(B71:B101)</f>
        <v>1460</v>
      </c>
      <c r="C102" s="197">
        <f t="shared" ref="C102:F102" si="11">AVERAGE(C71:C101)</f>
        <v>1460</v>
      </c>
      <c r="D102" s="197">
        <f t="shared" si="11"/>
        <v>1460.6818181818182</v>
      </c>
      <c r="E102" s="197">
        <f t="shared" si="11"/>
        <v>1465.2631578947369</v>
      </c>
      <c r="F102" s="197">
        <f t="shared" si="11"/>
        <v>1468.9545454545455</v>
      </c>
      <c r="G102" s="197">
        <f t="shared" ref="G102" si="12">AVERAGE(G71:G101)</f>
        <v>1465.2857142857142</v>
      </c>
      <c r="H102" s="197">
        <f t="shared" ref="H102" si="13">AVERAGE(H71:H101)</f>
        <v>1472.4736842105262</v>
      </c>
      <c r="I102" s="197">
        <f t="shared" ref="I102" si="14">AVERAGE(I71:I101)</f>
        <v>1476.608695652174</v>
      </c>
      <c r="J102" s="197">
        <f t="shared" ref="J102" si="15">AVERAGE(J71:J101)</f>
        <v>1475.952380952381</v>
      </c>
      <c r="K102" s="197">
        <f t="shared" ref="K102" si="16">AVERAGE(K71:K101)</f>
        <v>1471.4</v>
      </c>
      <c r="L102" s="197">
        <f t="shared" ref="L102" si="17">AVERAGE(L71:L101)</f>
        <v>1474.2</v>
      </c>
      <c r="M102" s="197">
        <f t="shared" ref="M102" si="18">AVERAGE(M71:M101)</f>
        <v>1474.2941176470588</v>
      </c>
    </row>
    <row r="103" spans="1:22" s="23" customFormat="1" ht="25.5" thickBot="1" x14ac:dyDescent="0.7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20"/>
      <c r="L103" s="20"/>
      <c r="M103" s="20"/>
      <c r="N103" s="21"/>
      <c r="O103" s="22"/>
      <c r="P103" s="22"/>
      <c r="Q103" s="22"/>
      <c r="R103" s="22"/>
      <c r="S103" s="22"/>
      <c r="T103" s="22"/>
      <c r="U103" s="22"/>
      <c r="V103" s="22"/>
    </row>
    <row r="104" spans="1:22" ht="25.5" thickBot="1" x14ac:dyDescent="0.7">
      <c r="A104" s="64" t="s">
        <v>47</v>
      </c>
      <c r="B104" s="29" t="s">
        <v>3</v>
      </c>
      <c r="C104" s="29" t="s">
        <v>4</v>
      </c>
      <c r="D104" s="29" t="s">
        <v>5</v>
      </c>
      <c r="E104" s="29" t="s">
        <v>6</v>
      </c>
      <c r="F104" s="29" t="s">
        <v>7</v>
      </c>
      <c r="G104" s="29" t="s">
        <v>41</v>
      </c>
      <c r="H104" s="29" t="s">
        <v>42</v>
      </c>
      <c r="I104" s="29" t="s">
        <v>10</v>
      </c>
      <c r="J104" s="29" t="s">
        <v>11</v>
      </c>
      <c r="K104" s="29" t="s">
        <v>12</v>
      </c>
      <c r="L104" s="29" t="s">
        <v>21</v>
      </c>
      <c r="M104" s="29" t="s">
        <v>14</v>
      </c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24.75" x14ac:dyDescent="0.65">
      <c r="A105" s="110">
        <v>1</v>
      </c>
      <c r="B105" s="30"/>
      <c r="C105" s="30">
        <v>1477</v>
      </c>
      <c r="D105" s="30">
        <v>1476</v>
      </c>
      <c r="E105" s="30"/>
      <c r="F105" s="30"/>
      <c r="G105" s="30">
        <v>1476</v>
      </c>
      <c r="H105" s="30"/>
      <c r="I105" s="30">
        <v>1477</v>
      </c>
      <c r="J105" s="30"/>
      <c r="K105" s="30">
        <v>1472</v>
      </c>
      <c r="L105" s="30">
        <v>1470</v>
      </c>
      <c r="M105" s="30"/>
    </row>
    <row r="106" spans="1:22" ht="24.75" x14ac:dyDescent="0.65">
      <c r="A106" s="108">
        <v>2</v>
      </c>
      <c r="B106" s="26"/>
      <c r="C106" s="26">
        <v>1480</v>
      </c>
      <c r="D106" s="26">
        <v>1477</v>
      </c>
      <c r="E106" s="26">
        <v>1477</v>
      </c>
      <c r="F106" s="26">
        <v>1478</v>
      </c>
      <c r="G106" s="26"/>
      <c r="H106" s="26">
        <v>1477</v>
      </c>
      <c r="I106" s="26">
        <v>1477</v>
      </c>
      <c r="J106" s="26"/>
      <c r="K106" s="26">
        <v>1472</v>
      </c>
      <c r="L106" s="26">
        <v>1470</v>
      </c>
      <c r="M106" s="26"/>
    </row>
    <row r="107" spans="1:22" ht="24.75" x14ac:dyDescent="0.65">
      <c r="A107" s="108">
        <v>3</v>
      </c>
      <c r="B107" s="26">
        <v>1481</v>
      </c>
      <c r="C107" s="26"/>
      <c r="D107" s="26"/>
      <c r="E107" s="26">
        <v>1477</v>
      </c>
      <c r="F107" s="26">
        <v>1478</v>
      </c>
      <c r="G107" s="26"/>
      <c r="H107" s="26">
        <v>1477</v>
      </c>
      <c r="I107" s="26">
        <v>1477</v>
      </c>
      <c r="J107" s="26">
        <v>1477</v>
      </c>
      <c r="K107" s="26">
        <v>1473</v>
      </c>
      <c r="L107" s="26"/>
      <c r="M107" s="26">
        <v>1433</v>
      </c>
    </row>
    <row r="108" spans="1:22" ht="24.75" x14ac:dyDescent="0.65">
      <c r="A108" s="108">
        <v>4</v>
      </c>
      <c r="B108" s="26">
        <v>1481</v>
      </c>
      <c r="C108" s="26"/>
      <c r="D108" s="26"/>
      <c r="E108" s="26">
        <v>1476</v>
      </c>
      <c r="F108" s="26">
        <v>1478</v>
      </c>
      <c r="G108" s="26">
        <v>1477</v>
      </c>
      <c r="H108" s="26">
        <v>1477</v>
      </c>
      <c r="I108" s="26"/>
      <c r="J108" s="26">
        <v>1476</v>
      </c>
      <c r="K108" s="26">
        <v>1473</v>
      </c>
      <c r="L108" s="26"/>
      <c r="M108" s="26">
        <v>1430</v>
      </c>
    </row>
    <row r="109" spans="1:22" ht="24.75" x14ac:dyDescent="0.65">
      <c r="A109" s="108">
        <v>5</v>
      </c>
      <c r="B109" s="26">
        <v>1483</v>
      </c>
      <c r="C109" s="26">
        <v>1477</v>
      </c>
      <c r="D109" s="26">
        <v>1477</v>
      </c>
      <c r="E109" s="26">
        <v>1476</v>
      </c>
      <c r="F109" s="26"/>
      <c r="G109" s="26">
        <v>1477</v>
      </c>
      <c r="H109" s="26">
        <v>1478</v>
      </c>
      <c r="I109" s="26"/>
      <c r="J109" s="26">
        <v>1476</v>
      </c>
      <c r="K109" s="26">
        <v>1472</v>
      </c>
      <c r="L109" s="26"/>
      <c r="M109" s="26">
        <v>1429</v>
      </c>
    </row>
    <row r="110" spans="1:22" ht="24.75" x14ac:dyDescent="0.65">
      <c r="A110" s="108">
        <v>6</v>
      </c>
      <c r="B110" s="26"/>
      <c r="C110" s="26">
        <v>1476</v>
      </c>
      <c r="D110" s="26">
        <v>1478</v>
      </c>
      <c r="E110" s="26">
        <v>1477</v>
      </c>
      <c r="F110" s="26"/>
      <c r="G110" s="26">
        <v>1476</v>
      </c>
      <c r="H110" s="26">
        <v>1476</v>
      </c>
      <c r="I110" s="26">
        <v>1477</v>
      </c>
      <c r="J110" s="26">
        <v>1476</v>
      </c>
      <c r="K110" s="26"/>
      <c r="L110" s="26"/>
      <c r="M110" s="26">
        <v>1426</v>
      </c>
    </row>
    <row r="111" spans="1:22" ht="24.75" x14ac:dyDescent="0.65">
      <c r="A111" s="108">
        <v>7</v>
      </c>
      <c r="B111" s="26"/>
      <c r="C111" s="26">
        <v>1476</v>
      </c>
      <c r="D111" s="26">
        <v>1476</v>
      </c>
      <c r="E111" s="26"/>
      <c r="F111" s="26">
        <v>1478</v>
      </c>
      <c r="G111" s="26">
        <v>1477</v>
      </c>
      <c r="H111" s="26"/>
      <c r="I111" s="26">
        <v>1477</v>
      </c>
      <c r="J111" s="26">
        <v>1476</v>
      </c>
      <c r="K111" s="26"/>
      <c r="L111" s="26">
        <v>1468</v>
      </c>
      <c r="M111" s="26">
        <v>1424</v>
      </c>
    </row>
    <row r="112" spans="1:22" ht="24.75" x14ac:dyDescent="0.65">
      <c r="A112" s="108">
        <v>8</v>
      </c>
      <c r="B112" s="26">
        <v>1483</v>
      </c>
      <c r="C112" s="26">
        <v>1476</v>
      </c>
      <c r="D112" s="26">
        <v>1476</v>
      </c>
      <c r="E112" s="26"/>
      <c r="F112" s="26">
        <v>1476</v>
      </c>
      <c r="G112" s="26">
        <v>1477</v>
      </c>
      <c r="H112" s="26"/>
      <c r="I112" s="26">
        <v>1477</v>
      </c>
      <c r="J112" s="26"/>
      <c r="K112" s="26">
        <v>1473</v>
      </c>
      <c r="L112" s="26">
        <v>1466</v>
      </c>
      <c r="M112" s="26"/>
    </row>
    <row r="113" spans="1:13" ht="24.75" x14ac:dyDescent="0.65">
      <c r="A113" s="108">
        <v>9</v>
      </c>
      <c r="B113" s="26">
        <v>1483</v>
      </c>
      <c r="C113" s="26"/>
      <c r="D113" s="26">
        <v>1476</v>
      </c>
      <c r="E113" s="26"/>
      <c r="F113" s="26">
        <v>1476</v>
      </c>
      <c r="G113" s="26"/>
      <c r="H113" s="26">
        <v>1477</v>
      </c>
      <c r="I113" s="26">
        <v>1477</v>
      </c>
      <c r="J113" s="26"/>
      <c r="K113" s="26">
        <v>1472</v>
      </c>
      <c r="L113" s="26">
        <v>1465</v>
      </c>
      <c r="M113" s="26"/>
    </row>
    <row r="114" spans="1:13" ht="24.75" x14ac:dyDescent="0.65">
      <c r="A114" s="108">
        <v>10</v>
      </c>
      <c r="B114" s="26"/>
      <c r="C114" s="26"/>
      <c r="D114" s="26"/>
      <c r="E114" s="26"/>
      <c r="F114" s="26">
        <v>1477</v>
      </c>
      <c r="G114" s="26"/>
      <c r="H114" s="26">
        <v>1476</v>
      </c>
      <c r="I114" s="26">
        <v>1477</v>
      </c>
      <c r="J114" s="26">
        <v>1475</v>
      </c>
      <c r="K114" s="26">
        <v>1471</v>
      </c>
      <c r="L114" s="26"/>
      <c r="M114" s="26">
        <v>1422</v>
      </c>
    </row>
    <row r="115" spans="1:13" ht="24.75" x14ac:dyDescent="0.65">
      <c r="A115" s="108">
        <v>11</v>
      </c>
      <c r="B115" s="26"/>
      <c r="C115" s="26"/>
      <c r="D115" s="26"/>
      <c r="E115" s="26">
        <v>1479</v>
      </c>
      <c r="F115" s="26">
        <v>1477</v>
      </c>
      <c r="G115" s="26">
        <v>1477</v>
      </c>
      <c r="H115" s="26">
        <v>1476</v>
      </c>
      <c r="I115" s="26"/>
      <c r="J115" s="26">
        <v>1475</v>
      </c>
      <c r="K115" s="26">
        <v>1471</v>
      </c>
      <c r="L115" s="26"/>
      <c r="M115" s="26">
        <v>1419</v>
      </c>
    </row>
    <row r="116" spans="1:13" ht="24.75" x14ac:dyDescent="0.65">
      <c r="A116" s="108">
        <v>12</v>
      </c>
      <c r="B116" s="26"/>
      <c r="C116" s="26">
        <v>1477</v>
      </c>
      <c r="D116" s="26">
        <v>1478</v>
      </c>
      <c r="E116" s="26">
        <v>1479</v>
      </c>
      <c r="F116" s="26"/>
      <c r="G116" s="26">
        <v>1477</v>
      </c>
      <c r="H116" s="26">
        <v>1476</v>
      </c>
      <c r="I116" s="26"/>
      <c r="J116" s="26">
        <v>1475</v>
      </c>
      <c r="K116" s="26">
        <v>1470</v>
      </c>
      <c r="L116" s="26">
        <v>1465</v>
      </c>
      <c r="M116" s="26">
        <v>1416</v>
      </c>
    </row>
    <row r="117" spans="1:13" ht="24.75" x14ac:dyDescent="0.65">
      <c r="A117" s="108">
        <v>13</v>
      </c>
      <c r="B117" s="26"/>
      <c r="C117" s="26">
        <v>1477</v>
      </c>
      <c r="D117" s="26">
        <v>1477</v>
      </c>
      <c r="E117" s="26">
        <v>1479</v>
      </c>
      <c r="F117" s="26"/>
      <c r="G117" s="26">
        <v>1476</v>
      </c>
      <c r="H117" s="26">
        <v>1477</v>
      </c>
      <c r="I117" s="26">
        <v>1477</v>
      </c>
      <c r="J117" s="26">
        <v>1475</v>
      </c>
      <c r="K117" s="26"/>
      <c r="L117" s="26">
        <v>1465</v>
      </c>
      <c r="M117" s="26">
        <v>1414</v>
      </c>
    </row>
    <row r="118" spans="1:13" ht="24.75" x14ac:dyDescent="0.65">
      <c r="A118" s="108">
        <v>14</v>
      </c>
      <c r="B118" s="26"/>
      <c r="C118" s="26">
        <v>1477</v>
      </c>
      <c r="D118" s="26">
        <v>1476</v>
      </c>
      <c r="E118" s="26"/>
      <c r="F118" s="26">
        <v>1478</v>
      </c>
      <c r="G118" s="26">
        <v>1476</v>
      </c>
      <c r="H118" s="26"/>
      <c r="I118" s="26">
        <v>1476</v>
      </c>
      <c r="J118" s="26">
        <v>1475</v>
      </c>
      <c r="K118" s="26"/>
      <c r="L118" s="26">
        <f>1460</f>
        <v>1460</v>
      </c>
      <c r="M118" s="26">
        <v>1411</v>
      </c>
    </row>
    <row r="119" spans="1:13" ht="24.75" x14ac:dyDescent="0.65">
      <c r="A119" s="108">
        <v>15</v>
      </c>
      <c r="B119" s="26">
        <v>1480</v>
      </c>
      <c r="C119" s="26">
        <v>1477</v>
      </c>
      <c r="D119" s="26">
        <v>1476</v>
      </c>
      <c r="E119" s="26"/>
      <c r="F119" s="26">
        <v>1478</v>
      </c>
      <c r="G119" s="26">
        <v>1476</v>
      </c>
      <c r="H119" s="26"/>
      <c r="I119" s="26">
        <v>1476</v>
      </c>
      <c r="J119" s="26"/>
      <c r="K119" s="26">
        <v>1470</v>
      </c>
      <c r="L119" s="26">
        <f>1455</f>
        <v>1455</v>
      </c>
      <c r="M119" s="26"/>
    </row>
    <row r="120" spans="1:13" ht="24.75" x14ac:dyDescent="0.65">
      <c r="A120" s="108">
        <v>16</v>
      </c>
      <c r="B120" s="26">
        <v>1478</v>
      </c>
      <c r="C120" s="26">
        <v>1477</v>
      </c>
      <c r="D120" s="26"/>
      <c r="E120" s="26">
        <v>1479</v>
      </c>
      <c r="F120" s="26">
        <v>1477</v>
      </c>
      <c r="G120" s="26"/>
      <c r="H120" s="26">
        <v>1477</v>
      </c>
      <c r="I120" s="26">
        <v>1476</v>
      </c>
      <c r="J120" s="26"/>
      <c r="K120" s="26">
        <v>1470</v>
      </c>
      <c r="L120" s="26">
        <f>1454</f>
        <v>1454</v>
      </c>
      <c r="M120" s="26"/>
    </row>
    <row r="121" spans="1:13" ht="24.75" x14ac:dyDescent="0.65">
      <c r="A121" s="108">
        <v>17</v>
      </c>
      <c r="B121" s="26">
        <v>1477</v>
      </c>
      <c r="C121" s="26"/>
      <c r="D121" s="26"/>
      <c r="E121" s="26">
        <v>1478</v>
      </c>
      <c r="F121" s="26">
        <v>1477</v>
      </c>
      <c r="G121" s="26"/>
      <c r="H121" s="26">
        <v>1477</v>
      </c>
      <c r="I121" s="26">
        <v>1477</v>
      </c>
      <c r="J121" s="26">
        <v>1474</v>
      </c>
      <c r="K121" s="26">
        <v>1470</v>
      </c>
      <c r="L121" s="26"/>
      <c r="M121" s="26">
        <v>1400</v>
      </c>
    </row>
    <row r="122" spans="1:13" ht="24.75" x14ac:dyDescent="0.65">
      <c r="A122" s="108">
        <v>18</v>
      </c>
      <c r="B122" s="26">
        <v>1477</v>
      </c>
      <c r="C122" s="26"/>
      <c r="D122" s="26"/>
      <c r="E122" s="26">
        <v>1478</v>
      </c>
      <c r="F122" s="26">
        <v>1477</v>
      </c>
      <c r="G122" s="26">
        <v>1476</v>
      </c>
      <c r="H122" s="26">
        <v>1477</v>
      </c>
      <c r="I122" s="26"/>
      <c r="J122" s="26">
        <v>1475</v>
      </c>
      <c r="K122" s="26">
        <v>1470</v>
      </c>
      <c r="L122" s="26"/>
      <c r="M122" s="26">
        <v>1388</v>
      </c>
    </row>
    <row r="123" spans="1:13" ht="24.75" x14ac:dyDescent="0.65">
      <c r="A123" s="108">
        <v>19</v>
      </c>
      <c r="B123" s="26">
        <v>1477</v>
      </c>
      <c r="C123" s="26">
        <v>1477</v>
      </c>
      <c r="D123" s="26">
        <v>1477</v>
      </c>
      <c r="E123" s="26">
        <v>1478</v>
      </c>
      <c r="F123" s="26"/>
      <c r="G123" s="26">
        <v>1476</v>
      </c>
      <c r="H123" s="26">
        <v>1477</v>
      </c>
      <c r="I123" s="26"/>
      <c r="J123" s="26">
        <v>1475</v>
      </c>
      <c r="K123" s="26">
        <v>1470</v>
      </c>
      <c r="L123" s="26">
        <v>1452</v>
      </c>
      <c r="M123" s="26">
        <v>1380</v>
      </c>
    </row>
    <row r="124" spans="1:13" ht="24.75" x14ac:dyDescent="0.65">
      <c r="A124" s="108">
        <v>20</v>
      </c>
      <c r="B124" s="26"/>
      <c r="C124" s="26">
        <v>1476</v>
      </c>
      <c r="D124" s="26">
        <v>1476</v>
      </c>
      <c r="E124" s="26">
        <v>1478</v>
      </c>
      <c r="F124" s="26"/>
      <c r="G124" s="26">
        <v>1477</v>
      </c>
      <c r="H124" s="26">
        <v>1477</v>
      </c>
      <c r="I124" s="26"/>
      <c r="J124" s="26">
        <v>1474</v>
      </c>
      <c r="K124" s="26"/>
      <c r="L124" s="26">
        <v>1449</v>
      </c>
      <c r="M124" s="26">
        <v>1373</v>
      </c>
    </row>
    <row r="125" spans="1:13" ht="24.75" x14ac:dyDescent="0.65">
      <c r="A125" s="108">
        <v>21</v>
      </c>
      <c r="B125" s="26"/>
      <c r="C125" s="26">
        <v>1476</v>
      </c>
      <c r="D125" s="12"/>
      <c r="E125" s="26"/>
      <c r="F125" s="26">
        <v>1477</v>
      </c>
      <c r="G125" s="26">
        <v>1477</v>
      </c>
      <c r="H125" s="26"/>
      <c r="I125" s="26">
        <v>1477</v>
      </c>
      <c r="J125" s="26">
        <v>1475</v>
      </c>
      <c r="K125" s="26"/>
      <c r="L125" s="26">
        <v>1446</v>
      </c>
      <c r="M125" s="26">
        <v>1360</v>
      </c>
    </row>
    <row r="126" spans="1:13" ht="24.75" x14ac:dyDescent="0.65">
      <c r="A126" s="108">
        <v>22</v>
      </c>
      <c r="B126" s="26">
        <v>1477</v>
      </c>
      <c r="C126" s="26">
        <v>1476</v>
      </c>
      <c r="D126" s="26">
        <v>1476</v>
      </c>
      <c r="E126" s="26"/>
      <c r="F126" s="26">
        <v>1477</v>
      </c>
      <c r="G126" s="26">
        <v>1476</v>
      </c>
      <c r="H126" s="26"/>
      <c r="I126" s="26">
        <v>1477</v>
      </c>
      <c r="J126" s="26"/>
      <c r="K126" s="26">
        <v>1473</v>
      </c>
      <c r="L126" s="26">
        <v>1444</v>
      </c>
      <c r="M126" s="26"/>
    </row>
    <row r="127" spans="1:13" ht="24.75" x14ac:dyDescent="0.65">
      <c r="A127" s="108">
        <v>23</v>
      </c>
      <c r="B127" s="26">
        <v>1477</v>
      </c>
      <c r="C127" s="26"/>
      <c r="D127" s="26">
        <v>1476</v>
      </c>
      <c r="E127" s="26">
        <v>1478</v>
      </c>
      <c r="F127" s="26">
        <v>1477</v>
      </c>
      <c r="G127" s="26"/>
      <c r="H127" s="26">
        <v>1477</v>
      </c>
      <c r="I127" s="26">
        <v>1478</v>
      </c>
      <c r="J127" s="26"/>
      <c r="K127" s="26"/>
      <c r="L127" s="26">
        <v>1441</v>
      </c>
      <c r="M127" s="26"/>
    </row>
    <row r="128" spans="1:13" ht="24.75" x14ac:dyDescent="0.65">
      <c r="A128" s="108">
        <v>24</v>
      </c>
      <c r="B128" s="26">
        <v>1476</v>
      </c>
      <c r="C128" s="26"/>
      <c r="D128" s="26"/>
      <c r="E128" s="26">
        <v>1478</v>
      </c>
      <c r="F128" s="26">
        <v>1477</v>
      </c>
      <c r="G128" s="26"/>
      <c r="H128" s="26">
        <v>1477</v>
      </c>
      <c r="I128" s="26">
        <v>1478</v>
      </c>
      <c r="J128" s="26">
        <v>1474</v>
      </c>
      <c r="K128" s="26"/>
      <c r="L128" s="26"/>
      <c r="M128" s="26">
        <v>1352</v>
      </c>
    </row>
    <row r="129" spans="1:22" ht="24.75" x14ac:dyDescent="0.65">
      <c r="A129" s="108">
        <v>25</v>
      </c>
      <c r="B129" s="26">
        <v>1476</v>
      </c>
      <c r="C129" s="26"/>
      <c r="D129" s="26"/>
      <c r="E129" s="26">
        <v>1477</v>
      </c>
      <c r="F129" s="26">
        <f>1476+7</f>
        <v>1483</v>
      </c>
      <c r="G129" s="26">
        <v>1477</v>
      </c>
      <c r="H129" s="26">
        <v>1476</v>
      </c>
      <c r="I129" s="26"/>
      <c r="J129" s="26">
        <v>1474</v>
      </c>
      <c r="K129" s="26"/>
      <c r="L129" s="26"/>
      <c r="M129" s="26">
        <v>1345</v>
      </c>
    </row>
    <row r="130" spans="1:22" ht="24.75" x14ac:dyDescent="0.65">
      <c r="A130" s="108">
        <v>26</v>
      </c>
      <c r="B130" s="26">
        <v>1476</v>
      </c>
      <c r="C130" s="26"/>
      <c r="D130" s="26">
        <v>1478</v>
      </c>
      <c r="E130" s="26">
        <v>1477</v>
      </c>
      <c r="F130" s="26"/>
      <c r="G130" s="26">
        <v>1477</v>
      </c>
      <c r="H130" s="26">
        <v>1476</v>
      </c>
      <c r="I130" s="26"/>
      <c r="J130" s="26">
        <v>1473</v>
      </c>
      <c r="K130" s="26"/>
      <c r="L130" s="26"/>
      <c r="M130" s="26">
        <v>1338</v>
      </c>
    </row>
    <row r="131" spans="1:22" ht="24.75" x14ac:dyDescent="0.65">
      <c r="A131" s="108">
        <v>27</v>
      </c>
      <c r="B131" s="26"/>
      <c r="C131" s="26">
        <v>1476</v>
      </c>
      <c r="D131" s="26">
        <v>1476</v>
      </c>
      <c r="E131" s="26">
        <v>1477</v>
      </c>
      <c r="F131" s="26"/>
      <c r="G131" s="26">
        <v>1477</v>
      </c>
      <c r="H131" s="26">
        <v>1476</v>
      </c>
      <c r="I131" s="26">
        <v>1479</v>
      </c>
      <c r="J131" s="26">
        <v>1473</v>
      </c>
      <c r="K131" s="26"/>
      <c r="L131" s="26">
        <v>1439</v>
      </c>
      <c r="M131" s="26">
        <v>1325</v>
      </c>
    </row>
    <row r="132" spans="1:22" ht="24.75" x14ac:dyDescent="0.65">
      <c r="A132" s="108">
        <v>28</v>
      </c>
      <c r="B132" s="26"/>
      <c r="C132" s="26">
        <v>1476</v>
      </c>
      <c r="D132" s="26">
        <v>1476</v>
      </c>
      <c r="E132" s="26"/>
      <c r="F132" s="26">
        <v>1476</v>
      </c>
      <c r="G132" s="26">
        <v>1477</v>
      </c>
      <c r="H132" s="26"/>
      <c r="I132" s="30">
        <v>1477</v>
      </c>
      <c r="J132" s="26">
        <v>1473</v>
      </c>
      <c r="K132" s="26"/>
      <c r="L132" s="26">
        <v>1437</v>
      </c>
      <c r="M132" s="26">
        <v>1325</v>
      </c>
    </row>
    <row r="133" spans="1:22" ht="24.75" x14ac:dyDescent="0.65">
      <c r="A133" s="108">
        <v>29</v>
      </c>
      <c r="B133" s="26">
        <v>1477</v>
      </c>
      <c r="C133" s="26"/>
      <c r="D133" s="26">
        <v>1476</v>
      </c>
      <c r="E133" s="26"/>
      <c r="F133" s="26">
        <v>1476</v>
      </c>
      <c r="G133" s="26">
        <v>1477</v>
      </c>
      <c r="H133" s="26"/>
      <c r="I133" s="30">
        <v>1477</v>
      </c>
      <c r="J133" s="26"/>
      <c r="K133" s="26">
        <v>1471</v>
      </c>
      <c r="L133" s="26">
        <v>1435</v>
      </c>
      <c r="M133" s="26"/>
    </row>
    <row r="134" spans="1:22" ht="24.75" x14ac:dyDescent="0.65">
      <c r="A134" s="108">
        <v>30</v>
      </c>
      <c r="B134" s="26"/>
      <c r="C134" s="26"/>
      <c r="D134" s="26">
        <v>1476</v>
      </c>
      <c r="E134" s="26">
        <v>1477</v>
      </c>
      <c r="F134" s="26">
        <v>1476</v>
      </c>
      <c r="G134" s="26"/>
      <c r="H134" s="26">
        <v>1477</v>
      </c>
      <c r="I134" s="30">
        <v>1477</v>
      </c>
      <c r="J134" s="26"/>
      <c r="K134" s="26">
        <v>1470</v>
      </c>
      <c r="L134" s="26">
        <v>1435</v>
      </c>
      <c r="M134" s="26"/>
    </row>
    <row r="135" spans="1:22" ht="25.5" thickBot="1" x14ac:dyDescent="0.7">
      <c r="A135" s="111">
        <v>31</v>
      </c>
      <c r="B135" s="30"/>
      <c r="C135" s="30"/>
      <c r="D135" s="30"/>
      <c r="E135" s="30"/>
      <c r="F135" s="31">
        <v>1476</v>
      </c>
      <c r="G135" s="30"/>
      <c r="H135" s="31">
        <v>1477</v>
      </c>
      <c r="I135" s="30">
        <v>1477</v>
      </c>
      <c r="J135" s="30"/>
      <c r="K135" s="31">
        <v>1470</v>
      </c>
      <c r="L135" s="30"/>
      <c r="M135" s="30"/>
    </row>
    <row r="136" spans="1:22" ht="23.25" customHeight="1" thickBot="1" x14ac:dyDescent="0.7">
      <c r="A136" s="195" t="s">
        <v>15</v>
      </c>
      <c r="B136" s="197">
        <f>AVERAGE(B105:B135)</f>
        <v>1478.6875</v>
      </c>
      <c r="C136" s="197">
        <f t="shared" ref="C136:F136" si="19">AVERAGE(C105:C135)</f>
        <v>1476.7058823529412</v>
      </c>
      <c r="D136" s="197">
        <f t="shared" si="19"/>
        <v>1476.5</v>
      </c>
      <c r="E136" s="197">
        <f t="shared" si="19"/>
        <v>1477.6315789473683</v>
      </c>
      <c r="F136" s="197">
        <f t="shared" si="19"/>
        <v>1477.2727272727273</v>
      </c>
      <c r="G136" s="197">
        <f t="shared" ref="G136" si="20">AVERAGE(G105:G135)</f>
        <v>1476.6190476190477</v>
      </c>
      <c r="H136" s="197">
        <f t="shared" ref="H136" si="21">AVERAGE(H105:H135)</f>
        <v>1476.7272727272727</v>
      </c>
      <c r="I136" s="197">
        <f t="shared" ref="I136" si="22">AVERAGE(I105:I135)</f>
        <v>1477.0454545454545</v>
      </c>
      <c r="J136" s="197">
        <f t="shared" ref="J136" si="23">AVERAGE(J105:J135)</f>
        <v>1474.8</v>
      </c>
      <c r="K136" s="197">
        <f t="shared" ref="K136" si="24">AVERAGE(K105:K135)</f>
        <v>1471.2105263157894</v>
      </c>
      <c r="L136" s="197">
        <f t="shared" ref="L136" si="25">AVERAGE(L105:L135)</f>
        <v>1453.4736842105262</v>
      </c>
      <c r="M136" s="197">
        <f t="shared" ref="M136" si="26">AVERAGE(M105:M135)</f>
        <v>1390.5</v>
      </c>
    </row>
    <row r="137" spans="1:22" s="23" customFormat="1" ht="25.5" thickBot="1" x14ac:dyDescent="0.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20"/>
      <c r="L137" s="20"/>
      <c r="M137" s="20"/>
      <c r="N137" s="21"/>
      <c r="O137" s="22"/>
      <c r="P137" s="22"/>
      <c r="Q137" s="22"/>
      <c r="R137" s="22"/>
      <c r="S137" s="22"/>
      <c r="T137" s="22"/>
      <c r="U137" s="22"/>
      <c r="V137" s="22"/>
    </row>
    <row r="138" spans="1:22" ht="25.5" thickBot="1" x14ac:dyDescent="0.7">
      <c r="A138" s="64" t="s">
        <v>48</v>
      </c>
      <c r="B138" s="29" t="s">
        <v>3</v>
      </c>
      <c r="C138" s="29" t="s">
        <v>4</v>
      </c>
      <c r="D138" s="29" t="s">
        <v>5</v>
      </c>
      <c r="E138" s="29" t="s">
        <v>6</v>
      </c>
      <c r="F138" s="29" t="s">
        <v>7</v>
      </c>
      <c r="G138" s="29" t="s">
        <v>41</v>
      </c>
      <c r="H138" s="29" t="s">
        <v>42</v>
      </c>
      <c r="I138" s="29" t="s">
        <v>10</v>
      </c>
      <c r="J138" s="29" t="s">
        <v>11</v>
      </c>
      <c r="K138" s="29" t="s">
        <v>12</v>
      </c>
      <c r="L138" s="29" t="s">
        <v>21</v>
      </c>
      <c r="M138" s="29" t="s">
        <v>14</v>
      </c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24.75" x14ac:dyDescent="0.65">
      <c r="A139" s="112">
        <v>1</v>
      </c>
      <c r="B139" s="30"/>
      <c r="C139" s="30">
        <v>1290</v>
      </c>
      <c r="D139" s="30">
        <v>1280</v>
      </c>
      <c r="E139" s="30">
        <v>1273</v>
      </c>
      <c r="F139" s="30"/>
      <c r="G139" s="30"/>
      <c r="H139" s="30">
        <v>1250</v>
      </c>
      <c r="I139" s="30">
        <v>1243</v>
      </c>
      <c r="J139" s="30"/>
      <c r="K139" s="30">
        <v>1234</v>
      </c>
      <c r="L139" s="30">
        <v>1232</v>
      </c>
      <c r="M139" s="30"/>
    </row>
    <row r="140" spans="1:22" ht="24.75" x14ac:dyDescent="0.65">
      <c r="A140" s="113">
        <v>2</v>
      </c>
      <c r="B140" s="30"/>
      <c r="C140" s="30"/>
      <c r="D140" s="30"/>
      <c r="E140" s="30">
        <v>1272</v>
      </c>
      <c r="F140" s="30">
        <v>1268</v>
      </c>
      <c r="G140" s="30"/>
      <c r="H140" s="30">
        <v>1250</v>
      </c>
      <c r="I140" s="30">
        <v>1242</v>
      </c>
      <c r="J140" s="30">
        <v>1238</v>
      </c>
      <c r="K140" s="30">
        <v>1233</v>
      </c>
      <c r="L140" s="30"/>
      <c r="M140" s="30">
        <v>1220</v>
      </c>
    </row>
    <row r="141" spans="1:22" ht="24.75" x14ac:dyDescent="0.65">
      <c r="A141" s="113">
        <v>3</v>
      </c>
      <c r="B141" s="30"/>
      <c r="C141" s="30"/>
      <c r="D141" s="30"/>
      <c r="E141" s="30">
        <v>1272</v>
      </c>
      <c r="F141" s="30">
        <v>1267</v>
      </c>
      <c r="G141" s="30">
        <v>1260</v>
      </c>
      <c r="H141" s="30">
        <v>1250</v>
      </c>
      <c r="I141" s="30"/>
      <c r="J141" s="30">
        <v>1238</v>
      </c>
      <c r="K141" s="30">
        <v>1233</v>
      </c>
      <c r="L141" s="30"/>
      <c r="M141" s="30">
        <v>1219</v>
      </c>
    </row>
    <row r="142" spans="1:22" ht="24.75" x14ac:dyDescent="0.65">
      <c r="A142" s="113">
        <v>4</v>
      </c>
      <c r="B142" s="30"/>
      <c r="C142" s="30">
        <v>1290</v>
      </c>
      <c r="D142" s="30">
        <v>1280</v>
      </c>
      <c r="E142" s="30">
        <v>1272</v>
      </c>
      <c r="F142" s="30"/>
      <c r="G142" s="30">
        <v>1259</v>
      </c>
      <c r="H142" s="30">
        <v>1250</v>
      </c>
      <c r="I142" s="30"/>
      <c r="J142" s="30">
        <v>1237</v>
      </c>
      <c r="K142" s="30">
        <v>1233</v>
      </c>
      <c r="L142" s="30">
        <v>1232</v>
      </c>
      <c r="M142" s="30">
        <v>1218</v>
      </c>
    </row>
    <row r="143" spans="1:22" ht="24.75" x14ac:dyDescent="0.65">
      <c r="A143" s="113">
        <v>5</v>
      </c>
      <c r="B143" s="30"/>
      <c r="C143" s="30">
        <v>1289</v>
      </c>
      <c r="D143" s="30">
        <v>1279</v>
      </c>
      <c r="E143" s="30">
        <v>1272</v>
      </c>
      <c r="F143" s="30"/>
      <c r="G143" s="30">
        <v>1260</v>
      </c>
      <c r="H143" s="30">
        <v>1250</v>
      </c>
      <c r="I143" s="30">
        <v>1242</v>
      </c>
      <c r="J143" s="30">
        <v>1237</v>
      </c>
      <c r="K143" s="30"/>
      <c r="L143" s="30">
        <v>1231</v>
      </c>
      <c r="M143" s="30">
        <v>1217</v>
      </c>
    </row>
    <row r="144" spans="1:22" ht="24.75" x14ac:dyDescent="0.65">
      <c r="A144" s="113">
        <v>6</v>
      </c>
      <c r="B144" s="30"/>
      <c r="C144" s="30">
        <v>1288</v>
      </c>
      <c r="D144" s="30">
        <v>1279</v>
      </c>
      <c r="E144" s="30"/>
      <c r="F144" s="30">
        <v>1267</v>
      </c>
      <c r="G144" s="30">
        <v>1260</v>
      </c>
      <c r="H144" s="30"/>
      <c r="I144" s="30">
        <v>1241</v>
      </c>
      <c r="J144" s="30">
        <v>1237</v>
      </c>
      <c r="K144" s="30"/>
      <c r="L144" s="30">
        <v>1230</v>
      </c>
      <c r="M144" s="30">
        <v>1216</v>
      </c>
    </row>
    <row r="145" spans="1:13" ht="24.75" x14ac:dyDescent="0.65">
      <c r="A145" s="113">
        <v>7</v>
      </c>
      <c r="B145" s="30"/>
      <c r="C145" s="30">
        <v>1288</v>
      </c>
      <c r="D145" s="30">
        <v>1278</v>
      </c>
      <c r="E145" s="30"/>
      <c r="F145" s="30">
        <v>1265</v>
      </c>
      <c r="G145" s="30">
        <v>1260</v>
      </c>
      <c r="H145" s="30"/>
      <c r="I145" s="30">
        <v>1240</v>
      </c>
      <c r="J145" s="30"/>
      <c r="K145" s="30">
        <v>1233</v>
      </c>
      <c r="L145" s="30">
        <v>1229</v>
      </c>
      <c r="M145" s="30"/>
    </row>
    <row r="146" spans="1:13" ht="24.75" x14ac:dyDescent="0.65">
      <c r="A146" s="113">
        <v>8</v>
      </c>
      <c r="B146" s="30">
        <v>1320</v>
      </c>
      <c r="C146" s="30">
        <v>1288</v>
      </c>
      <c r="D146" s="30">
        <v>1279</v>
      </c>
      <c r="E146" s="30">
        <v>1272</v>
      </c>
      <c r="F146" s="30">
        <v>1264</v>
      </c>
      <c r="G146" s="30"/>
      <c r="H146" s="30">
        <v>1250</v>
      </c>
      <c r="I146" s="30"/>
      <c r="J146" s="30"/>
      <c r="K146" s="30">
        <v>1232</v>
      </c>
      <c r="L146" s="30">
        <v>1229</v>
      </c>
      <c r="M146" s="30"/>
    </row>
    <row r="147" spans="1:13" ht="24.75" x14ac:dyDescent="0.65">
      <c r="A147" s="113">
        <v>9</v>
      </c>
      <c r="B147" s="30">
        <v>1318</v>
      </c>
      <c r="C147" s="30"/>
      <c r="D147" s="30"/>
      <c r="E147" s="30" t="s">
        <v>17</v>
      </c>
      <c r="F147" s="30">
        <v>1263</v>
      </c>
      <c r="G147" s="30"/>
      <c r="H147" s="30">
        <v>1249</v>
      </c>
      <c r="I147" s="30"/>
      <c r="J147" s="30">
        <v>1237</v>
      </c>
      <c r="K147" s="30">
        <v>1232</v>
      </c>
      <c r="L147" s="30"/>
      <c r="M147" s="30">
        <v>1216</v>
      </c>
    </row>
    <row r="148" spans="1:13" ht="24.75" x14ac:dyDescent="0.65">
      <c r="A148" s="113">
        <v>10</v>
      </c>
      <c r="B148" s="30">
        <v>1315</v>
      </c>
      <c r="C148" s="30"/>
      <c r="D148" s="30"/>
      <c r="E148" s="30">
        <v>1272</v>
      </c>
      <c r="F148" s="30">
        <v>1263</v>
      </c>
      <c r="G148" s="30">
        <v>1260</v>
      </c>
      <c r="H148" s="30">
        <v>1249</v>
      </c>
      <c r="I148" s="30"/>
      <c r="J148" s="30">
        <v>1236</v>
      </c>
      <c r="K148" s="30">
        <v>1232</v>
      </c>
      <c r="L148" s="30"/>
      <c r="M148" s="30">
        <v>1216</v>
      </c>
    </row>
    <row r="149" spans="1:13" ht="24.75" x14ac:dyDescent="0.65">
      <c r="A149" s="113">
        <v>11</v>
      </c>
      <c r="B149" s="30">
        <v>1315</v>
      </c>
      <c r="C149" s="30">
        <v>1288</v>
      </c>
      <c r="D149" s="30">
        <v>1279</v>
      </c>
      <c r="E149" s="30">
        <v>1272</v>
      </c>
      <c r="F149" s="30"/>
      <c r="G149" s="30">
        <v>1260</v>
      </c>
      <c r="H149" s="30">
        <v>1249</v>
      </c>
      <c r="I149" s="30"/>
      <c r="J149" s="30">
        <v>1236</v>
      </c>
      <c r="K149" s="30">
        <v>1232</v>
      </c>
      <c r="L149" s="30">
        <v>1229</v>
      </c>
      <c r="M149" s="30">
        <v>1216</v>
      </c>
    </row>
    <row r="150" spans="1:13" ht="24.75" x14ac:dyDescent="0.65">
      <c r="A150" s="113">
        <v>12</v>
      </c>
      <c r="B150" s="30"/>
      <c r="C150" s="30">
        <v>1288</v>
      </c>
      <c r="D150" s="30">
        <v>1278</v>
      </c>
      <c r="E150" s="30">
        <v>1272</v>
      </c>
      <c r="F150" s="30"/>
      <c r="G150" s="30">
        <v>1259</v>
      </c>
      <c r="H150" s="30">
        <v>1249</v>
      </c>
      <c r="I150" s="30">
        <v>1240</v>
      </c>
      <c r="J150" s="30">
        <v>1236</v>
      </c>
      <c r="K150" s="30"/>
      <c r="L150" s="30">
        <v>1229</v>
      </c>
      <c r="M150" s="30">
        <v>1216</v>
      </c>
    </row>
    <row r="151" spans="1:13" ht="24.75" x14ac:dyDescent="0.65">
      <c r="A151" s="113">
        <v>13</v>
      </c>
      <c r="B151" s="30"/>
      <c r="C151" s="30">
        <v>1288</v>
      </c>
      <c r="D151" s="30">
        <v>1278</v>
      </c>
      <c r="E151" s="30"/>
      <c r="F151" s="30">
        <v>1262</v>
      </c>
      <c r="G151" s="30">
        <v>1258</v>
      </c>
      <c r="H151" s="30"/>
      <c r="I151" s="30">
        <v>1240</v>
      </c>
      <c r="J151" s="30">
        <v>1235</v>
      </c>
      <c r="K151" s="30"/>
      <c r="L151" s="30">
        <v>1228</v>
      </c>
      <c r="M151" s="30">
        <v>1216</v>
      </c>
    </row>
    <row r="152" spans="1:13" ht="24.75" x14ac:dyDescent="0.65">
      <c r="A152" s="113">
        <v>14</v>
      </c>
      <c r="B152" s="30">
        <v>1315</v>
      </c>
      <c r="C152" s="30">
        <v>1286</v>
      </c>
      <c r="D152" s="30">
        <v>1277</v>
      </c>
      <c r="E152" s="30"/>
      <c r="F152" s="30">
        <v>1261</v>
      </c>
      <c r="G152" s="30"/>
      <c r="H152" s="30"/>
      <c r="I152" s="30">
        <v>1240</v>
      </c>
      <c r="J152" s="30"/>
      <c r="K152" s="30"/>
      <c r="L152" s="30">
        <v>1228</v>
      </c>
      <c r="M152" s="30"/>
    </row>
    <row r="153" spans="1:13" ht="24.75" x14ac:dyDescent="0.65">
      <c r="A153" s="113">
        <v>15</v>
      </c>
      <c r="B153" s="30">
        <v>1310</v>
      </c>
      <c r="C153" s="30">
        <v>1285</v>
      </c>
      <c r="D153" s="30">
        <v>1277</v>
      </c>
      <c r="E153" s="30">
        <v>1272</v>
      </c>
      <c r="F153" s="30">
        <v>1261</v>
      </c>
      <c r="G153" s="30"/>
      <c r="H153" s="30">
        <v>1249</v>
      </c>
      <c r="I153" s="30">
        <v>1240</v>
      </c>
      <c r="J153" s="30"/>
      <c r="K153" s="30"/>
      <c r="L153" s="30">
        <v>1228</v>
      </c>
      <c r="M153" s="30"/>
    </row>
    <row r="154" spans="1:13" ht="24.75" x14ac:dyDescent="0.65">
      <c r="A154" s="113">
        <v>16</v>
      </c>
      <c r="B154" s="30">
        <v>1308</v>
      </c>
      <c r="C154" s="30"/>
      <c r="D154" s="30"/>
      <c r="E154" s="30">
        <v>1272</v>
      </c>
      <c r="F154" s="30">
        <v>1260</v>
      </c>
      <c r="G154" s="30"/>
      <c r="H154" s="30">
        <v>1249</v>
      </c>
      <c r="I154" s="30">
        <v>1240</v>
      </c>
      <c r="J154" s="30">
        <v>1235</v>
      </c>
      <c r="K154" s="30"/>
      <c r="L154" s="30"/>
      <c r="M154" s="30">
        <v>1216</v>
      </c>
    </row>
    <row r="155" spans="1:13" ht="24.75" x14ac:dyDescent="0.65">
      <c r="A155" s="113">
        <v>17</v>
      </c>
      <c r="B155" s="30">
        <v>1305</v>
      </c>
      <c r="C155" s="30"/>
      <c r="D155" s="30"/>
      <c r="E155" s="30">
        <v>1272</v>
      </c>
      <c r="F155" s="30">
        <v>1260</v>
      </c>
      <c r="G155" s="30">
        <v>1258</v>
      </c>
      <c r="H155" s="30">
        <v>1249</v>
      </c>
      <c r="I155" s="30"/>
      <c r="J155" s="30">
        <v>1235</v>
      </c>
      <c r="K155" s="30">
        <v>1232</v>
      </c>
      <c r="L155" s="30"/>
      <c r="M155" s="30">
        <v>1216</v>
      </c>
    </row>
    <row r="156" spans="1:13" ht="24.75" x14ac:dyDescent="0.65">
      <c r="A156" s="113">
        <v>18</v>
      </c>
      <c r="B156" s="30">
        <v>1300</v>
      </c>
      <c r="C156" s="30">
        <v>1285</v>
      </c>
      <c r="D156" s="30">
        <v>1277</v>
      </c>
      <c r="E156" s="30">
        <v>1272</v>
      </c>
      <c r="F156" s="30"/>
      <c r="G156" s="30">
        <v>1257</v>
      </c>
      <c r="H156" s="30">
        <v>1249</v>
      </c>
      <c r="I156" s="30"/>
      <c r="J156" s="30">
        <v>1234</v>
      </c>
      <c r="K156" s="30">
        <v>1232</v>
      </c>
      <c r="L156" s="30">
        <v>1227</v>
      </c>
      <c r="M156" s="30">
        <v>1216</v>
      </c>
    </row>
    <row r="157" spans="1:13" ht="24.75" x14ac:dyDescent="0.65">
      <c r="A157" s="113">
        <v>19</v>
      </c>
      <c r="B157" s="30"/>
      <c r="C157" s="30">
        <v>1285</v>
      </c>
      <c r="D157" s="30">
        <v>1277</v>
      </c>
      <c r="E157" s="30">
        <v>1272</v>
      </c>
      <c r="F157" s="30"/>
      <c r="G157" s="30">
        <v>1256</v>
      </c>
      <c r="H157" s="30">
        <v>1249</v>
      </c>
      <c r="I157" s="30">
        <v>1240</v>
      </c>
      <c r="J157" s="30">
        <v>1234</v>
      </c>
      <c r="K157" s="30"/>
      <c r="L157" s="30">
        <v>1227</v>
      </c>
      <c r="M157" s="30"/>
    </row>
    <row r="158" spans="1:13" ht="24.75" x14ac:dyDescent="0.65">
      <c r="A158" s="113">
        <v>20</v>
      </c>
      <c r="B158" s="30"/>
      <c r="C158" s="30">
        <v>1283</v>
      </c>
      <c r="D158" s="30">
        <v>1277</v>
      </c>
      <c r="E158" s="30"/>
      <c r="F158" s="30">
        <v>1260</v>
      </c>
      <c r="G158" s="30">
        <v>1255</v>
      </c>
      <c r="H158" s="30"/>
      <c r="I158" s="30">
        <v>1239</v>
      </c>
      <c r="J158" s="30">
        <v>1234</v>
      </c>
      <c r="K158" s="30"/>
      <c r="L158" s="30">
        <v>1226</v>
      </c>
      <c r="M158" s="30"/>
    </row>
    <row r="159" spans="1:13" ht="24.75" x14ac:dyDescent="0.65">
      <c r="A159" s="113">
        <v>21</v>
      </c>
      <c r="B159" s="30">
        <v>1300</v>
      </c>
      <c r="C159" s="30">
        <v>1282</v>
      </c>
      <c r="D159" s="30" t="s">
        <v>35</v>
      </c>
      <c r="E159" s="30"/>
      <c r="F159" s="30">
        <v>1260</v>
      </c>
      <c r="G159" s="30">
        <v>1254</v>
      </c>
      <c r="H159" s="30"/>
      <c r="I159" s="30">
        <v>1239</v>
      </c>
      <c r="J159" s="30"/>
      <c r="K159" s="30">
        <v>1232</v>
      </c>
      <c r="L159" s="30">
        <v>1226</v>
      </c>
      <c r="M159" s="30"/>
    </row>
    <row r="160" spans="1:13" ht="24.75" x14ac:dyDescent="0.65">
      <c r="A160" s="113">
        <v>22</v>
      </c>
      <c r="B160" s="30">
        <v>1298</v>
      </c>
      <c r="C160" s="30">
        <v>1282</v>
      </c>
      <c r="D160" s="30">
        <v>1277</v>
      </c>
      <c r="E160" s="30">
        <v>1272</v>
      </c>
      <c r="F160" s="30">
        <v>1260</v>
      </c>
      <c r="G160" s="30"/>
      <c r="H160" s="30">
        <v>1249</v>
      </c>
      <c r="I160" s="30">
        <v>1239</v>
      </c>
      <c r="J160" s="30"/>
      <c r="K160" s="30">
        <v>1232</v>
      </c>
      <c r="L160" s="30">
        <v>1225</v>
      </c>
      <c r="M160" s="30"/>
    </row>
    <row r="161" spans="1:22" ht="24.75" x14ac:dyDescent="0.65">
      <c r="A161" s="113">
        <v>23</v>
      </c>
      <c r="B161" s="30">
        <v>1295</v>
      </c>
      <c r="C161" s="30"/>
      <c r="D161" s="30"/>
      <c r="E161" s="30">
        <v>1270</v>
      </c>
      <c r="F161" s="30">
        <v>1259</v>
      </c>
      <c r="G161" s="30"/>
      <c r="H161" s="30">
        <v>1249</v>
      </c>
      <c r="I161" s="30">
        <v>1238</v>
      </c>
      <c r="J161" s="30">
        <v>1234</v>
      </c>
      <c r="K161" s="30">
        <v>1232</v>
      </c>
      <c r="L161" s="30"/>
      <c r="M161" s="30"/>
    </row>
    <row r="162" spans="1:22" ht="24.75" x14ac:dyDescent="0.65">
      <c r="A162" s="113">
        <v>24</v>
      </c>
      <c r="B162" s="30">
        <v>1295</v>
      </c>
      <c r="C162" s="30"/>
      <c r="D162" s="30"/>
      <c r="E162" s="30">
        <v>1270</v>
      </c>
      <c r="F162" s="30">
        <v>1259</v>
      </c>
      <c r="G162" s="30">
        <v>1253</v>
      </c>
      <c r="H162" s="30">
        <v>1249</v>
      </c>
      <c r="I162" s="30"/>
      <c r="J162" s="30">
        <v>1234</v>
      </c>
      <c r="K162" s="30">
        <v>1232</v>
      </c>
      <c r="L162" s="30"/>
      <c r="M162" s="30"/>
    </row>
    <row r="163" spans="1:22" ht="24.75" x14ac:dyDescent="0.65">
      <c r="A163" s="113">
        <v>25</v>
      </c>
      <c r="B163" s="30">
        <v>1292</v>
      </c>
      <c r="C163" s="30">
        <v>1282</v>
      </c>
      <c r="D163" s="30">
        <v>1277</v>
      </c>
      <c r="E163" s="30">
        <v>1270</v>
      </c>
      <c r="F163" s="30"/>
      <c r="G163" s="30">
        <v>1252</v>
      </c>
      <c r="H163" s="30">
        <v>1248</v>
      </c>
      <c r="I163" s="30"/>
      <c r="J163" s="30">
        <v>1234</v>
      </c>
      <c r="K163" s="30">
        <v>1232</v>
      </c>
      <c r="L163" s="30">
        <v>1224</v>
      </c>
      <c r="M163" s="30"/>
    </row>
    <row r="164" spans="1:22" ht="24.75" x14ac:dyDescent="0.65">
      <c r="A164" s="113">
        <v>26</v>
      </c>
      <c r="B164" s="30"/>
      <c r="C164" s="30">
        <v>1282</v>
      </c>
      <c r="D164" s="30">
        <v>1276</v>
      </c>
      <c r="E164" s="30">
        <v>1270</v>
      </c>
      <c r="F164" s="30"/>
      <c r="G164" s="30">
        <v>1251</v>
      </c>
      <c r="H164" s="30">
        <v>1246</v>
      </c>
      <c r="I164" s="30">
        <v>1238</v>
      </c>
      <c r="J164" s="30">
        <v>1234</v>
      </c>
      <c r="K164" s="30"/>
      <c r="L164" s="30">
        <v>1223</v>
      </c>
      <c r="M164" s="30">
        <v>1216</v>
      </c>
    </row>
    <row r="165" spans="1:22" ht="24.75" x14ac:dyDescent="0.65">
      <c r="A165" s="113">
        <v>27</v>
      </c>
      <c r="B165" s="30"/>
      <c r="C165" s="30">
        <v>1281</v>
      </c>
      <c r="D165" s="30">
        <v>1274</v>
      </c>
      <c r="E165" s="30"/>
      <c r="F165" s="30">
        <v>1259</v>
      </c>
      <c r="G165" s="30">
        <v>1251</v>
      </c>
      <c r="H165" s="30"/>
      <c r="I165" s="30">
        <v>1238</v>
      </c>
      <c r="J165" s="30">
        <v>1234</v>
      </c>
      <c r="K165" s="30"/>
      <c r="L165" s="30">
        <v>1222</v>
      </c>
      <c r="M165" s="30">
        <v>1216</v>
      </c>
    </row>
    <row r="166" spans="1:22" ht="24.75" x14ac:dyDescent="0.65">
      <c r="A166" s="113">
        <v>28</v>
      </c>
      <c r="B166" s="30">
        <v>1292</v>
      </c>
      <c r="C166" s="30">
        <v>1280</v>
      </c>
      <c r="D166" s="30">
        <v>1273</v>
      </c>
      <c r="E166" s="30"/>
      <c r="F166" s="30">
        <v>1259</v>
      </c>
      <c r="G166" s="30">
        <v>1250</v>
      </c>
      <c r="H166" s="30"/>
      <c r="I166" s="30">
        <v>1238</v>
      </c>
      <c r="J166" s="30"/>
      <c r="K166" s="30">
        <v>1232</v>
      </c>
      <c r="L166" s="30">
        <v>1221</v>
      </c>
      <c r="M166" s="30"/>
    </row>
    <row r="167" spans="1:22" ht="24.75" x14ac:dyDescent="0.65">
      <c r="A167" s="113">
        <v>29</v>
      </c>
      <c r="B167" s="30">
        <v>1292</v>
      </c>
      <c r="C167" s="30"/>
      <c r="D167" s="30">
        <v>1273</v>
      </c>
      <c r="E167" s="30">
        <v>1270</v>
      </c>
      <c r="F167" s="30">
        <v>1259</v>
      </c>
      <c r="G167" s="30"/>
      <c r="H167" s="30">
        <v>1246</v>
      </c>
      <c r="I167" s="30">
        <v>1238</v>
      </c>
      <c r="J167" s="30"/>
      <c r="K167" s="30">
        <v>1232</v>
      </c>
      <c r="L167" s="30">
        <v>1220</v>
      </c>
      <c r="M167" s="30"/>
    </row>
    <row r="168" spans="1:22" ht="24.75" x14ac:dyDescent="0.65">
      <c r="A168" s="113">
        <v>30</v>
      </c>
      <c r="B168" s="30"/>
      <c r="C168" s="30"/>
      <c r="D168" s="30"/>
      <c r="E168" s="30">
        <v>1269</v>
      </c>
      <c r="F168" s="30">
        <v>1260</v>
      </c>
      <c r="G168" s="30"/>
      <c r="H168" s="30">
        <v>1245</v>
      </c>
      <c r="I168" s="30">
        <v>1238</v>
      </c>
      <c r="J168" s="30">
        <v>1234</v>
      </c>
      <c r="K168" s="30">
        <v>1232</v>
      </c>
      <c r="L168" s="30"/>
      <c r="M168" s="30">
        <v>1216</v>
      </c>
    </row>
    <row r="169" spans="1:22" ht="25.5" thickBot="1" x14ac:dyDescent="0.7">
      <c r="A169" s="114">
        <v>31</v>
      </c>
      <c r="B169" s="30">
        <v>1292</v>
      </c>
      <c r="C169" s="30"/>
      <c r="D169" s="30"/>
      <c r="E169" s="30"/>
      <c r="F169" s="30">
        <v>1260</v>
      </c>
      <c r="G169" s="30"/>
      <c r="H169" s="30">
        <v>1244</v>
      </c>
      <c r="I169" s="30"/>
      <c r="J169" s="30"/>
      <c r="K169" s="30">
        <v>1232</v>
      </c>
      <c r="L169" s="30"/>
      <c r="M169" s="30">
        <v>1215</v>
      </c>
    </row>
    <row r="170" spans="1:22" ht="23.25" customHeight="1" thickBot="1" x14ac:dyDescent="0.7">
      <c r="A170" s="195" t="s">
        <v>15</v>
      </c>
      <c r="B170" s="197">
        <f>AVERAGE(B139:B169)</f>
        <v>1303.6470588235295</v>
      </c>
      <c r="C170" s="197">
        <f t="shared" ref="C170:E170" si="27">AVERAGE(C139:C169)</f>
        <v>1285.5</v>
      </c>
      <c r="D170" s="197">
        <f t="shared" si="27"/>
        <v>1277.25</v>
      </c>
      <c r="E170" s="197">
        <f t="shared" si="27"/>
        <v>1271.4285714285713</v>
      </c>
      <c r="F170" s="197">
        <f t="shared" ref="F170" si="28">AVERAGE(F139:F169)</f>
        <v>1261.6363636363637</v>
      </c>
      <c r="G170" s="197">
        <f t="shared" ref="G170" si="29">AVERAGE(G139:G169)</f>
        <v>1256.4736842105262</v>
      </c>
      <c r="H170" s="197">
        <f t="shared" ref="H170" si="30">AVERAGE(H139:H169)</f>
        <v>1248.5652173913043</v>
      </c>
      <c r="I170" s="197">
        <f t="shared" ref="I170" si="31">AVERAGE(I139:I169)</f>
        <v>1239.6500000000001</v>
      </c>
      <c r="J170" s="197">
        <f t="shared" ref="J170" si="32">AVERAGE(J139:J169)</f>
        <v>1235.3809523809523</v>
      </c>
      <c r="K170" s="197">
        <f t="shared" ref="K170" si="33">AVERAGE(K139:K169)</f>
        <v>1232.3</v>
      </c>
      <c r="L170" s="197">
        <f t="shared" ref="L170" si="34">AVERAGE(L139:L169)</f>
        <v>1226.952380952381</v>
      </c>
      <c r="M170" s="197">
        <f t="shared" ref="M170" si="35">AVERAGE(M139:M169)</f>
        <v>1216.5294117647059</v>
      </c>
    </row>
    <row r="171" spans="1:22" s="23" customFormat="1" ht="25.5" thickBot="1" x14ac:dyDescent="0.7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0"/>
      <c r="L171" s="20"/>
      <c r="M171" s="20"/>
      <c r="N171" s="21"/>
      <c r="O171" s="22"/>
      <c r="P171" s="22"/>
      <c r="Q171" s="22"/>
      <c r="R171" s="22"/>
      <c r="S171" s="22"/>
      <c r="T171" s="22"/>
      <c r="U171" s="22"/>
      <c r="V171" s="22"/>
    </row>
    <row r="172" spans="1:22" ht="25.5" thickBot="1" x14ac:dyDescent="0.7">
      <c r="A172" s="64" t="s">
        <v>49</v>
      </c>
      <c r="B172" s="29" t="s">
        <v>3</v>
      </c>
      <c r="C172" s="29" t="s">
        <v>4</v>
      </c>
      <c r="D172" s="29" t="s">
        <v>5</v>
      </c>
      <c r="E172" s="29" t="s">
        <v>6</v>
      </c>
      <c r="F172" s="29" t="s">
        <v>7</v>
      </c>
      <c r="G172" s="29" t="s">
        <v>41</v>
      </c>
      <c r="H172" s="29" t="s">
        <v>42</v>
      </c>
      <c r="I172" s="29" t="s">
        <v>10</v>
      </c>
      <c r="J172" s="29" t="s">
        <v>11</v>
      </c>
      <c r="K172" s="29" t="s">
        <v>12</v>
      </c>
      <c r="L172" s="29" t="s">
        <v>21</v>
      </c>
      <c r="M172" s="29" t="s">
        <v>14</v>
      </c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24.75" x14ac:dyDescent="0.65">
      <c r="A173" s="112">
        <v>1</v>
      </c>
      <c r="B173" s="30"/>
      <c r="C173" s="30"/>
      <c r="D173" s="30"/>
      <c r="E173" s="30">
        <v>1205</v>
      </c>
      <c r="F173" s="30"/>
      <c r="G173" s="30">
        <v>1198</v>
      </c>
      <c r="H173" s="30">
        <v>1195</v>
      </c>
      <c r="I173" s="30"/>
      <c r="J173" s="30">
        <v>1183</v>
      </c>
      <c r="K173" s="30"/>
      <c r="L173" s="30"/>
      <c r="M173" s="30">
        <v>1173</v>
      </c>
    </row>
    <row r="174" spans="1:22" ht="24.75" x14ac:dyDescent="0.65">
      <c r="A174" s="113">
        <v>2</v>
      </c>
      <c r="B174" s="30"/>
      <c r="C174" s="30"/>
      <c r="D174" s="30">
        <v>1210</v>
      </c>
      <c r="E174" s="30">
        <v>1205</v>
      </c>
      <c r="F174" s="30"/>
      <c r="G174" s="30">
        <v>1197</v>
      </c>
      <c r="H174" s="30">
        <v>1195</v>
      </c>
      <c r="I174" s="30"/>
      <c r="J174" s="30">
        <v>1182</v>
      </c>
      <c r="K174" s="30"/>
      <c r="L174" s="30">
        <v>1176</v>
      </c>
      <c r="M174" s="30">
        <v>1173</v>
      </c>
    </row>
    <row r="175" spans="1:22" ht="24.75" x14ac:dyDescent="0.65">
      <c r="A175" s="113">
        <v>3</v>
      </c>
      <c r="B175" s="30">
        <v>1215</v>
      </c>
      <c r="C175" s="30">
        <v>1212</v>
      </c>
      <c r="D175" s="30">
        <v>1210</v>
      </c>
      <c r="E175" s="30">
        <v>1205</v>
      </c>
      <c r="F175" s="30"/>
      <c r="G175" s="30">
        <v>1197</v>
      </c>
      <c r="H175" s="30">
        <v>1195</v>
      </c>
      <c r="I175" s="30">
        <v>1190</v>
      </c>
      <c r="J175" s="30">
        <v>1182</v>
      </c>
      <c r="K175" s="30"/>
      <c r="L175" s="30">
        <v>1176</v>
      </c>
      <c r="M175" s="30">
        <v>1173</v>
      </c>
    </row>
    <row r="176" spans="1:22" ht="24.75" x14ac:dyDescent="0.65">
      <c r="A176" s="113">
        <v>4</v>
      </c>
      <c r="B176" s="30"/>
      <c r="C176" s="30">
        <v>1211</v>
      </c>
      <c r="D176" s="30">
        <v>1210</v>
      </c>
      <c r="E176" s="30"/>
      <c r="F176" s="30">
        <v>1202</v>
      </c>
      <c r="G176" s="30">
        <v>1197</v>
      </c>
      <c r="H176" s="30"/>
      <c r="I176" s="30">
        <v>1190</v>
      </c>
      <c r="J176" s="30">
        <v>1182</v>
      </c>
      <c r="K176" s="30"/>
      <c r="L176" s="30">
        <v>1176</v>
      </c>
      <c r="M176" s="30">
        <v>1172</v>
      </c>
    </row>
    <row r="177" spans="1:13" ht="24.75" x14ac:dyDescent="0.65">
      <c r="A177" s="113">
        <v>5</v>
      </c>
      <c r="B177" s="30"/>
      <c r="C177" s="30">
        <v>1211</v>
      </c>
      <c r="D177" s="30">
        <v>1210</v>
      </c>
      <c r="E177" s="30"/>
      <c r="F177" s="30">
        <v>1201</v>
      </c>
      <c r="G177" s="30">
        <v>1197</v>
      </c>
      <c r="H177" s="30"/>
      <c r="I177" s="30">
        <v>1189</v>
      </c>
      <c r="J177" s="30"/>
      <c r="K177" s="30"/>
      <c r="L177" s="30">
        <v>1176</v>
      </c>
      <c r="M177" s="30"/>
    </row>
    <row r="178" spans="1:13" ht="24.75" x14ac:dyDescent="0.65">
      <c r="A178" s="113">
        <v>6</v>
      </c>
      <c r="B178" s="30"/>
      <c r="C178" s="30">
        <v>1210</v>
      </c>
      <c r="D178" s="30">
        <v>1210</v>
      </c>
      <c r="E178" s="30">
        <v>1205</v>
      </c>
      <c r="F178" s="30">
        <v>1201</v>
      </c>
      <c r="G178" s="30"/>
      <c r="H178" s="30">
        <v>1195</v>
      </c>
      <c r="I178" s="30">
        <v>1189</v>
      </c>
      <c r="J178" s="30"/>
      <c r="K178" s="30">
        <v>1179</v>
      </c>
      <c r="L178" s="30">
        <v>1176</v>
      </c>
      <c r="M178" s="30"/>
    </row>
    <row r="179" spans="1:13" ht="24.75" x14ac:dyDescent="0.65">
      <c r="A179" s="113">
        <v>7</v>
      </c>
      <c r="B179" s="30">
        <v>1215</v>
      </c>
      <c r="C179" s="30">
        <v>1210</v>
      </c>
      <c r="D179" s="30"/>
      <c r="E179" s="30">
        <v>1204</v>
      </c>
      <c r="F179" s="30">
        <v>1201</v>
      </c>
      <c r="G179" s="30"/>
      <c r="H179" s="30">
        <v>1194</v>
      </c>
      <c r="I179" s="30">
        <v>1189</v>
      </c>
      <c r="J179" s="30">
        <v>1182</v>
      </c>
      <c r="K179" s="30">
        <v>1179</v>
      </c>
      <c r="L179" s="30"/>
      <c r="M179" s="30">
        <v>1172</v>
      </c>
    </row>
    <row r="180" spans="1:13" ht="24.75" x14ac:dyDescent="0.65">
      <c r="A180" s="113">
        <v>8</v>
      </c>
      <c r="B180" s="30">
        <v>1215</v>
      </c>
      <c r="C180" s="30"/>
      <c r="D180" s="30"/>
      <c r="E180" s="30">
        <v>1204</v>
      </c>
      <c r="F180" s="30">
        <v>1200</v>
      </c>
      <c r="G180" s="30">
        <v>1197</v>
      </c>
      <c r="H180" s="30">
        <v>1194</v>
      </c>
      <c r="I180" s="30"/>
      <c r="J180" s="30">
        <v>1181</v>
      </c>
      <c r="K180" s="30">
        <v>1179</v>
      </c>
      <c r="L180" s="30"/>
      <c r="M180" s="30"/>
    </row>
    <row r="181" spans="1:13" ht="24.75" x14ac:dyDescent="0.65">
      <c r="A181" s="113">
        <v>9</v>
      </c>
      <c r="B181" s="30"/>
      <c r="C181" s="30"/>
      <c r="D181" s="30">
        <v>1210</v>
      </c>
      <c r="E181" s="30"/>
      <c r="F181" s="30"/>
      <c r="G181" s="30">
        <v>1197</v>
      </c>
      <c r="H181" s="30">
        <v>1194</v>
      </c>
      <c r="I181" s="30"/>
      <c r="J181" s="30">
        <v>1181</v>
      </c>
      <c r="K181" s="30">
        <v>1179</v>
      </c>
      <c r="L181" s="30">
        <v>1175</v>
      </c>
      <c r="M181" s="30"/>
    </row>
    <row r="182" spans="1:13" ht="24.75" x14ac:dyDescent="0.65">
      <c r="A182" s="113">
        <v>10</v>
      </c>
      <c r="B182" s="30">
        <v>1215</v>
      </c>
      <c r="C182" s="30">
        <v>1210</v>
      </c>
      <c r="D182" s="30">
        <v>1209</v>
      </c>
      <c r="E182" s="30">
        <v>1204</v>
      </c>
      <c r="F182" s="30"/>
      <c r="G182" s="30">
        <v>1197</v>
      </c>
      <c r="H182" s="30">
        <v>1194</v>
      </c>
      <c r="I182" s="30">
        <v>1188</v>
      </c>
      <c r="J182" s="30">
        <v>1180</v>
      </c>
      <c r="K182" s="30"/>
      <c r="L182" s="30">
        <v>1175</v>
      </c>
      <c r="M182" s="30"/>
    </row>
    <row r="183" spans="1:13" ht="24.75" x14ac:dyDescent="0.65">
      <c r="A183" s="113">
        <v>11</v>
      </c>
      <c r="B183" s="30"/>
      <c r="C183" s="30">
        <v>1210</v>
      </c>
      <c r="D183" s="30">
        <v>1209</v>
      </c>
      <c r="E183" s="30"/>
      <c r="F183" s="30">
        <v>1200</v>
      </c>
      <c r="G183" s="30">
        <v>1197</v>
      </c>
      <c r="H183" s="30"/>
      <c r="I183" s="30">
        <v>1188</v>
      </c>
      <c r="J183" s="30">
        <v>1180</v>
      </c>
      <c r="K183" s="30"/>
      <c r="L183" s="30">
        <v>1175</v>
      </c>
      <c r="M183" s="30"/>
    </row>
    <row r="184" spans="1:13" ht="24.75" x14ac:dyDescent="0.65">
      <c r="A184" s="113">
        <v>12</v>
      </c>
      <c r="B184" s="30"/>
      <c r="C184" s="30">
        <v>1210</v>
      </c>
      <c r="D184" s="30">
        <v>1209</v>
      </c>
      <c r="E184" s="30"/>
      <c r="F184" s="30">
        <v>1200</v>
      </c>
      <c r="G184" s="30">
        <v>1197</v>
      </c>
      <c r="H184" s="30"/>
      <c r="I184" s="30">
        <v>1187</v>
      </c>
      <c r="J184" s="30"/>
      <c r="K184" s="30">
        <v>1179</v>
      </c>
      <c r="L184" s="30">
        <v>1175</v>
      </c>
      <c r="M184" s="30"/>
    </row>
    <row r="185" spans="1:13" ht="24.75" x14ac:dyDescent="0.65">
      <c r="A185" s="113">
        <v>13</v>
      </c>
      <c r="B185" s="30">
        <v>1215</v>
      </c>
      <c r="C185" s="30">
        <v>1210</v>
      </c>
      <c r="D185" s="30">
        <v>1209</v>
      </c>
      <c r="E185" s="30">
        <v>1204</v>
      </c>
      <c r="F185" s="30">
        <v>1200</v>
      </c>
      <c r="G185" s="30"/>
      <c r="H185" s="30">
        <v>1194</v>
      </c>
      <c r="I185" s="30">
        <v>1187</v>
      </c>
      <c r="J185" s="30"/>
      <c r="K185" s="30">
        <v>1179</v>
      </c>
      <c r="L185" s="30">
        <v>1175</v>
      </c>
      <c r="M185" s="30"/>
    </row>
    <row r="186" spans="1:13" ht="24.75" x14ac:dyDescent="0.65">
      <c r="A186" s="113">
        <v>14</v>
      </c>
      <c r="B186" s="30">
        <v>1214</v>
      </c>
      <c r="C186" s="30">
        <v>1210</v>
      </c>
      <c r="D186" s="30"/>
      <c r="E186" s="30">
        <v>1204</v>
      </c>
      <c r="F186" s="30">
        <v>1200</v>
      </c>
      <c r="G186" s="30"/>
      <c r="H186" s="30"/>
      <c r="I186" s="30">
        <v>1187</v>
      </c>
      <c r="J186" s="30">
        <v>1180</v>
      </c>
      <c r="K186" s="30">
        <v>1178</v>
      </c>
      <c r="L186" s="30"/>
      <c r="M186" s="30">
        <v>1172</v>
      </c>
    </row>
    <row r="187" spans="1:13" ht="24.75" x14ac:dyDescent="0.65">
      <c r="A187" s="113">
        <v>15</v>
      </c>
      <c r="B187" s="30">
        <v>1214</v>
      </c>
      <c r="C187" s="30"/>
      <c r="D187" s="30"/>
      <c r="E187" s="30">
        <v>1204</v>
      </c>
      <c r="F187" s="30">
        <v>1199</v>
      </c>
      <c r="G187" s="30">
        <v>1197</v>
      </c>
      <c r="H187" s="30">
        <v>1193</v>
      </c>
      <c r="I187" s="30"/>
      <c r="J187" s="30">
        <v>1180</v>
      </c>
      <c r="K187" s="30">
        <v>1178</v>
      </c>
      <c r="L187" s="30"/>
      <c r="M187" s="30">
        <v>1172</v>
      </c>
    </row>
    <row r="188" spans="1:13" ht="24.75" x14ac:dyDescent="0.65">
      <c r="A188" s="113">
        <v>16</v>
      </c>
      <c r="B188" s="30">
        <v>1214</v>
      </c>
      <c r="C188" s="30"/>
      <c r="D188" s="30">
        <v>1209</v>
      </c>
      <c r="E188" s="30">
        <v>1204</v>
      </c>
      <c r="F188" s="30"/>
      <c r="G188" s="30">
        <v>1197</v>
      </c>
      <c r="H188" s="30">
        <v>1193</v>
      </c>
      <c r="I188" s="30"/>
      <c r="J188" s="30">
        <v>1180</v>
      </c>
      <c r="K188" s="30">
        <v>1178</v>
      </c>
      <c r="L188" s="30">
        <v>1175</v>
      </c>
      <c r="M188" s="30">
        <v>1172</v>
      </c>
    </row>
    <row r="189" spans="1:13" ht="24.75" x14ac:dyDescent="0.65">
      <c r="A189" s="113">
        <v>17</v>
      </c>
      <c r="B189" s="30">
        <v>1214</v>
      </c>
      <c r="C189" s="30">
        <v>1210</v>
      </c>
      <c r="D189" s="30">
        <v>1208</v>
      </c>
      <c r="E189" s="30">
        <v>1204</v>
      </c>
      <c r="F189" s="30"/>
      <c r="G189" s="30">
        <v>1197</v>
      </c>
      <c r="H189" s="30">
        <v>1193</v>
      </c>
      <c r="I189" s="30">
        <v>1187</v>
      </c>
      <c r="J189" s="30">
        <v>1180</v>
      </c>
      <c r="K189" s="30"/>
      <c r="L189" s="30">
        <v>1175</v>
      </c>
      <c r="M189" s="30">
        <v>1172</v>
      </c>
    </row>
    <row r="190" spans="1:13" ht="24.75" x14ac:dyDescent="0.65">
      <c r="A190" s="113">
        <v>18</v>
      </c>
      <c r="B190" s="30"/>
      <c r="C190" s="30">
        <v>1210</v>
      </c>
      <c r="D190" s="30">
        <v>1208</v>
      </c>
      <c r="E190" s="30"/>
      <c r="F190" s="30">
        <v>1199</v>
      </c>
      <c r="G190" s="30">
        <v>1197</v>
      </c>
      <c r="H190" s="30"/>
      <c r="I190" s="30">
        <v>1187</v>
      </c>
      <c r="J190" s="30">
        <v>1180</v>
      </c>
      <c r="K190" s="30"/>
      <c r="L190" s="30">
        <v>1175</v>
      </c>
      <c r="M190" s="30">
        <v>1172</v>
      </c>
    </row>
    <row r="191" spans="1:13" ht="24.75" x14ac:dyDescent="0.65">
      <c r="A191" s="113">
        <v>19</v>
      </c>
      <c r="B191" s="30"/>
      <c r="C191" s="30">
        <v>1210</v>
      </c>
      <c r="D191" s="30">
        <v>1208</v>
      </c>
      <c r="E191" s="30"/>
      <c r="F191" s="30">
        <v>1199</v>
      </c>
      <c r="G191" s="30">
        <v>1197</v>
      </c>
      <c r="H191" s="30"/>
      <c r="I191" s="30">
        <v>1187</v>
      </c>
      <c r="J191" s="30"/>
      <c r="K191" s="30">
        <v>1177</v>
      </c>
      <c r="L191" s="30">
        <v>1175</v>
      </c>
      <c r="M191" s="30"/>
    </row>
    <row r="192" spans="1:13" ht="24.75" x14ac:dyDescent="0.65">
      <c r="A192" s="113">
        <v>20</v>
      </c>
      <c r="B192" s="30">
        <v>1214</v>
      </c>
      <c r="C192" s="30">
        <v>1210</v>
      </c>
      <c r="D192" s="30"/>
      <c r="E192" s="30">
        <v>1204</v>
      </c>
      <c r="F192" s="30">
        <v>1199</v>
      </c>
      <c r="G192" s="30"/>
      <c r="H192" s="30">
        <v>1193</v>
      </c>
      <c r="I192" s="30">
        <v>1187</v>
      </c>
      <c r="J192" s="30"/>
      <c r="K192" s="30">
        <v>1177</v>
      </c>
      <c r="L192" s="30">
        <v>1175</v>
      </c>
      <c r="M192" s="30"/>
    </row>
    <row r="193" spans="1:22" ht="24.75" x14ac:dyDescent="0.65">
      <c r="A193" s="113">
        <v>21</v>
      </c>
      <c r="B193" s="30">
        <v>1213</v>
      </c>
      <c r="C193" s="30">
        <v>1210</v>
      </c>
      <c r="D193" s="30"/>
      <c r="E193" s="30">
        <v>1202</v>
      </c>
      <c r="F193" s="30">
        <v>1199</v>
      </c>
      <c r="G193" s="30"/>
      <c r="H193" s="30">
        <v>1192</v>
      </c>
      <c r="I193" s="30">
        <v>1187</v>
      </c>
      <c r="J193" s="30">
        <v>1180</v>
      </c>
      <c r="K193" s="30">
        <v>1177</v>
      </c>
      <c r="L193" s="30"/>
      <c r="M193" s="30">
        <v>1172</v>
      </c>
    </row>
    <row r="194" spans="1:22" ht="24.75" x14ac:dyDescent="0.65">
      <c r="A194" s="113">
        <v>22</v>
      </c>
      <c r="B194" s="30">
        <v>1213</v>
      </c>
      <c r="C194" s="30"/>
      <c r="D194" s="30"/>
      <c r="E194" s="30">
        <v>1202</v>
      </c>
      <c r="F194" s="30">
        <v>1199</v>
      </c>
      <c r="G194" s="30">
        <v>1196</v>
      </c>
      <c r="H194" s="30">
        <v>1192</v>
      </c>
      <c r="I194" s="30"/>
      <c r="J194" s="30">
        <v>1179</v>
      </c>
      <c r="K194" s="30">
        <v>1177</v>
      </c>
      <c r="L194" s="30"/>
      <c r="M194" s="30">
        <v>1172</v>
      </c>
    </row>
    <row r="195" spans="1:22" ht="24.75" x14ac:dyDescent="0.65">
      <c r="A195" s="113">
        <v>23</v>
      </c>
      <c r="B195" s="30">
        <v>1213</v>
      </c>
      <c r="C195" s="30"/>
      <c r="D195" s="30">
        <v>1207</v>
      </c>
      <c r="E195" s="30">
        <v>1202</v>
      </c>
      <c r="F195" s="30"/>
      <c r="G195" s="30">
        <v>1196</v>
      </c>
      <c r="H195" s="30">
        <v>1192</v>
      </c>
      <c r="I195" s="30"/>
      <c r="J195" s="30">
        <v>1179</v>
      </c>
      <c r="K195" s="30">
        <v>1177</v>
      </c>
      <c r="L195" s="30">
        <v>1174</v>
      </c>
      <c r="M195" s="30">
        <v>1172</v>
      </c>
    </row>
    <row r="196" spans="1:22" ht="24.75" x14ac:dyDescent="0.65">
      <c r="A196" s="113">
        <v>24</v>
      </c>
      <c r="B196" s="30">
        <v>1213</v>
      </c>
      <c r="C196" s="30">
        <v>1210</v>
      </c>
      <c r="D196" s="30">
        <v>1207</v>
      </c>
      <c r="E196" s="30">
        <v>1202</v>
      </c>
      <c r="F196" s="30"/>
      <c r="G196" s="30">
        <v>1196</v>
      </c>
      <c r="H196" s="30">
        <v>1192</v>
      </c>
      <c r="I196" s="30">
        <v>1186</v>
      </c>
      <c r="J196" s="30">
        <v>1179</v>
      </c>
      <c r="K196" s="30"/>
      <c r="L196" s="30">
        <v>1174</v>
      </c>
      <c r="M196" s="30">
        <v>1172</v>
      </c>
    </row>
    <row r="197" spans="1:22" ht="24.75" x14ac:dyDescent="0.65">
      <c r="A197" s="113">
        <v>25</v>
      </c>
      <c r="B197" s="30"/>
      <c r="C197" s="30">
        <v>1210</v>
      </c>
      <c r="D197" s="30">
        <v>1207</v>
      </c>
      <c r="E197" s="30"/>
      <c r="F197" s="30">
        <v>1199</v>
      </c>
      <c r="G197" s="30">
        <v>1196</v>
      </c>
      <c r="H197" s="30"/>
      <c r="I197" s="30">
        <v>1185</v>
      </c>
      <c r="J197" s="30">
        <v>1179</v>
      </c>
      <c r="K197" s="30"/>
      <c r="L197" s="30">
        <v>1174</v>
      </c>
      <c r="M197" s="30"/>
    </row>
    <row r="198" spans="1:22" ht="24.75" x14ac:dyDescent="0.65">
      <c r="A198" s="113">
        <v>26</v>
      </c>
      <c r="B198" s="30"/>
      <c r="C198" s="30">
        <v>1210</v>
      </c>
      <c r="D198" s="30">
        <v>1207</v>
      </c>
      <c r="E198" s="30"/>
      <c r="F198" s="30">
        <v>1198</v>
      </c>
      <c r="G198" s="30">
        <v>1196</v>
      </c>
      <c r="H198" s="30"/>
      <c r="I198" s="30">
        <v>1185</v>
      </c>
      <c r="J198" s="30"/>
      <c r="K198" s="30">
        <v>1176</v>
      </c>
      <c r="L198" s="30">
        <v>1174</v>
      </c>
      <c r="M198" s="30"/>
    </row>
    <row r="199" spans="1:22" ht="24.75" x14ac:dyDescent="0.65">
      <c r="A199" s="113">
        <v>27</v>
      </c>
      <c r="B199" s="30">
        <v>1213</v>
      </c>
      <c r="C199" s="30">
        <v>1210</v>
      </c>
      <c r="D199" s="30">
        <v>1206</v>
      </c>
      <c r="E199" s="30">
        <v>1202</v>
      </c>
      <c r="F199" s="30">
        <v>1198</v>
      </c>
      <c r="G199" s="30"/>
      <c r="H199" s="30">
        <v>1192</v>
      </c>
      <c r="I199" s="30">
        <v>1184</v>
      </c>
      <c r="J199" s="30"/>
      <c r="K199" s="30">
        <v>1176</v>
      </c>
      <c r="L199" s="30">
        <v>1174</v>
      </c>
      <c r="M199" s="30"/>
    </row>
    <row r="200" spans="1:22" ht="24.75" x14ac:dyDescent="0.65">
      <c r="A200" s="113">
        <v>28</v>
      </c>
      <c r="B200" s="30"/>
      <c r="C200" s="30">
        <v>1210</v>
      </c>
      <c r="D200" s="30"/>
      <c r="E200" s="30">
        <v>1202</v>
      </c>
      <c r="F200" s="30">
        <v>1198</v>
      </c>
      <c r="G200" s="30"/>
      <c r="H200" s="30">
        <v>1191</v>
      </c>
      <c r="I200" s="30">
        <v>1184</v>
      </c>
      <c r="J200" s="30">
        <v>1179</v>
      </c>
      <c r="K200" s="30">
        <v>1176</v>
      </c>
      <c r="L200" s="30"/>
      <c r="M200" s="30">
        <v>1172</v>
      </c>
    </row>
    <row r="201" spans="1:22" ht="24.75" x14ac:dyDescent="0.65">
      <c r="A201" s="113">
        <v>29</v>
      </c>
      <c r="B201" s="30">
        <v>1212</v>
      </c>
      <c r="C201" s="30"/>
      <c r="D201" s="30"/>
      <c r="E201" s="30">
        <v>1202</v>
      </c>
      <c r="F201" s="30">
        <v>1198</v>
      </c>
      <c r="G201" s="30">
        <v>1196</v>
      </c>
      <c r="H201" s="30"/>
      <c r="I201" s="30"/>
      <c r="J201" s="30">
        <v>1179</v>
      </c>
      <c r="K201" s="30">
        <v>1176</v>
      </c>
      <c r="L201" s="30"/>
      <c r="M201" s="30"/>
    </row>
    <row r="202" spans="1:22" ht="24.75" x14ac:dyDescent="0.65">
      <c r="A202" s="113">
        <v>30</v>
      </c>
      <c r="B202" s="30">
        <v>1212</v>
      </c>
      <c r="C202" s="30"/>
      <c r="D202" s="30"/>
      <c r="E202" s="30">
        <v>1202</v>
      </c>
      <c r="F202" s="30"/>
      <c r="G202" s="30">
        <v>1195</v>
      </c>
      <c r="H202" s="30">
        <v>1191</v>
      </c>
      <c r="I202" s="30"/>
      <c r="J202" s="30"/>
      <c r="K202" s="30">
        <v>1176</v>
      </c>
      <c r="L202" s="30">
        <v>1173</v>
      </c>
      <c r="M202" s="30">
        <v>1172</v>
      </c>
    </row>
    <row r="203" spans="1:22" ht="25.5" thickBot="1" x14ac:dyDescent="0.7">
      <c r="A203" s="114">
        <v>31</v>
      </c>
      <c r="B203" s="30">
        <v>1212</v>
      </c>
      <c r="C203" s="30"/>
      <c r="D203" s="30">
        <v>1206</v>
      </c>
      <c r="E203" s="30"/>
      <c r="F203" s="30"/>
      <c r="G203" s="30"/>
      <c r="H203" s="30">
        <v>1191</v>
      </c>
      <c r="I203" s="30">
        <v>1183</v>
      </c>
      <c r="J203" s="30"/>
      <c r="K203" s="30"/>
      <c r="L203" s="30"/>
      <c r="M203" s="30">
        <v>1172</v>
      </c>
    </row>
    <row r="204" spans="1:22" ht="23.25" customHeight="1" thickBot="1" x14ac:dyDescent="0.7">
      <c r="A204" s="195" t="s">
        <v>15</v>
      </c>
      <c r="B204" s="197">
        <f>AVERAGE(B173:B203)</f>
        <v>1213.6666666666667</v>
      </c>
      <c r="C204" s="197">
        <f t="shared" ref="C204:F204" si="36">AVERAGE(C173:C203)</f>
        <v>1210.2</v>
      </c>
      <c r="D204" s="197">
        <f t="shared" si="36"/>
        <v>1208.45</v>
      </c>
      <c r="E204" s="197">
        <f t="shared" si="36"/>
        <v>1203.4285714285713</v>
      </c>
      <c r="F204" s="197">
        <f t="shared" si="36"/>
        <v>1199.5</v>
      </c>
      <c r="G204" s="197">
        <f t="shared" ref="G204" si="37">AVERAGE(G173:G203)</f>
        <v>1196.6818181818182</v>
      </c>
      <c r="H204" s="197">
        <f t="shared" ref="H204" si="38">AVERAGE(H173:H203)</f>
        <v>1193.0952380952381</v>
      </c>
      <c r="I204" s="197">
        <f t="shared" ref="I204" si="39">AVERAGE(I173:I203)</f>
        <v>1186.952380952381</v>
      </c>
      <c r="J204" s="197">
        <f t="shared" ref="J204" si="40">AVERAGE(J173:J203)</f>
        <v>1180.3333333333333</v>
      </c>
      <c r="K204" s="197">
        <f t="shared" ref="K204" si="41">AVERAGE(K173:K203)</f>
        <v>1177.5263157894738</v>
      </c>
      <c r="L204" s="197">
        <f t="shared" ref="L204:M204" si="42">AVERAGE(L173:L203)</f>
        <v>1174.9047619047619</v>
      </c>
      <c r="M204" s="197">
        <f t="shared" si="42"/>
        <v>1172.1764705882354</v>
      </c>
    </row>
    <row r="205" spans="1:22" s="23" customFormat="1" ht="25.5" thickBot="1" x14ac:dyDescent="0.7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20"/>
      <c r="L205" s="20"/>
      <c r="M205" s="20"/>
      <c r="N205" s="21"/>
      <c r="O205" s="22"/>
      <c r="P205" s="22"/>
      <c r="Q205" s="22"/>
      <c r="R205" s="22"/>
      <c r="S205" s="22"/>
      <c r="T205" s="22"/>
      <c r="U205" s="22"/>
      <c r="V205" s="22"/>
    </row>
    <row r="206" spans="1:22" ht="25.5" thickBot="1" x14ac:dyDescent="0.7">
      <c r="A206" s="64" t="s">
        <v>50</v>
      </c>
      <c r="B206" s="29" t="s">
        <v>3</v>
      </c>
      <c r="C206" s="29" t="s">
        <v>4</v>
      </c>
      <c r="D206" s="29" t="s">
        <v>5</v>
      </c>
      <c r="E206" s="29" t="s">
        <v>6</v>
      </c>
      <c r="F206" s="29" t="s">
        <v>7</v>
      </c>
      <c r="G206" s="29" t="s">
        <v>41</v>
      </c>
      <c r="H206" s="29" t="s">
        <v>42</v>
      </c>
      <c r="I206" s="29" t="s">
        <v>10</v>
      </c>
      <c r="J206" s="29" t="s">
        <v>11</v>
      </c>
      <c r="K206" s="29" t="s">
        <v>12</v>
      </c>
      <c r="L206" s="29" t="s">
        <v>21</v>
      </c>
      <c r="M206" s="29" t="s">
        <v>14</v>
      </c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24.75" x14ac:dyDescent="0.65">
      <c r="A207" s="112">
        <v>1</v>
      </c>
      <c r="B207" s="30"/>
      <c r="C207" s="30"/>
      <c r="D207" s="30">
        <v>1170</v>
      </c>
      <c r="E207" s="30">
        <v>1170</v>
      </c>
      <c r="F207" s="30"/>
      <c r="G207" s="30">
        <v>1170</v>
      </c>
      <c r="H207" s="30">
        <v>1170</v>
      </c>
      <c r="I207" s="30"/>
      <c r="J207" s="30">
        <v>1170</v>
      </c>
      <c r="K207" s="30">
        <v>1170</v>
      </c>
      <c r="L207" s="30">
        <v>1170</v>
      </c>
      <c r="M207" s="30"/>
    </row>
    <row r="208" spans="1:22" ht="24.75" x14ac:dyDescent="0.65">
      <c r="A208" s="113">
        <v>2</v>
      </c>
      <c r="B208" s="30"/>
      <c r="C208" s="30">
        <v>1170</v>
      </c>
      <c r="D208" s="30">
        <v>1170</v>
      </c>
      <c r="E208" s="30">
        <v>1170</v>
      </c>
      <c r="F208" s="30"/>
      <c r="G208" s="30">
        <v>1170</v>
      </c>
      <c r="H208" s="30">
        <v>1170</v>
      </c>
      <c r="I208" s="30">
        <v>1170</v>
      </c>
      <c r="J208" s="30">
        <v>1170</v>
      </c>
      <c r="K208" s="30"/>
      <c r="L208" s="30">
        <v>1170</v>
      </c>
      <c r="M208" s="30">
        <v>1170</v>
      </c>
    </row>
    <row r="209" spans="1:13" ht="24.75" x14ac:dyDescent="0.65">
      <c r="A209" s="113">
        <v>3</v>
      </c>
      <c r="B209" s="30"/>
      <c r="C209" s="30">
        <v>1170</v>
      </c>
      <c r="D209" s="30">
        <v>1170</v>
      </c>
      <c r="E209" s="30"/>
      <c r="F209" s="30">
        <v>1170</v>
      </c>
      <c r="G209" s="30">
        <v>1170</v>
      </c>
      <c r="H209" s="30"/>
      <c r="I209" s="30">
        <v>1170</v>
      </c>
      <c r="J209" s="30">
        <v>1170</v>
      </c>
      <c r="K209" s="30"/>
      <c r="L209" s="30">
        <v>1170</v>
      </c>
      <c r="M209" s="30">
        <v>1170</v>
      </c>
    </row>
    <row r="210" spans="1:13" ht="24.75" x14ac:dyDescent="0.65">
      <c r="A210" s="113">
        <v>4</v>
      </c>
      <c r="B210" s="30"/>
      <c r="C210" s="30">
        <v>1170</v>
      </c>
      <c r="D210" s="30">
        <v>1170</v>
      </c>
      <c r="E210" s="30"/>
      <c r="F210" s="30">
        <v>1170</v>
      </c>
      <c r="G210" s="30">
        <v>1170</v>
      </c>
      <c r="H210" s="30"/>
      <c r="I210" s="30">
        <v>1170</v>
      </c>
      <c r="J210" s="30"/>
      <c r="K210" s="30">
        <v>1170</v>
      </c>
      <c r="L210" s="30">
        <v>1170</v>
      </c>
      <c r="M210" s="30"/>
    </row>
    <row r="211" spans="1:13" ht="24.75" x14ac:dyDescent="0.65">
      <c r="A211" s="113">
        <v>5</v>
      </c>
      <c r="B211" s="30">
        <v>1171</v>
      </c>
      <c r="C211" s="30">
        <v>1170</v>
      </c>
      <c r="D211" s="30">
        <v>1170</v>
      </c>
      <c r="E211" s="30">
        <v>1170</v>
      </c>
      <c r="F211" s="30">
        <v>1170</v>
      </c>
      <c r="G211" s="30"/>
      <c r="H211" s="30">
        <v>1170</v>
      </c>
      <c r="I211" s="30">
        <v>1170</v>
      </c>
      <c r="J211" s="30"/>
      <c r="K211" s="30">
        <v>1170</v>
      </c>
      <c r="L211" s="30">
        <v>1170</v>
      </c>
      <c r="M211" s="30"/>
    </row>
    <row r="212" spans="1:13" ht="24.75" x14ac:dyDescent="0.65">
      <c r="A212" s="113">
        <v>6</v>
      </c>
      <c r="B212" s="30"/>
      <c r="C212" s="30"/>
      <c r="D212" s="30"/>
      <c r="E212" s="30">
        <v>1170</v>
      </c>
      <c r="F212" s="30">
        <v>1170</v>
      </c>
      <c r="G212" s="30"/>
      <c r="H212" s="30">
        <v>1170</v>
      </c>
      <c r="I212" s="30">
        <v>1170</v>
      </c>
      <c r="J212" s="30">
        <v>1170</v>
      </c>
      <c r="K212" s="30">
        <v>1170</v>
      </c>
      <c r="L212" s="30"/>
      <c r="M212" s="30">
        <v>1170</v>
      </c>
    </row>
    <row r="213" spans="1:13" ht="24.75" x14ac:dyDescent="0.65">
      <c r="A213" s="113">
        <v>7</v>
      </c>
      <c r="B213" s="30"/>
      <c r="C213" s="30"/>
      <c r="D213" s="30"/>
      <c r="E213" s="30">
        <v>1170</v>
      </c>
      <c r="F213" s="30">
        <v>1170</v>
      </c>
      <c r="G213" s="30">
        <v>1170</v>
      </c>
      <c r="H213" s="30">
        <v>1170</v>
      </c>
      <c r="I213" s="30"/>
      <c r="J213" s="30">
        <v>1170</v>
      </c>
      <c r="K213" s="30">
        <v>1170</v>
      </c>
      <c r="L213" s="30"/>
      <c r="M213" s="30">
        <v>1170</v>
      </c>
    </row>
    <row r="214" spans="1:13" ht="24.75" x14ac:dyDescent="0.65">
      <c r="A214" s="113">
        <v>8</v>
      </c>
      <c r="B214" s="30">
        <v>1171</v>
      </c>
      <c r="C214" s="30">
        <v>1170</v>
      </c>
      <c r="D214" s="30">
        <v>1170</v>
      </c>
      <c r="E214" s="30">
        <v>1170</v>
      </c>
      <c r="F214" s="30"/>
      <c r="G214" s="30">
        <v>1170</v>
      </c>
      <c r="H214" s="30">
        <v>1170</v>
      </c>
      <c r="I214" s="30"/>
      <c r="J214" s="30">
        <v>1170</v>
      </c>
      <c r="K214" s="30">
        <v>1170</v>
      </c>
      <c r="L214" s="30">
        <v>1170</v>
      </c>
      <c r="M214" s="30">
        <v>1170</v>
      </c>
    </row>
    <row r="215" spans="1:13" ht="24.75" x14ac:dyDescent="0.65">
      <c r="A215" s="113">
        <v>9</v>
      </c>
      <c r="B215" s="30"/>
      <c r="C215" s="30">
        <v>1170</v>
      </c>
      <c r="D215" s="30"/>
      <c r="E215" s="30">
        <v>1170</v>
      </c>
      <c r="F215" s="30"/>
      <c r="G215" s="30">
        <v>1170</v>
      </c>
      <c r="H215" s="30">
        <v>1170</v>
      </c>
      <c r="I215" s="30">
        <v>1170</v>
      </c>
      <c r="J215" s="30">
        <v>1170</v>
      </c>
      <c r="K215" s="30"/>
      <c r="L215" s="30">
        <v>1170</v>
      </c>
      <c r="M215" s="30">
        <v>1170</v>
      </c>
    </row>
    <row r="216" spans="1:13" ht="24.75" x14ac:dyDescent="0.65">
      <c r="A216" s="113">
        <v>10</v>
      </c>
      <c r="B216" s="30"/>
      <c r="C216" s="30">
        <v>1170</v>
      </c>
      <c r="D216" s="30">
        <v>1170</v>
      </c>
      <c r="E216" s="30"/>
      <c r="F216" s="30">
        <v>1170</v>
      </c>
      <c r="G216" s="30">
        <v>1170</v>
      </c>
      <c r="H216" s="30"/>
      <c r="I216" s="30">
        <v>1170</v>
      </c>
      <c r="J216" s="30">
        <v>1170</v>
      </c>
      <c r="K216" s="30"/>
      <c r="L216" s="30">
        <v>1170</v>
      </c>
      <c r="M216" s="30">
        <v>1170</v>
      </c>
    </row>
    <row r="217" spans="1:13" ht="24.75" x14ac:dyDescent="0.65">
      <c r="A217" s="113">
        <v>11</v>
      </c>
      <c r="B217" s="30">
        <v>1171</v>
      </c>
      <c r="C217" s="30">
        <v>1170</v>
      </c>
      <c r="D217" s="30">
        <v>1170</v>
      </c>
      <c r="E217" s="30"/>
      <c r="F217" s="30">
        <v>1170</v>
      </c>
      <c r="G217" s="30">
        <v>1170</v>
      </c>
      <c r="H217" s="30"/>
      <c r="I217" s="30">
        <v>1170</v>
      </c>
      <c r="J217" s="30"/>
      <c r="K217" s="30">
        <v>1170</v>
      </c>
      <c r="L217" s="30">
        <v>1170</v>
      </c>
      <c r="M217" s="30"/>
    </row>
    <row r="218" spans="1:13" ht="24.75" x14ac:dyDescent="0.65">
      <c r="A218" s="113">
        <v>12</v>
      </c>
      <c r="B218" s="30">
        <v>1171</v>
      </c>
      <c r="C218" s="30">
        <v>1170</v>
      </c>
      <c r="D218" s="30">
        <v>1170</v>
      </c>
      <c r="E218" s="30">
        <v>1170</v>
      </c>
      <c r="F218" s="30">
        <v>1170</v>
      </c>
      <c r="G218" s="30"/>
      <c r="H218" s="30">
        <v>1170</v>
      </c>
      <c r="I218" s="30">
        <v>1170</v>
      </c>
      <c r="J218" s="30"/>
      <c r="K218" s="30">
        <v>1170</v>
      </c>
      <c r="L218" s="30">
        <v>1170</v>
      </c>
      <c r="M218" s="30"/>
    </row>
    <row r="219" spans="1:13" ht="24.75" x14ac:dyDescent="0.65">
      <c r="A219" s="113">
        <v>13</v>
      </c>
      <c r="B219" s="30">
        <v>1171</v>
      </c>
      <c r="C219" s="30"/>
      <c r="D219" s="30"/>
      <c r="E219" s="30">
        <v>1170</v>
      </c>
      <c r="F219" s="30">
        <v>1170</v>
      </c>
      <c r="G219" s="30"/>
      <c r="H219" s="30">
        <v>1170</v>
      </c>
      <c r="I219" s="30">
        <v>1170</v>
      </c>
      <c r="J219" s="30">
        <v>1170</v>
      </c>
      <c r="K219" s="30">
        <v>1170</v>
      </c>
      <c r="L219" s="30"/>
      <c r="M219" s="30">
        <v>1170</v>
      </c>
    </row>
    <row r="220" spans="1:13" ht="24.75" x14ac:dyDescent="0.65">
      <c r="A220" s="113">
        <v>14</v>
      </c>
      <c r="B220" s="30">
        <v>1171</v>
      </c>
      <c r="C220" s="30"/>
      <c r="D220" s="30"/>
      <c r="E220" s="30">
        <v>1170</v>
      </c>
      <c r="F220" s="30">
        <v>1170</v>
      </c>
      <c r="G220" s="30">
        <v>1170</v>
      </c>
      <c r="H220" s="30"/>
      <c r="I220" s="30"/>
      <c r="J220" s="30">
        <v>1170</v>
      </c>
      <c r="K220" s="30">
        <v>1170</v>
      </c>
      <c r="L220" s="30"/>
      <c r="M220" s="30">
        <v>1170</v>
      </c>
    </row>
    <row r="221" spans="1:13" ht="24.75" x14ac:dyDescent="0.65">
      <c r="A221" s="113">
        <v>15</v>
      </c>
      <c r="B221" s="30">
        <v>1171</v>
      </c>
      <c r="C221" s="30">
        <v>1170</v>
      </c>
      <c r="D221" s="30">
        <v>1170</v>
      </c>
      <c r="E221" s="30">
        <v>1170</v>
      </c>
      <c r="F221" s="30"/>
      <c r="G221" s="30">
        <v>1170</v>
      </c>
      <c r="H221" s="30">
        <v>1170</v>
      </c>
      <c r="I221" s="30"/>
      <c r="J221" s="30">
        <v>1170</v>
      </c>
      <c r="K221" s="30">
        <v>1170</v>
      </c>
      <c r="L221" s="30">
        <v>1170</v>
      </c>
      <c r="M221" s="30">
        <v>1170</v>
      </c>
    </row>
    <row r="222" spans="1:13" ht="24.75" x14ac:dyDescent="0.65">
      <c r="A222" s="113">
        <v>16</v>
      </c>
      <c r="B222" s="30"/>
      <c r="C222" s="30">
        <v>1170</v>
      </c>
      <c r="D222" s="30">
        <v>1170</v>
      </c>
      <c r="E222" s="30">
        <v>1170</v>
      </c>
      <c r="F222" s="30"/>
      <c r="G222" s="30">
        <v>1170</v>
      </c>
      <c r="H222" s="30">
        <v>1170</v>
      </c>
      <c r="I222" s="30">
        <v>1170</v>
      </c>
      <c r="J222" s="30">
        <v>1170</v>
      </c>
      <c r="K222" s="30"/>
      <c r="L222" s="30">
        <v>1170</v>
      </c>
      <c r="M222" s="30">
        <v>1170</v>
      </c>
    </row>
    <row r="223" spans="1:13" ht="24.75" x14ac:dyDescent="0.65">
      <c r="A223" s="113">
        <v>17</v>
      </c>
      <c r="B223" s="30"/>
      <c r="C223" s="30">
        <v>1170</v>
      </c>
      <c r="D223" s="30">
        <v>1170</v>
      </c>
      <c r="E223" s="30"/>
      <c r="F223" s="30">
        <v>1170</v>
      </c>
      <c r="G223" s="30">
        <v>1170</v>
      </c>
      <c r="H223" s="30"/>
      <c r="I223" s="30">
        <v>1170</v>
      </c>
      <c r="J223" s="30">
        <v>1170</v>
      </c>
      <c r="K223" s="30"/>
      <c r="L223" s="30">
        <v>1170</v>
      </c>
      <c r="M223" s="30">
        <v>1170</v>
      </c>
    </row>
    <row r="224" spans="1:13" ht="24.75" x14ac:dyDescent="0.65">
      <c r="A224" s="113">
        <v>18</v>
      </c>
      <c r="B224" s="30">
        <v>1170</v>
      </c>
      <c r="C224" s="30">
        <v>1170</v>
      </c>
      <c r="D224" s="30">
        <v>1170</v>
      </c>
      <c r="E224" s="30"/>
      <c r="F224" s="30">
        <v>1170</v>
      </c>
      <c r="G224" s="30">
        <v>1170</v>
      </c>
      <c r="H224" s="30"/>
      <c r="I224" s="30">
        <v>1170</v>
      </c>
      <c r="J224" s="30"/>
      <c r="K224" s="30">
        <v>1170</v>
      </c>
      <c r="L224" s="30">
        <v>1170</v>
      </c>
      <c r="M224" s="30"/>
    </row>
    <row r="225" spans="1:22" ht="24.75" x14ac:dyDescent="0.65">
      <c r="A225" s="113">
        <v>19</v>
      </c>
      <c r="B225" s="30">
        <v>1170</v>
      </c>
      <c r="C225" s="30">
        <v>1170</v>
      </c>
      <c r="D225" s="30">
        <v>1170</v>
      </c>
      <c r="E225" s="30">
        <v>1170</v>
      </c>
      <c r="F225" s="30">
        <v>1170</v>
      </c>
      <c r="G225" s="30"/>
      <c r="H225" s="30">
        <v>1170</v>
      </c>
      <c r="I225" s="30">
        <v>1170</v>
      </c>
      <c r="J225" s="30"/>
      <c r="K225" s="30">
        <v>1170</v>
      </c>
      <c r="L225" s="30">
        <v>1170</v>
      </c>
      <c r="M225" s="30"/>
    </row>
    <row r="226" spans="1:22" ht="24.75" x14ac:dyDescent="0.65">
      <c r="A226" s="113">
        <v>20</v>
      </c>
      <c r="B226" s="30">
        <v>1170</v>
      </c>
      <c r="C226" s="30"/>
      <c r="D226" s="30"/>
      <c r="E226" s="30">
        <v>1170</v>
      </c>
      <c r="F226" s="30">
        <v>1170</v>
      </c>
      <c r="G226" s="30"/>
      <c r="H226" s="30">
        <v>1170</v>
      </c>
      <c r="I226" s="30">
        <v>1170</v>
      </c>
      <c r="J226" s="30"/>
      <c r="K226" s="30">
        <v>1170</v>
      </c>
      <c r="L226" s="30"/>
      <c r="M226" s="30">
        <v>1170</v>
      </c>
    </row>
    <row r="227" spans="1:22" ht="24.75" x14ac:dyDescent="0.65">
      <c r="A227" s="113">
        <v>21</v>
      </c>
      <c r="B227" s="30">
        <v>1170</v>
      </c>
      <c r="C227" s="30"/>
      <c r="D227" s="30"/>
      <c r="E227" s="30">
        <v>1170</v>
      </c>
      <c r="F227" s="30">
        <v>1170</v>
      </c>
      <c r="G227" s="30">
        <v>1170</v>
      </c>
      <c r="H227" s="30">
        <v>1170</v>
      </c>
      <c r="I227" s="30"/>
      <c r="J227" s="30"/>
      <c r="K227" s="30">
        <v>1170</v>
      </c>
      <c r="L227" s="30"/>
      <c r="M227" s="30">
        <v>1170</v>
      </c>
    </row>
    <row r="228" spans="1:22" ht="24.75" x14ac:dyDescent="0.65">
      <c r="A228" s="113">
        <v>22</v>
      </c>
      <c r="B228" s="30">
        <v>1170</v>
      </c>
      <c r="C228" s="30">
        <v>1170</v>
      </c>
      <c r="D228" s="30">
        <v>1170</v>
      </c>
      <c r="E228" s="30">
        <v>1170</v>
      </c>
      <c r="F228" s="30"/>
      <c r="G228" s="30">
        <v>1170</v>
      </c>
      <c r="H228" s="30">
        <v>1170</v>
      </c>
      <c r="I228" s="30"/>
      <c r="J228" s="30"/>
      <c r="K228" s="30">
        <v>1170</v>
      </c>
      <c r="L228" s="30">
        <v>1170</v>
      </c>
      <c r="M228" s="30">
        <v>1170</v>
      </c>
    </row>
    <row r="229" spans="1:22" ht="24.75" x14ac:dyDescent="0.65">
      <c r="A229" s="113">
        <v>23</v>
      </c>
      <c r="B229" s="30"/>
      <c r="C229" s="30">
        <v>1170</v>
      </c>
      <c r="D229" s="30">
        <v>1170</v>
      </c>
      <c r="E229" s="30">
        <v>1170</v>
      </c>
      <c r="F229" s="30"/>
      <c r="G229" s="30">
        <v>1170</v>
      </c>
      <c r="H229" s="30">
        <v>1170</v>
      </c>
      <c r="I229" s="30">
        <v>1170</v>
      </c>
      <c r="J229" s="30"/>
      <c r="K229" s="30"/>
      <c r="L229" s="30">
        <v>1170</v>
      </c>
      <c r="M229" s="30">
        <v>1170</v>
      </c>
    </row>
    <row r="230" spans="1:22" ht="24.75" x14ac:dyDescent="0.65">
      <c r="A230" s="113">
        <v>24</v>
      </c>
      <c r="B230" s="30"/>
      <c r="C230" s="30">
        <v>1170</v>
      </c>
      <c r="D230" s="30">
        <v>1170</v>
      </c>
      <c r="E230" s="30"/>
      <c r="F230" s="30">
        <v>1170</v>
      </c>
      <c r="G230" s="30">
        <v>1170</v>
      </c>
      <c r="H230" s="30"/>
      <c r="I230" s="30">
        <v>1170</v>
      </c>
      <c r="J230" s="30">
        <v>1170</v>
      </c>
      <c r="K230" s="30"/>
      <c r="L230" s="30">
        <v>1170</v>
      </c>
      <c r="M230" s="30">
        <v>1170</v>
      </c>
    </row>
    <row r="231" spans="1:22" ht="24.75" x14ac:dyDescent="0.65">
      <c r="A231" s="113">
        <v>25</v>
      </c>
      <c r="B231" s="30">
        <v>1170</v>
      </c>
      <c r="C231" s="30">
        <v>1170</v>
      </c>
      <c r="D231" s="30">
        <v>1170</v>
      </c>
      <c r="E231" s="30"/>
      <c r="F231" s="30">
        <v>1170</v>
      </c>
      <c r="G231" s="30">
        <v>1170</v>
      </c>
      <c r="H231" s="30"/>
      <c r="I231" s="30">
        <v>1170</v>
      </c>
      <c r="J231" s="30"/>
      <c r="K231" s="30">
        <v>1170</v>
      </c>
      <c r="L231" s="30">
        <v>1170</v>
      </c>
      <c r="M231" s="30"/>
    </row>
    <row r="232" spans="1:22" ht="24.75" x14ac:dyDescent="0.65">
      <c r="A232" s="113">
        <v>26</v>
      </c>
      <c r="B232" s="30">
        <v>1170</v>
      </c>
      <c r="C232" s="30">
        <v>1170</v>
      </c>
      <c r="D232" s="30">
        <v>1170</v>
      </c>
      <c r="E232" s="30">
        <v>1170</v>
      </c>
      <c r="F232" s="30">
        <v>1170</v>
      </c>
      <c r="G232" s="30"/>
      <c r="H232" s="30">
        <v>1170</v>
      </c>
      <c r="I232" s="30">
        <v>1170</v>
      </c>
      <c r="J232" s="30"/>
      <c r="K232" s="30">
        <v>1170</v>
      </c>
      <c r="L232" s="30">
        <v>1170</v>
      </c>
      <c r="M232" s="30"/>
    </row>
    <row r="233" spans="1:22" ht="24.75" x14ac:dyDescent="0.65">
      <c r="A233" s="113">
        <v>27</v>
      </c>
      <c r="B233" s="30">
        <v>1170</v>
      </c>
      <c r="C233" s="30"/>
      <c r="D233" s="30"/>
      <c r="E233" s="30">
        <v>1170</v>
      </c>
      <c r="F233" s="30">
        <v>1170</v>
      </c>
      <c r="G233" s="30"/>
      <c r="H233" s="30">
        <v>1170</v>
      </c>
      <c r="I233" s="30">
        <v>1170</v>
      </c>
      <c r="J233" s="30">
        <v>1170</v>
      </c>
      <c r="K233" s="30">
        <v>1170</v>
      </c>
      <c r="L233" s="30"/>
      <c r="M233" s="30"/>
    </row>
    <row r="234" spans="1:22" ht="24.75" x14ac:dyDescent="0.65">
      <c r="A234" s="113">
        <v>28</v>
      </c>
      <c r="B234" s="30">
        <v>1170</v>
      </c>
      <c r="C234" s="30"/>
      <c r="D234" s="30"/>
      <c r="E234" s="30">
        <v>1170</v>
      </c>
      <c r="F234" s="30">
        <v>1170</v>
      </c>
      <c r="G234" s="30">
        <v>1170</v>
      </c>
      <c r="H234" s="30">
        <v>1170</v>
      </c>
      <c r="I234" s="30"/>
      <c r="J234" s="30">
        <v>1170</v>
      </c>
      <c r="K234" s="30">
        <v>1170</v>
      </c>
      <c r="L234" s="30"/>
      <c r="M234" s="30">
        <v>1170</v>
      </c>
    </row>
    <row r="235" spans="1:22" ht="24.75" x14ac:dyDescent="0.65">
      <c r="A235" s="113">
        <v>29</v>
      </c>
      <c r="B235" s="30">
        <v>1170</v>
      </c>
      <c r="C235" s="30"/>
      <c r="D235" s="30">
        <v>1170</v>
      </c>
      <c r="E235" s="30">
        <v>1170</v>
      </c>
      <c r="F235" s="30"/>
      <c r="G235" s="30">
        <v>1170</v>
      </c>
      <c r="H235" s="30">
        <v>1170</v>
      </c>
      <c r="I235" s="30"/>
      <c r="J235" s="30">
        <v>1170</v>
      </c>
      <c r="K235" s="30">
        <v>1170</v>
      </c>
      <c r="L235" s="30"/>
      <c r="M235" s="30">
        <v>1170</v>
      </c>
    </row>
    <row r="236" spans="1:22" ht="24.75" x14ac:dyDescent="0.65">
      <c r="A236" s="113">
        <v>30</v>
      </c>
      <c r="B236" s="30"/>
      <c r="C236" s="30"/>
      <c r="D236" s="30">
        <v>1170</v>
      </c>
      <c r="E236" s="30">
        <v>1170</v>
      </c>
      <c r="F236" s="30"/>
      <c r="G236" s="30"/>
      <c r="H236" s="30">
        <v>1170</v>
      </c>
      <c r="I236" s="30">
        <v>1170</v>
      </c>
      <c r="J236" s="30">
        <v>1170</v>
      </c>
      <c r="K236" s="30"/>
      <c r="L236" s="30"/>
      <c r="M236" s="30">
        <v>1170</v>
      </c>
    </row>
    <row r="237" spans="1:22" ht="25.5" thickBot="1" x14ac:dyDescent="0.7">
      <c r="A237" s="113">
        <v>31</v>
      </c>
      <c r="B237" s="30"/>
      <c r="C237" s="30"/>
      <c r="D237" s="30">
        <v>1170</v>
      </c>
      <c r="E237" s="30"/>
      <c r="F237" s="30">
        <v>1170</v>
      </c>
      <c r="G237" s="30"/>
      <c r="H237" s="30"/>
      <c r="I237" s="30">
        <v>1170</v>
      </c>
      <c r="J237" s="30"/>
      <c r="K237" s="30"/>
      <c r="L237" s="30"/>
      <c r="M237" s="30">
        <v>1170</v>
      </c>
    </row>
    <row r="238" spans="1:22" ht="23.25" customHeight="1" thickBot="1" x14ac:dyDescent="0.7">
      <c r="A238" s="195" t="s">
        <v>15</v>
      </c>
      <c r="B238" s="197">
        <f>AVERAGE(B207:B237)</f>
        <v>1170.4117647058824</v>
      </c>
      <c r="C238" s="197">
        <f t="shared" ref="C238:M238" si="43">AVERAGE(C207:C237)</f>
        <v>1170</v>
      </c>
      <c r="D238" s="197">
        <f t="shared" si="43"/>
        <v>1170</v>
      </c>
      <c r="E238" s="197">
        <f t="shared" si="43"/>
        <v>1170</v>
      </c>
      <c r="F238" s="197">
        <f t="shared" si="43"/>
        <v>1170</v>
      </c>
      <c r="G238" s="197">
        <f t="shared" si="43"/>
        <v>1170</v>
      </c>
      <c r="H238" s="197">
        <f t="shared" si="43"/>
        <v>1170</v>
      </c>
      <c r="I238" s="197">
        <f t="shared" si="43"/>
        <v>1170</v>
      </c>
      <c r="J238" s="197">
        <f t="shared" si="43"/>
        <v>1170</v>
      </c>
      <c r="K238" s="197">
        <f t="shared" si="43"/>
        <v>1170</v>
      </c>
      <c r="L238" s="197">
        <f t="shared" si="43"/>
        <v>1170</v>
      </c>
      <c r="M238" s="197">
        <f t="shared" si="43"/>
        <v>1170</v>
      </c>
    </row>
    <row r="239" spans="1:22" s="23" customFormat="1" ht="25.5" thickBot="1" x14ac:dyDescent="0.7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20"/>
      <c r="L239" s="20"/>
      <c r="M239" s="20"/>
      <c r="N239" s="21"/>
      <c r="O239" s="22"/>
      <c r="P239" s="22"/>
      <c r="Q239" s="22"/>
      <c r="R239" s="22"/>
      <c r="S239" s="22"/>
      <c r="T239" s="22"/>
      <c r="U239" s="22"/>
      <c r="V239" s="22"/>
    </row>
    <row r="240" spans="1:22" ht="25.5" thickBot="1" x14ac:dyDescent="0.7">
      <c r="A240" s="64" t="s">
        <v>51</v>
      </c>
      <c r="B240" s="29" t="s">
        <v>3</v>
      </c>
      <c r="C240" s="29" t="s">
        <v>4</v>
      </c>
      <c r="D240" s="29" t="s">
        <v>5</v>
      </c>
      <c r="E240" s="29" t="s">
        <v>6</v>
      </c>
      <c r="F240" s="29" t="s">
        <v>7</v>
      </c>
      <c r="G240" s="29" t="s">
        <v>41</v>
      </c>
      <c r="H240" s="29" t="s">
        <v>42</v>
      </c>
      <c r="I240" s="29" t="s">
        <v>10</v>
      </c>
      <c r="J240" s="29" t="s">
        <v>11</v>
      </c>
      <c r="K240" s="29" t="s">
        <v>12</v>
      </c>
      <c r="L240" s="29" t="s">
        <v>21</v>
      </c>
      <c r="M240" s="29" t="s">
        <v>14</v>
      </c>
      <c r="N240" s="1"/>
      <c r="O240" s="1"/>
      <c r="P240" s="1"/>
      <c r="Q240" s="1"/>
      <c r="R240" s="1"/>
      <c r="S240" s="1"/>
      <c r="T240" s="1"/>
      <c r="U240" s="1"/>
      <c r="V240" s="1"/>
    </row>
    <row r="241" spans="1:13" ht="24.75" x14ac:dyDescent="0.65">
      <c r="A241" s="112">
        <v>1</v>
      </c>
      <c r="B241" s="30"/>
      <c r="C241" s="30">
        <v>1170</v>
      </c>
      <c r="D241" s="30">
        <v>1170</v>
      </c>
      <c r="E241" s="30">
        <v>1170</v>
      </c>
      <c r="F241" s="30"/>
      <c r="G241" s="30">
        <v>1170</v>
      </c>
      <c r="H241" s="30">
        <v>1170</v>
      </c>
      <c r="I241" s="30">
        <v>1170</v>
      </c>
      <c r="J241" s="30">
        <v>1170</v>
      </c>
      <c r="K241" s="30"/>
      <c r="L241" s="30">
        <v>1170</v>
      </c>
      <c r="M241" s="30">
        <v>1170</v>
      </c>
    </row>
    <row r="242" spans="1:13" ht="24.75" x14ac:dyDescent="0.65">
      <c r="A242" s="113">
        <v>2</v>
      </c>
      <c r="B242" s="30"/>
      <c r="C242" s="30">
        <v>1170</v>
      </c>
      <c r="D242" s="30">
        <v>1170</v>
      </c>
      <c r="E242" s="30"/>
      <c r="F242" s="30">
        <v>1170</v>
      </c>
      <c r="G242" s="30">
        <v>1170</v>
      </c>
      <c r="H242" s="30"/>
      <c r="I242" s="30">
        <v>1170</v>
      </c>
      <c r="J242" s="30">
        <v>1170</v>
      </c>
      <c r="K242" s="30"/>
      <c r="L242" s="30">
        <v>1170</v>
      </c>
      <c r="M242" s="30">
        <v>1170</v>
      </c>
    </row>
    <row r="243" spans="1:13" ht="24.75" x14ac:dyDescent="0.65">
      <c r="A243" s="113">
        <v>3</v>
      </c>
      <c r="B243" s="30"/>
      <c r="C243" s="30">
        <v>1170</v>
      </c>
      <c r="D243" s="30">
        <v>1170</v>
      </c>
      <c r="E243" s="30"/>
      <c r="F243" s="30">
        <v>1170</v>
      </c>
      <c r="G243" s="30">
        <v>1170</v>
      </c>
      <c r="H243" s="30"/>
      <c r="I243" s="30">
        <v>1170</v>
      </c>
      <c r="J243" s="30"/>
      <c r="K243" s="30">
        <v>1170</v>
      </c>
      <c r="L243" s="30">
        <v>1170</v>
      </c>
      <c r="M243" s="30"/>
    </row>
    <row r="244" spans="1:13" ht="24.75" x14ac:dyDescent="0.65">
      <c r="A244" s="113">
        <v>4</v>
      </c>
      <c r="B244" s="30">
        <v>1170</v>
      </c>
      <c r="C244" s="30">
        <v>1170</v>
      </c>
      <c r="D244" s="30"/>
      <c r="E244" s="30">
        <v>1170</v>
      </c>
      <c r="F244" s="30">
        <v>1170</v>
      </c>
      <c r="G244" s="30"/>
      <c r="H244" s="30">
        <v>1170</v>
      </c>
      <c r="I244" s="30">
        <v>1170</v>
      </c>
      <c r="J244" s="30"/>
      <c r="K244" s="30">
        <v>1170</v>
      </c>
      <c r="L244" s="30">
        <v>1170</v>
      </c>
      <c r="M244" s="30"/>
    </row>
    <row r="245" spans="1:13" ht="24.75" x14ac:dyDescent="0.65">
      <c r="A245" s="113">
        <v>5</v>
      </c>
      <c r="B245" s="30">
        <v>1170</v>
      </c>
      <c r="C245" s="30"/>
      <c r="D245" s="30"/>
      <c r="E245" s="30">
        <v>1170</v>
      </c>
      <c r="F245" s="30">
        <v>1170</v>
      </c>
      <c r="G245" s="30"/>
      <c r="H245" s="30">
        <v>1170</v>
      </c>
      <c r="I245" s="30">
        <v>1170</v>
      </c>
      <c r="J245" s="30">
        <v>1170</v>
      </c>
      <c r="K245" s="30">
        <v>1170</v>
      </c>
      <c r="L245" s="30"/>
      <c r="M245" s="30">
        <v>1170</v>
      </c>
    </row>
    <row r="246" spans="1:13" ht="24.75" x14ac:dyDescent="0.65">
      <c r="A246" s="113">
        <v>6</v>
      </c>
      <c r="B246" s="30"/>
      <c r="C246" s="30"/>
      <c r="D246" s="30"/>
      <c r="E246" s="30">
        <v>1170</v>
      </c>
      <c r="F246" s="30">
        <v>1170</v>
      </c>
      <c r="G246" s="30">
        <v>1170</v>
      </c>
      <c r="H246" s="30">
        <v>1170</v>
      </c>
      <c r="I246" s="30"/>
      <c r="J246" s="30">
        <v>1170</v>
      </c>
      <c r="K246" s="30">
        <v>1170</v>
      </c>
      <c r="L246" s="30"/>
      <c r="M246" s="30">
        <v>1170</v>
      </c>
    </row>
    <row r="247" spans="1:13" ht="24.75" x14ac:dyDescent="0.65">
      <c r="A247" s="113">
        <v>7</v>
      </c>
      <c r="B247" s="30">
        <v>1170</v>
      </c>
      <c r="C247" s="30">
        <v>1170</v>
      </c>
      <c r="D247" s="30"/>
      <c r="E247" s="30">
        <v>1170</v>
      </c>
      <c r="F247" s="30"/>
      <c r="G247" s="30">
        <v>1170</v>
      </c>
      <c r="H247" s="30"/>
      <c r="I247" s="30"/>
      <c r="J247" s="30">
        <v>1170</v>
      </c>
      <c r="K247" s="30">
        <v>1170</v>
      </c>
      <c r="L247" s="30">
        <v>1170</v>
      </c>
      <c r="M247" s="30"/>
    </row>
    <row r="248" spans="1:13" ht="24.75" x14ac:dyDescent="0.65">
      <c r="A248" s="113">
        <v>8</v>
      </c>
      <c r="B248" s="30"/>
      <c r="C248" s="30">
        <v>1170</v>
      </c>
      <c r="D248" s="30"/>
      <c r="E248" s="30">
        <v>1170</v>
      </c>
      <c r="F248" s="30"/>
      <c r="G248" s="30">
        <v>1170</v>
      </c>
      <c r="H248" s="30"/>
      <c r="I248" s="30">
        <v>1170</v>
      </c>
      <c r="J248" s="30">
        <v>1170</v>
      </c>
      <c r="K248" s="30"/>
      <c r="L248" s="30">
        <v>1170</v>
      </c>
      <c r="M248" s="30">
        <v>1170</v>
      </c>
    </row>
    <row r="249" spans="1:13" ht="24.75" x14ac:dyDescent="0.65">
      <c r="A249" s="113">
        <v>9</v>
      </c>
      <c r="B249" s="30"/>
      <c r="C249" s="30">
        <v>1170</v>
      </c>
      <c r="D249" s="30">
        <v>1170</v>
      </c>
      <c r="E249" s="30"/>
      <c r="F249" s="30">
        <v>1170</v>
      </c>
      <c r="G249" s="30">
        <v>1170</v>
      </c>
      <c r="H249" s="30"/>
      <c r="I249" s="30">
        <v>1170</v>
      </c>
      <c r="J249" s="30"/>
      <c r="K249" s="30"/>
      <c r="L249" s="30">
        <v>1170</v>
      </c>
      <c r="M249" s="30">
        <v>1170</v>
      </c>
    </row>
    <row r="250" spans="1:13" ht="24.75" x14ac:dyDescent="0.65">
      <c r="A250" s="113">
        <v>10</v>
      </c>
      <c r="B250" s="30">
        <v>1170</v>
      </c>
      <c r="C250" s="30">
        <v>1170</v>
      </c>
      <c r="D250" s="30">
        <v>1170</v>
      </c>
      <c r="E250" s="30"/>
      <c r="F250" s="30">
        <v>1170</v>
      </c>
      <c r="G250" s="30">
        <v>1170</v>
      </c>
      <c r="H250" s="30"/>
      <c r="I250" s="30">
        <v>1170</v>
      </c>
      <c r="J250" s="30"/>
      <c r="K250" s="30">
        <v>1170</v>
      </c>
      <c r="L250" s="30">
        <v>1170</v>
      </c>
      <c r="M250" s="30"/>
    </row>
    <row r="251" spans="1:13" ht="24.75" x14ac:dyDescent="0.65">
      <c r="A251" s="113">
        <v>11</v>
      </c>
      <c r="B251" s="30">
        <v>1170</v>
      </c>
      <c r="C251" s="30">
        <v>1170</v>
      </c>
      <c r="D251" s="30">
        <v>1170</v>
      </c>
      <c r="E251" s="30">
        <v>1170</v>
      </c>
      <c r="F251" s="30">
        <v>1170</v>
      </c>
      <c r="G251" s="30"/>
      <c r="H251" s="30">
        <v>1170</v>
      </c>
      <c r="I251" s="30">
        <v>1170</v>
      </c>
      <c r="J251" s="30"/>
      <c r="K251" s="30">
        <v>1170</v>
      </c>
      <c r="L251" s="30">
        <v>1170</v>
      </c>
      <c r="M251" s="30"/>
    </row>
    <row r="252" spans="1:13" ht="24.75" x14ac:dyDescent="0.65">
      <c r="A252" s="113">
        <v>12</v>
      </c>
      <c r="B252" s="30"/>
      <c r="C252" s="30"/>
      <c r="D252" s="30"/>
      <c r="E252" s="30">
        <v>1170</v>
      </c>
      <c r="F252" s="30">
        <v>1170</v>
      </c>
      <c r="G252" s="30"/>
      <c r="H252" s="30">
        <v>1170</v>
      </c>
      <c r="I252" s="30">
        <v>1170</v>
      </c>
      <c r="J252" s="30"/>
      <c r="K252" s="30">
        <v>1170</v>
      </c>
      <c r="L252" s="30"/>
      <c r="M252" s="30">
        <v>1170</v>
      </c>
    </row>
    <row r="253" spans="1:13" ht="24.75" x14ac:dyDescent="0.65">
      <c r="A253" s="113">
        <v>13</v>
      </c>
      <c r="B253" s="30">
        <v>1170</v>
      </c>
      <c r="C253" s="30"/>
      <c r="D253" s="30"/>
      <c r="E253" s="30">
        <v>1170</v>
      </c>
      <c r="F253" s="30">
        <v>1170</v>
      </c>
      <c r="G253" s="30">
        <v>1170</v>
      </c>
      <c r="H253" s="30">
        <v>1170</v>
      </c>
      <c r="I253" s="30"/>
      <c r="J253" s="30"/>
      <c r="K253" s="30">
        <v>1170</v>
      </c>
      <c r="L253" s="30"/>
      <c r="M253" s="30">
        <v>1170</v>
      </c>
    </row>
    <row r="254" spans="1:13" ht="24.75" x14ac:dyDescent="0.65">
      <c r="A254" s="113">
        <v>14</v>
      </c>
      <c r="B254" s="30">
        <v>1170</v>
      </c>
      <c r="C254" s="30">
        <v>1170</v>
      </c>
      <c r="D254" s="30">
        <v>1170</v>
      </c>
      <c r="E254" s="30">
        <v>1170</v>
      </c>
      <c r="F254" s="30"/>
      <c r="G254" s="30">
        <v>1170</v>
      </c>
      <c r="H254" s="30"/>
      <c r="I254" s="30"/>
      <c r="J254" s="30">
        <v>1170</v>
      </c>
      <c r="K254" s="30">
        <v>1170</v>
      </c>
      <c r="L254" s="30">
        <v>1170</v>
      </c>
      <c r="M254" s="30">
        <v>1170</v>
      </c>
    </row>
    <row r="255" spans="1:13" ht="24.75" x14ac:dyDescent="0.65">
      <c r="A255" s="113">
        <v>15</v>
      </c>
      <c r="B255" s="30"/>
      <c r="C255" s="30">
        <v>1170</v>
      </c>
      <c r="D255" s="30">
        <v>1170</v>
      </c>
      <c r="E255" s="30">
        <v>1170</v>
      </c>
      <c r="F255" s="30"/>
      <c r="G255" s="30">
        <v>1170</v>
      </c>
      <c r="H255" s="30">
        <v>1170</v>
      </c>
      <c r="I255" s="30">
        <v>1170</v>
      </c>
      <c r="J255" s="30">
        <v>1170</v>
      </c>
      <c r="K255" s="30"/>
      <c r="L255" s="30">
        <v>1170</v>
      </c>
      <c r="M255" s="30">
        <v>1170</v>
      </c>
    </row>
    <row r="256" spans="1:13" ht="24.75" x14ac:dyDescent="0.65">
      <c r="A256" s="113">
        <v>16</v>
      </c>
      <c r="B256" s="30"/>
      <c r="C256" s="30">
        <v>1170</v>
      </c>
      <c r="D256" s="30">
        <v>1170</v>
      </c>
      <c r="E256" s="30"/>
      <c r="F256" s="30">
        <v>1170</v>
      </c>
      <c r="G256" s="30">
        <v>1170</v>
      </c>
      <c r="H256" s="30"/>
      <c r="I256" s="30">
        <v>1170</v>
      </c>
      <c r="J256" s="30">
        <v>1170</v>
      </c>
      <c r="K256" s="30"/>
      <c r="L256" s="30"/>
      <c r="M256" s="30"/>
    </row>
    <row r="257" spans="1:13" ht="24.75" x14ac:dyDescent="0.65">
      <c r="A257" s="113">
        <v>17</v>
      </c>
      <c r="B257" s="30">
        <v>1170</v>
      </c>
      <c r="C257" s="30">
        <v>1170</v>
      </c>
      <c r="D257" s="30">
        <v>1170</v>
      </c>
      <c r="E257" s="30"/>
      <c r="F257" s="30">
        <v>1170</v>
      </c>
      <c r="G257" s="30">
        <v>1170</v>
      </c>
      <c r="H257" s="30"/>
      <c r="I257" s="30">
        <v>1170</v>
      </c>
      <c r="J257" s="30"/>
      <c r="K257" s="30">
        <v>1170</v>
      </c>
      <c r="L257" s="30"/>
      <c r="M257" s="30"/>
    </row>
    <row r="258" spans="1:13" ht="24.75" x14ac:dyDescent="0.65">
      <c r="A258" s="113">
        <v>18</v>
      </c>
      <c r="B258" s="30">
        <v>1170</v>
      </c>
      <c r="C258" s="30">
        <v>1170</v>
      </c>
      <c r="D258" s="30">
        <v>1170</v>
      </c>
      <c r="E258" s="30">
        <v>1170</v>
      </c>
      <c r="F258" s="30">
        <v>1170</v>
      </c>
      <c r="G258" s="30"/>
      <c r="H258" s="30">
        <v>1170</v>
      </c>
      <c r="I258" s="30">
        <v>1170</v>
      </c>
      <c r="J258" s="30"/>
      <c r="K258" s="30">
        <v>1170</v>
      </c>
      <c r="L258" s="30"/>
      <c r="M258" s="30"/>
    </row>
    <row r="259" spans="1:13" ht="24.75" x14ac:dyDescent="0.65">
      <c r="A259" s="113">
        <v>19</v>
      </c>
      <c r="B259" s="30">
        <v>1170</v>
      </c>
      <c r="C259" s="30"/>
      <c r="D259" s="30"/>
      <c r="E259" s="30">
        <v>1170</v>
      </c>
      <c r="F259" s="30">
        <v>1170</v>
      </c>
      <c r="G259" s="30"/>
      <c r="H259" s="30">
        <v>1170</v>
      </c>
      <c r="I259" s="30">
        <v>1170</v>
      </c>
      <c r="J259" s="30">
        <v>1170</v>
      </c>
      <c r="K259" s="30">
        <v>1170</v>
      </c>
      <c r="L259" s="30"/>
      <c r="M259" s="30">
        <v>1170</v>
      </c>
    </row>
    <row r="260" spans="1:13" ht="24.75" x14ac:dyDescent="0.65">
      <c r="A260" s="113">
        <v>20</v>
      </c>
      <c r="B260" s="30">
        <v>1170</v>
      </c>
      <c r="C260" s="30"/>
      <c r="D260" s="30"/>
      <c r="E260" s="30">
        <v>1170</v>
      </c>
      <c r="F260" s="30">
        <v>1170</v>
      </c>
      <c r="G260" s="30">
        <v>1170</v>
      </c>
      <c r="H260" s="30">
        <v>1170</v>
      </c>
      <c r="I260" s="30"/>
      <c r="J260" s="30">
        <v>1170</v>
      </c>
      <c r="K260" s="30">
        <v>1170</v>
      </c>
      <c r="L260" s="30"/>
      <c r="M260" s="30">
        <v>1170</v>
      </c>
    </row>
    <row r="261" spans="1:13" ht="24.75" x14ac:dyDescent="0.65">
      <c r="A261" s="113">
        <v>21</v>
      </c>
      <c r="B261" s="30">
        <v>1170</v>
      </c>
      <c r="C261" s="30">
        <v>1170</v>
      </c>
      <c r="D261" s="30"/>
      <c r="E261" s="30">
        <v>1170</v>
      </c>
      <c r="F261" s="30"/>
      <c r="G261" s="30">
        <v>1170</v>
      </c>
      <c r="H261" s="30">
        <v>1170</v>
      </c>
      <c r="I261" s="30"/>
      <c r="J261" s="30">
        <v>1170</v>
      </c>
      <c r="K261" s="30">
        <v>1170</v>
      </c>
      <c r="L261" s="30">
        <v>1170</v>
      </c>
      <c r="M261" s="30">
        <v>1170</v>
      </c>
    </row>
    <row r="262" spans="1:13" ht="24.75" x14ac:dyDescent="0.65">
      <c r="A262" s="113">
        <v>22</v>
      </c>
      <c r="B262" s="30"/>
      <c r="C262" s="30">
        <v>1170</v>
      </c>
      <c r="D262" s="30">
        <v>1170</v>
      </c>
      <c r="E262" s="30">
        <v>1170</v>
      </c>
      <c r="F262" s="30"/>
      <c r="G262" s="30">
        <v>1170</v>
      </c>
      <c r="H262" s="30">
        <v>1170</v>
      </c>
      <c r="I262" s="30">
        <v>1170</v>
      </c>
      <c r="J262" s="30">
        <v>1170</v>
      </c>
      <c r="K262" s="30"/>
      <c r="L262" s="30">
        <v>1170</v>
      </c>
      <c r="M262" s="30">
        <v>1170</v>
      </c>
    </row>
    <row r="263" spans="1:13" ht="24.75" x14ac:dyDescent="0.65">
      <c r="A263" s="113">
        <v>23</v>
      </c>
      <c r="B263" s="30"/>
      <c r="C263" s="30">
        <v>1170</v>
      </c>
      <c r="D263" s="30">
        <v>1170</v>
      </c>
      <c r="E263" s="30"/>
      <c r="F263" s="30">
        <v>1170</v>
      </c>
      <c r="G263" s="30">
        <v>1170</v>
      </c>
      <c r="H263" s="30"/>
      <c r="I263" s="30">
        <v>1170</v>
      </c>
      <c r="J263" s="30">
        <v>1170</v>
      </c>
      <c r="K263" s="30"/>
      <c r="L263" s="30">
        <v>1170</v>
      </c>
      <c r="M263" s="30">
        <v>1170</v>
      </c>
    </row>
    <row r="264" spans="1:13" ht="24.75" x14ac:dyDescent="0.65">
      <c r="A264" s="113">
        <v>24</v>
      </c>
      <c r="B264" s="30">
        <v>1170</v>
      </c>
      <c r="C264" s="30">
        <v>1170</v>
      </c>
      <c r="D264" s="30">
        <v>1170</v>
      </c>
      <c r="E264" s="30"/>
      <c r="F264" s="30">
        <v>1170</v>
      </c>
      <c r="G264" s="30">
        <v>1170</v>
      </c>
      <c r="H264" s="30"/>
      <c r="I264" s="30">
        <v>1170</v>
      </c>
      <c r="J264" s="30"/>
      <c r="K264" s="30">
        <v>1170</v>
      </c>
      <c r="L264" s="30">
        <v>1170</v>
      </c>
      <c r="M264" s="30"/>
    </row>
    <row r="265" spans="1:13" ht="24.75" x14ac:dyDescent="0.65">
      <c r="A265" s="113">
        <v>25</v>
      </c>
      <c r="B265" s="30">
        <v>1170</v>
      </c>
      <c r="C265" s="30">
        <v>1170</v>
      </c>
      <c r="D265" s="30">
        <v>1170</v>
      </c>
      <c r="E265" s="30">
        <v>1170</v>
      </c>
      <c r="F265" s="30">
        <v>1170</v>
      </c>
      <c r="G265" s="30"/>
      <c r="H265" s="30">
        <v>1170</v>
      </c>
      <c r="I265" s="30">
        <v>1170</v>
      </c>
      <c r="J265" s="30"/>
      <c r="K265" s="30">
        <v>1170</v>
      </c>
      <c r="L265" s="30">
        <v>1170</v>
      </c>
      <c r="M265" s="30"/>
    </row>
    <row r="266" spans="1:13" ht="24.75" x14ac:dyDescent="0.65">
      <c r="A266" s="113">
        <v>26</v>
      </c>
      <c r="B266" s="30">
        <v>1170</v>
      </c>
      <c r="C266" s="30"/>
      <c r="D266" s="30"/>
      <c r="E266" s="30">
        <v>1170</v>
      </c>
      <c r="F266" s="30">
        <v>1170</v>
      </c>
      <c r="G266" s="30"/>
      <c r="H266" s="30">
        <v>1170</v>
      </c>
      <c r="I266" s="30">
        <v>1170</v>
      </c>
      <c r="J266" s="30">
        <v>1170</v>
      </c>
      <c r="K266" s="30">
        <v>1170</v>
      </c>
      <c r="L266" s="30"/>
      <c r="M266" s="30">
        <v>1170</v>
      </c>
    </row>
    <row r="267" spans="1:13" ht="24.75" x14ac:dyDescent="0.65">
      <c r="A267" s="113">
        <v>27</v>
      </c>
      <c r="B267" s="30">
        <v>1170</v>
      </c>
      <c r="C267" s="30"/>
      <c r="D267" s="30"/>
      <c r="E267" s="30">
        <v>1170</v>
      </c>
      <c r="F267" s="30">
        <v>1170</v>
      </c>
      <c r="G267" s="30">
        <v>1170</v>
      </c>
      <c r="H267" s="30">
        <v>1170</v>
      </c>
      <c r="I267" s="30"/>
      <c r="J267" s="30">
        <v>1170</v>
      </c>
      <c r="K267" s="30">
        <v>1170</v>
      </c>
      <c r="L267" s="30"/>
      <c r="M267" s="30">
        <v>1170</v>
      </c>
    </row>
    <row r="268" spans="1:13" ht="24.75" x14ac:dyDescent="0.65">
      <c r="A268" s="113">
        <v>28</v>
      </c>
      <c r="B268" s="30">
        <v>1170</v>
      </c>
      <c r="C268" s="30">
        <v>1170</v>
      </c>
      <c r="D268" s="30">
        <v>1170</v>
      </c>
      <c r="E268" s="30">
        <v>1170</v>
      </c>
      <c r="F268" s="30"/>
      <c r="G268" s="30">
        <v>1170</v>
      </c>
      <c r="H268" s="30">
        <v>1170</v>
      </c>
      <c r="I268" s="30"/>
      <c r="J268" s="30">
        <v>1170</v>
      </c>
      <c r="K268" s="30">
        <v>1170</v>
      </c>
      <c r="L268" s="30">
        <v>1170</v>
      </c>
      <c r="M268" s="30">
        <v>1170</v>
      </c>
    </row>
    <row r="269" spans="1:13" ht="24.75" x14ac:dyDescent="0.65">
      <c r="A269" s="113">
        <v>29</v>
      </c>
      <c r="B269" s="30"/>
      <c r="C269" s="30"/>
      <c r="D269" s="30">
        <v>1170</v>
      </c>
      <c r="E269" s="30">
        <v>1170</v>
      </c>
      <c r="F269" s="30"/>
      <c r="G269" s="30">
        <v>1170</v>
      </c>
      <c r="H269" s="30">
        <v>1170</v>
      </c>
      <c r="I269" s="30">
        <v>1170</v>
      </c>
      <c r="J269" s="30">
        <v>1170</v>
      </c>
      <c r="K269" s="30"/>
      <c r="L269" s="30">
        <v>1170</v>
      </c>
      <c r="M269" s="30">
        <v>1170</v>
      </c>
    </row>
    <row r="270" spans="1:13" ht="24.75" x14ac:dyDescent="0.65">
      <c r="A270" s="113">
        <v>30</v>
      </c>
      <c r="B270" s="30"/>
      <c r="C270" s="30"/>
      <c r="D270" s="30">
        <v>1170</v>
      </c>
      <c r="E270" s="30"/>
      <c r="F270" s="30">
        <v>1170</v>
      </c>
      <c r="G270" s="30">
        <v>1170</v>
      </c>
      <c r="H270" s="30"/>
      <c r="I270" s="30">
        <v>1170</v>
      </c>
      <c r="J270" s="30">
        <v>1170</v>
      </c>
      <c r="K270" s="30"/>
      <c r="L270" s="30">
        <v>1170</v>
      </c>
      <c r="M270" s="30">
        <v>1170</v>
      </c>
    </row>
    <row r="271" spans="1:13" ht="25.5" thickBot="1" x14ac:dyDescent="0.7">
      <c r="A271" s="113">
        <v>31</v>
      </c>
      <c r="B271" s="30">
        <v>1170</v>
      </c>
      <c r="C271" s="30"/>
      <c r="D271" s="30">
        <v>1170</v>
      </c>
      <c r="E271" s="30"/>
      <c r="F271" s="30">
        <v>1170</v>
      </c>
      <c r="G271" s="30"/>
      <c r="H271" s="30"/>
      <c r="I271" s="30">
        <v>1170</v>
      </c>
      <c r="J271" s="30"/>
      <c r="K271" s="30">
        <v>1170</v>
      </c>
      <c r="L271" s="30"/>
      <c r="M271" s="30"/>
    </row>
    <row r="272" spans="1:13" ht="23.25" customHeight="1" thickBot="1" x14ac:dyDescent="0.7">
      <c r="A272" s="195" t="s">
        <v>15</v>
      </c>
      <c r="B272" s="197">
        <f>AVERAGE(B241:B271)</f>
        <v>1170</v>
      </c>
      <c r="C272" s="197">
        <f t="shared" ref="C272:M272" si="44">AVERAGE(C241:C271)</f>
        <v>1170</v>
      </c>
      <c r="D272" s="197">
        <f t="shared" si="44"/>
        <v>1170</v>
      </c>
      <c r="E272" s="197">
        <f t="shared" si="44"/>
        <v>1170</v>
      </c>
      <c r="F272" s="197">
        <f t="shared" si="44"/>
        <v>1170</v>
      </c>
      <c r="G272" s="197">
        <f t="shared" si="44"/>
        <v>1170</v>
      </c>
      <c r="H272" s="197">
        <f t="shared" si="44"/>
        <v>1170</v>
      </c>
      <c r="I272" s="197">
        <f t="shared" si="44"/>
        <v>1170</v>
      </c>
      <c r="J272" s="197">
        <f t="shared" si="44"/>
        <v>1170</v>
      </c>
      <c r="K272" s="197">
        <f t="shared" si="44"/>
        <v>1170</v>
      </c>
      <c r="L272" s="197">
        <f t="shared" si="44"/>
        <v>1170</v>
      </c>
      <c r="M272" s="197">
        <f t="shared" si="44"/>
        <v>1170</v>
      </c>
    </row>
    <row r="273" spans="1:22" s="23" customFormat="1" ht="25.5" thickBot="1" x14ac:dyDescent="0.7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20"/>
      <c r="L273" s="20"/>
      <c r="M273" s="20"/>
      <c r="N273" s="21"/>
      <c r="O273" s="22"/>
      <c r="P273" s="22"/>
      <c r="Q273" s="22"/>
      <c r="R273" s="22"/>
      <c r="S273" s="22"/>
      <c r="T273" s="22"/>
      <c r="U273" s="22"/>
      <c r="V273" s="22"/>
    </row>
    <row r="274" spans="1:22" ht="25.5" thickBot="1" x14ac:dyDescent="0.7">
      <c r="A274" s="64" t="s">
        <v>52</v>
      </c>
      <c r="B274" s="29" t="s">
        <v>3</v>
      </c>
      <c r="C274" s="29" t="s">
        <v>4</v>
      </c>
      <c r="D274" s="29" t="s">
        <v>5</v>
      </c>
      <c r="E274" s="29" t="s">
        <v>6</v>
      </c>
      <c r="F274" s="29" t="s">
        <v>7</v>
      </c>
      <c r="G274" s="29" t="s">
        <v>41</v>
      </c>
      <c r="H274" s="29" t="s">
        <v>42</v>
      </c>
      <c r="I274" s="29" t="s">
        <v>10</v>
      </c>
      <c r="J274" s="29" t="s">
        <v>11</v>
      </c>
      <c r="K274" s="29" t="s">
        <v>12</v>
      </c>
      <c r="L274" s="29" t="s">
        <v>21</v>
      </c>
      <c r="M274" s="29" t="s">
        <v>14</v>
      </c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24.75" x14ac:dyDescent="0.65">
      <c r="A275" s="112">
        <v>1</v>
      </c>
      <c r="B275" s="30"/>
      <c r="C275" s="30">
        <v>1170</v>
      </c>
      <c r="D275" s="30">
        <v>1170</v>
      </c>
      <c r="E275" s="30"/>
      <c r="F275" s="30"/>
      <c r="G275" s="30">
        <v>1170</v>
      </c>
      <c r="H275" s="30"/>
      <c r="I275" s="30"/>
      <c r="J275" s="30"/>
      <c r="K275" s="30"/>
      <c r="L275" s="30">
        <v>1170</v>
      </c>
      <c r="M275" s="30">
        <v>1170</v>
      </c>
    </row>
    <row r="276" spans="1:22" ht="24.75" x14ac:dyDescent="0.65">
      <c r="A276" s="113">
        <v>2</v>
      </c>
      <c r="B276" s="30"/>
      <c r="C276" s="30">
        <v>1170</v>
      </c>
      <c r="D276" s="30">
        <v>1170</v>
      </c>
      <c r="E276" s="30"/>
      <c r="F276" s="30">
        <v>1170</v>
      </c>
      <c r="G276" s="30">
        <v>1170</v>
      </c>
      <c r="H276" s="30"/>
      <c r="I276" s="30">
        <v>1170</v>
      </c>
      <c r="J276" s="30"/>
      <c r="K276" s="30">
        <v>1170</v>
      </c>
      <c r="L276" s="30">
        <v>1170</v>
      </c>
      <c r="M276" s="30"/>
    </row>
    <row r="277" spans="1:22" ht="24.75" x14ac:dyDescent="0.65">
      <c r="A277" s="113">
        <v>3</v>
      </c>
      <c r="B277" s="30">
        <v>1170</v>
      </c>
      <c r="C277" s="30">
        <v>1170</v>
      </c>
      <c r="D277" s="30">
        <v>1170</v>
      </c>
      <c r="E277" s="30">
        <v>1170</v>
      </c>
      <c r="F277" s="30">
        <v>1170</v>
      </c>
      <c r="G277" s="30"/>
      <c r="H277" s="30">
        <v>1170</v>
      </c>
      <c r="I277" s="30">
        <v>1170</v>
      </c>
      <c r="J277" s="30"/>
      <c r="K277" s="30">
        <v>1170</v>
      </c>
      <c r="L277" s="30">
        <v>1170</v>
      </c>
      <c r="M277" s="30"/>
    </row>
    <row r="278" spans="1:22" ht="24.75" x14ac:dyDescent="0.65">
      <c r="A278" s="113">
        <v>4</v>
      </c>
      <c r="B278" s="30">
        <v>1170</v>
      </c>
      <c r="C278" s="30"/>
      <c r="D278" s="30"/>
      <c r="E278" s="30">
        <v>1170</v>
      </c>
      <c r="F278" s="30">
        <v>1170</v>
      </c>
      <c r="G278" s="30"/>
      <c r="H278" s="30">
        <v>1170</v>
      </c>
      <c r="I278" s="30">
        <v>1170</v>
      </c>
      <c r="J278" s="30">
        <v>1170</v>
      </c>
      <c r="K278" s="30">
        <v>1170</v>
      </c>
      <c r="L278" s="30"/>
      <c r="M278" s="30">
        <v>1170</v>
      </c>
    </row>
    <row r="279" spans="1:22" ht="24.75" x14ac:dyDescent="0.65">
      <c r="A279" s="113">
        <v>5</v>
      </c>
      <c r="B279" s="30">
        <v>1170</v>
      </c>
      <c r="C279" s="30"/>
      <c r="D279" s="30"/>
      <c r="E279" s="30">
        <v>1170</v>
      </c>
      <c r="F279" s="30">
        <v>1170</v>
      </c>
      <c r="G279" s="30">
        <v>1170</v>
      </c>
      <c r="H279" s="30">
        <v>1170</v>
      </c>
      <c r="I279" s="30"/>
      <c r="J279" s="30">
        <v>1170</v>
      </c>
      <c r="K279" s="30">
        <v>1170</v>
      </c>
      <c r="L279" s="30"/>
      <c r="M279" s="30">
        <v>1170</v>
      </c>
    </row>
    <row r="280" spans="1:22" ht="24.75" x14ac:dyDescent="0.65">
      <c r="A280" s="113">
        <v>6</v>
      </c>
      <c r="B280" s="30"/>
      <c r="C280" s="30">
        <v>1170</v>
      </c>
      <c r="D280" s="30">
        <v>1170</v>
      </c>
      <c r="E280" s="30">
        <v>1170</v>
      </c>
      <c r="F280" s="30"/>
      <c r="G280" s="30">
        <v>1170</v>
      </c>
      <c r="H280" s="30">
        <v>1170</v>
      </c>
      <c r="I280" s="30"/>
      <c r="J280" s="30">
        <v>1170</v>
      </c>
      <c r="K280" s="30">
        <v>1170</v>
      </c>
      <c r="L280" s="30"/>
      <c r="M280" s="30"/>
    </row>
    <row r="281" spans="1:22" ht="24.75" x14ac:dyDescent="0.65">
      <c r="A281" s="113">
        <v>7</v>
      </c>
      <c r="B281" s="30"/>
      <c r="C281" s="30">
        <v>1170</v>
      </c>
      <c r="D281" s="30">
        <v>1170</v>
      </c>
      <c r="E281" s="30">
        <v>1170</v>
      </c>
      <c r="F281" s="30"/>
      <c r="G281" s="30">
        <v>1170</v>
      </c>
      <c r="H281" s="30">
        <v>1170</v>
      </c>
      <c r="I281" s="30">
        <v>1170</v>
      </c>
      <c r="J281" s="30">
        <v>1170</v>
      </c>
      <c r="K281" s="30"/>
      <c r="L281" s="30"/>
      <c r="M281" s="30">
        <v>1170</v>
      </c>
    </row>
    <row r="282" spans="1:22" ht="24.75" x14ac:dyDescent="0.65">
      <c r="A282" s="113">
        <v>8</v>
      </c>
      <c r="B282" s="30"/>
      <c r="C282" s="30">
        <v>1170</v>
      </c>
      <c r="D282" s="30">
        <v>1170</v>
      </c>
      <c r="E282" s="30"/>
      <c r="F282" s="30">
        <v>1170</v>
      </c>
      <c r="G282" s="30">
        <v>1170</v>
      </c>
      <c r="H282" s="30"/>
      <c r="I282" s="30">
        <v>1170</v>
      </c>
      <c r="J282" s="30">
        <v>1170</v>
      </c>
      <c r="K282" s="30"/>
      <c r="L282" s="30"/>
      <c r="M282" s="30">
        <v>1170</v>
      </c>
    </row>
    <row r="283" spans="1:22" ht="24.75" x14ac:dyDescent="0.65">
      <c r="A283" s="113">
        <v>9</v>
      </c>
      <c r="B283" s="30">
        <v>1170</v>
      </c>
      <c r="C283" s="30">
        <v>1170</v>
      </c>
      <c r="D283" s="30">
        <v>1170</v>
      </c>
      <c r="E283" s="30"/>
      <c r="F283" s="30">
        <v>1170</v>
      </c>
      <c r="G283" s="30">
        <v>1170</v>
      </c>
      <c r="H283" s="30"/>
      <c r="I283" s="30">
        <v>1170</v>
      </c>
      <c r="J283" s="30"/>
      <c r="K283" s="30">
        <v>1170</v>
      </c>
      <c r="L283" s="30"/>
      <c r="M283" s="30"/>
    </row>
    <row r="284" spans="1:22" ht="24.75" x14ac:dyDescent="0.65">
      <c r="A284" s="113">
        <v>10</v>
      </c>
      <c r="B284" s="30">
        <v>1170</v>
      </c>
      <c r="C284" s="30">
        <v>1170</v>
      </c>
      <c r="D284" s="30">
        <v>1170</v>
      </c>
      <c r="E284" s="30">
        <v>1170</v>
      </c>
      <c r="F284" s="30">
        <v>1170</v>
      </c>
      <c r="G284" s="30"/>
      <c r="H284" s="30">
        <v>1170</v>
      </c>
      <c r="I284" s="30">
        <v>1170</v>
      </c>
      <c r="J284" s="30"/>
      <c r="K284" s="30">
        <v>1170</v>
      </c>
      <c r="L284" s="30"/>
      <c r="M284" s="30"/>
    </row>
    <row r="285" spans="1:22" ht="24.75" x14ac:dyDescent="0.65">
      <c r="A285" s="113">
        <v>11</v>
      </c>
      <c r="B285" s="30">
        <v>1170</v>
      </c>
      <c r="C285" s="30"/>
      <c r="D285" s="30"/>
      <c r="E285" s="30">
        <v>1170</v>
      </c>
      <c r="F285" s="30">
        <v>1170</v>
      </c>
      <c r="G285" s="30"/>
      <c r="H285" s="30">
        <v>1170</v>
      </c>
      <c r="I285" s="30">
        <v>1170</v>
      </c>
      <c r="J285" s="30">
        <v>1170</v>
      </c>
      <c r="K285" s="30">
        <v>1170</v>
      </c>
      <c r="L285" s="30"/>
      <c r="M285" s="30">
        <v>1170</v>
      </c>
    </row>
    <row r="286" spans="1:22" ht="24.75" x14ac:dyDescent="0.65">
      <c r="A286" s="113">
        <v>12</v>
      </c>
      <c r="B286" s="30">
        <v>1170</v>
      </c>
      <c r="C286" s="30"/>
      <c r="D286" s="30"/>
      <c r="E286" s="30">
        <v>1170</v>
      </c>
      <c r="F286" s="30">
        <v>1170</v>
      </c>
      <c r="G286" s="30">
        <v>1170</v>
      </c>
      <c r="H286" s="30">
        <v>1170</v>
      </c>
      <c r="I286" s="30"/>
      <c r="J286" s="30">
        <v>1170</v>
      </c>
      <c r="K286" s="30">
        <v>1170</v>
      </c>
      <c r="L286" s="30"/>
      <c r="M286" s="30">
        <v>1170</v>
      </c>
    </row>
    <row r="287" spans="1:22" ht="24.75" x14ac:dyDescent="0.65">
      <c r="A287" s="113">
        <v>13</v>
      </c>
      <c r="B287" s="30">
        <v>1170</v>
      </c>
      <c r="C287" s="30">
        <v>1170</v>
      </c>
      <c r="D287" s="30">
        <v>1170</v>
      </c>
      <c r="E287" s="30">
        <v>1170</v>
      </c>
      <c r="F287" s="30"/>
      <c r="G287" s="30">
        <v>1170</v>
      </c>
      <c r="H287" s="30">
        <v>1170</v>
      </c>
      <c r="I287" s="30"/>
      <c r="J287" s="30">
        <v>1170</v>
      </c>
      <c r="K287" s="30">
        <v>1170</v>
      </c>
      <c r="L287" s="30">
        <v>1170</v>
      </c>
      <c r="M287" s="30">
        <v>1170</v>
      </c>
    </row>
    <row r="288" spans="1:22" ht="24.75" x14ac:dyDescent="0.65">
      <c r="A288" s="113">
        <v>14</v>
      </c>
      <c r="B288" s="30"/>
      <c r="C288" s="30">
        <v>1170</v>
      </c>
      <c r="D288" s="30">
        <v>1170</v>
      </c>
      <c r="E288" s="30">
        <v>1170</v>
      </c>
      <c r="F288" s="30"/>
      <c r="G288" s="30">
        <v>1170</v>
      </c>
      <c r="H288" s="30"/>
      <c r="I288" s="30">
        <v>1170</v>
      </c>
      <c r="J288" s="30">
        <v>1170</v>
      </c>
      <c r="K288" s="30"/>
      <c r="L288" s="30">
        <v>1170</v>
      </c>
      <c r="M288" s="30">
        <v>1170</v>
      </c>
    </row>
    <row r="289" spans="1:13" ht="24.75" x14ac:dyDescent="0.65">
      <c r="A289" s="113">
        <v>15</v>
      </c>
      <c r="B289" s="30"/>
      <c r="C289" s="30"/>
      <c r="D289" s="30">
        <v>1170</v>
      </c>
      <c r="E289" s="30"/>
      <c r="F289" s="30">
        <v>1170</v>
      </c>
      <c r="G289" s="30">
        <v>1170</v>
      </c>
      <c r="H289" s="30"/>
      <c r="I289" s="30">
        <v>1170</v>
      </c>
      <c r="J289" s="30">
        <v>1170</v>
      </c>
      <c r="K289" s="30"/>
      <c r="L289" s="30">
        <v>1170</v>
      </c>
      <c r="M289" s="30">
        <v>1170</v>
      </c>
    </row>
    <row r="290" spans="1:13" ht="24.75" x14ac:dyDescent="0.65">
      <c r="A290" s="113">
        <v>16</v>
      </c>
      <c r="B290" s="30">
        <v>1170</v>
      </c>
      <c r="C290" s="30">
        <v>1170</v>
      </c>
      <c r="D290" s="30">
        <v>1170</v>
      </c>
      <c r="E290" s="30"/>
      <c r="F290" s="30">
        <v>1170</v>
      </c>
      <c r="G290" s="30">
        <v>1170</v>
      </c>
      <c r="H290" s="30"/>
      <c r="I290" s="30">
        <v>1170</v>
      </c>
      <c r="J290" s="30"/>
      <c r="K290" s="30">
        <v>1170</v>
      </c>
      <c r="L290" s="30">
        <v>1170</v>
      </c>
      <c r="M290" s="30"/>
    </row>
    <row r="291" spans="1:13" ht="24.75" x14ac:dyDescent="0.65">
      <c r="A291" s="113">
        <v>17</v>
      </c>
      <c r="B291" s="30">
        <v>1170</v>
      </c>
      <c r="C291" s="30">
        <v>1170</v>
      </c>
      <c r="D291" s="30">
        <v>1170</v>
      </c>
      <c r="E291" s="30">
        <v>1170</v>
      </c>
      <c r="F291" s="30">
        <v>1170</v>
      </c>
      <c r="G291" s="30"/>
      <c r="H291" s="30">
        <v>1170</v>
      </c>
      <c r="I291" s="30">
        <v>1170</v>
      </c>
      <c r="J291" s="30"/>
      <c r="K291" s="30">
        <v>1170</v>
      </c>
      <c r="L291" s="30">
        <v>1170</v>
      </c>
      <c r="M291" s="30"/>
    </row>
    <row r="292" spans="1:13" ht="24.75" x14ac:dyDescent="0.65">
      <c r="A292" s="113">
        <v>18</v>
      </c>
      <c r="B292" s="30">
        <v>1170</v>
      </c>
      <c r="C292" s="30"/>
      <c r="D292" s="30"/>
      <c r="E292" s="30">
        <v>1170</v>
      </c>
      <c r="F292" s="30">
        <v>1170</v>
      </c>
      <c r="G292" s="30"/>
      <c r="H292" s="30">
        <v>1170</v>
      </c>
      <c r="I292" s="30">
        <v>1170</v>
      </c>
      <c r="J292" s="30">
        <v>1170</v>
      </c>
      <c r="K292" s="30">
        <v>1170</v>
      </c>
      <c r="L292" s="30"/>
      <c r="M292" s="30">
        <v>1170</v>
      </c>
    </row>
    <row r="293" spans="1:13" ht="24.75" x14ac:dyDescent="0.65">
      <c r="A293" s="113">
        <v>19</v>
      </c>
      <c r="B293" s="30">
        <v>1170</v>
      </c>
      <c r="C293" s="30"/>
      <c r="D293" s="30"/>
      <c r="E293" s="30">
        <v>1170</v>
      </c>
      <c r="F293" s="30">
        <v>1170</v>
      </c>
      <c r="G293" s="30">
        <v>1170</v>
      </c>
      <c r="H293" s="30">
        <v>1170</v>
      </c>
      <c r="I293" s="30"/>
      <c r="J293" s="30">
        <v>1170</v>
      </c>
      <c r="K293" s="30">
        <v>1170</v>
      </c>
      <c r="L293" s="30"/>
      <c r="M293" s="30">
        <v>1170</v>
      </c>
    </row>
    <row r="294" spans="1:13" ht="24.75" x14ac:dyDescent="0.65">
      <c r="A294" s="113">
        <v>20</v>
      </c>
      <c r="B294" s="30">
        <v>1170</v>
      </c>
      <c r="C294" s="30">
        <v>1170</v>
      </c>
      <c r="D294" s="30">
        <v>1170</v>
      </c>
      <c r="E294" s="30">
        <v>1170</v>
      </c>
      <c r="F294" s="30"/>
      <c r="G294" s="30">
        <v>1170</v>
      </c>
      <c r="H294" s="30">
        <v>1170</v>
      </c>
      <c r="I294" s="30"/>
      <c r="J294" s="30">
        <v>1170</v>
      </c>
      <c r="K294" s="30">
        <v>1170</v>
      </c>
      <c r="L294" s="30">
        <v>1170</v>
      </c>
      <c r="M294" s="30">
        <v>1170</v>
      </c>
    </row>
    <row r="295" spans="1:13" ht="24.75" x14ac:dyDescent="0.65">
      <c r="A295" s="113">
        <v>21</v>
      </c>
      <c r="B295" s="30"/>
      <c r="C295" s="30">
        <v>1170</v>
      </c>
      <c r="D295" s="30">
        <v>1170</v>
      </c>
      <c r="E295" s="30">
        <v>1170</v>
      </c>
      <c r="F295" s="30"/>
      <c r="G295" s="30">
        <v>1170</v>
      </c>
      <c r="H295" s="30">
        <v>1170</v>
      </c>
      <c r="I295" s="30">
        <v>1170</v>
      </c>
      <c r="J295" s="30">
        <v>1170</v>
      </c>
      <c r="K295" s="30"/>
      <c r="L295" s="30">
        <v>1170</v>
      </c>
      <c r="M295" s="30">
        <v>1170</v>
      </c>
    </row>
    <row r="296" spans="1:13" ht="24.75" x14ac:dyDescent="0.65">
      <c r="A296" s="113">
        <v>22</v>
      </c>
      <c r="B296" s="30"/>
      <c r="C296" s="30">
        <v>1170</v>
      </c>
      <c r="D296" s="30">
        <v>1170</v>
      </c>
      <c r="E296" s="30"/>
      <c r="F296" s="30">
        <v>1170</v>
      </c>
      <c r="G296" s="30">
        <v>1170</v>
      </c>
      <c r="H296" s="30"/>
      <c r="I296" s="30">
        <v>1170</v>
      </c>
      <c r="J296" s="30">
        <v>1170</v>
      </c>
      <c r="K296" s="30"/>
      <c r="L296" s="30">
        <v>1170</v>
      </c>
      <c r="M296" s="30">
        <v>1170</v>
      </c>
    </row>
    <row r="297" spans="1:13" ht="24.75" x14ac:dyDescent="0.65">
      <c r="A297" s="113">
        <v>23</v>
      </c>
      <c r="B297" s="30">
        <v>1170</v>
      </c>
      <c r="C297" s="30">
        <v>1170</v>
      </c>
      <c r="D297" s="30">
        <v>1170</v>
      </c>
      <c r="E297" s="30"/>
      <c r="F297" s="30">
        <v>1170</v>
      </c>
      <c r="G297" s="30">
        <v>1170</v>
      </c>
      <c r="H297" s="30"/>
      <c r="I297" s="30">
        <v>1170</v>
      </c>
      <c r="J297" s="30"/>
      <c r="K297" s="30">
        <v>1170</v>
      </c>
      <c r="L297" s="30">
        <v>1170</v>
      </c>
      <c r="M297" s="30"/>
    </row>
    <row r="298" spans="1:13" ht="24.75" x14ac:dyDescent="0.65">
      <c r="A298" s="113">
        <v>24</v>
      </c>
      <c r="B298" s="30">
        <v>1170</v>
      </c>
      <c r="C298" s="30">
        <v>1170</v>
      </c>
      <c r="D298" s="30">
        <v>1170</v>
      </c>
      <c r="E298" s="30">
        <v>1170</v>
      </c>
      <c r="F298" s="30">
        <v>1170</v>
      </c>
      <c r="G298" s="30"/>
      <c r="H298" s="30">
        <v>1170</v>
      </c>
      <c r="I298" s="30">
        <v>1170</v>
      </c>
      <c r="J298" s="30"/>
      <c r="K298" s="30">
        <v>1170</v>
      </c>
      <c r="L298" s="30">
        <v>1170</v>
      </c>
      <c r="M298" s="30"/>
    </row>
    <row r="299" spans="1:13" ht="24.75" x14ac:dyDescent="0.65">
      <c r="A299" s="113">
        <v>25</v>
      </c>
      <c r="B299" s="30">
        <v>1170</v>
      </c>
      <c r="C299" s="30"/>
      <c r="D299" s="30"/>
      <c r="E299" s="30">
        <v>1170</v>
      </c>
      <c r="F299" s="30">
        <v>1170</v>
      </c>
      <c r="G299" s="30"/>
      <c r="H299" s="30">
        <v>1170</v>
      </c>
      <c r="I299" s="30">
        <v>1170</v>
      </c>
      <c r="J299" s="30">
        <v>1170</v>
      </c>
      <c r="K299" s="30">
        <v>1170</v>
      </c>
      <c r="L299" s="30"/>
      <c r="M299" s="30">
        <v>1170</v>
      </c>
    </row>
    <row r="300" spans="1:13" ht="24.75" x14ac:dyDescent="0.65">
      <c r="A300" s="113">
        <v>26</v>
      </c>
      <c r="B300" s="30">
        <v>1170</v>
      </c>
      <c r="C300" s="30"/>
      <c r="D300" s="30"/>
      <c r="E300" s="30">
        <v>1170</v>
      </c>
      <c r="F300" s="30">
        <v>1170</v>
      </c>
      <c r="G300" s="30">
        <v>1170</v>
      </c>
      <c r="H300" s="30">
        <v>1170</v>
      </c>
      <c r="I300" s="30"/>
      <c r="J300" s="30">
        <v>1170</v>
      </c>
      <c r="K300" s="30">
        <v>1170</v>
      </c>
      <c r="L300" s="30"/>
      <c r="M300" s="30">
        <v>1170</v>
      </c>
    </row>
    <row r="301" spans="1:13" ht="24.75" x14ac:dyDescent="0.65">
      <c r="A301" s="113">
        <v>27</v>
      </c>
      <c r="B301" s="30">
        <v>1170</v>
      </c>
      <c r="C301" s="30">
        <v>1170</v>
      </c>
      <c r="D301" s="30">
        <v>1170</v>
      </c>
      <c r="E301" s="30">
        <v>1170</v>
      </c>
      <c r="F301" s="30"/>
      <c r="G301" s="30">
        <v>1170</v>
      </c>
      <c r="H301" s="30">
        <v>1170</v>
      </c>
      <c r="I301" s="30"/>
      <c r="J301" s="30">
        <v>1170</v>
      </c>
      <c r="K301" s="30">
        <v>1170</v>
      </c>
      <c r="L301" s="30"/>
      <c r="M301" s="30">
        <v>1170</v>
      </c>
    </row>
    <row r="302" spans="1:13" ht="24.75" x14ac:dyDescent="0.65">
      <c r="A302" s="113">
        <v>28</v>
      </c>
      <c r="B302" s="30"/>
      <c r="C302" s="30">
        <v>1170</v>
      </c>
      <c r="D302" s="30">
        <v>1170</v>
      </c>
      <c r="E302" s="30">
        <v>1170</v>
      </c>
      <c r="F302" s="30"/>
      <c r="G302" s="30">
        <v>1170</v>
      </c>
      <c r="H302" s="30">
        <v>1170</v>
      </c>
      <c r="I302" s="30">
        <v>1170</v>
      </c>
      <c r="J302" s="30">
        <v>1170</v>
      </c>
      <c r="K302" s="30"/>
      <c r="L302" s="30">
        <v>1170</v>
      </c>
      <c r="M302" s="30">
        <v>1170</v>
      </c>
    </row>
    <row r="303" spans="1:13" ht="24.75" x14ac:dyDescent="0.65">
      <c r="A303" s="113">
        <v>29</v>
      </c>
      <c r="B303" s="30"/>
      <c r="C303" s="30"/>
      <c r="D303" s="30">
        <v>1170</v>
      </c>
      <c r="E303" s="30"/>
      <c r="F303" s="30">
        <v>1170</v>
      </c>
      <c r="G303" s="30">
        <v>1170</v>
      </c>
      <c r="H303" s="30"/>
      <c r="I303" s="30">
        <v>1170</v>
      </c>
      <c r="J303" s="30">
        <v>1170</v>
      </c>
      <c r="K303" s="30"/>
      <c r="L303" s="30">
        <v>1170</v>
      </c>
      <c r="M303" s="30">
        <v>1170</v>
      </c>
    </row>
    <row r="304" spans="1:13" ht="24.75" x14ac:dyDescent="0.65">
      <c r="A304" s="113">
        <v>30</v>
      </c>
      <c r="B304" s="30">
        <v>1170</v>
      </c>
      <c r="C304" s="30"/>
      <c r="D304" s="30">
        <v>1170</v>
      </c>
      <c r="E304" s="30"/>
      <c r="F304" s="30">
        <v>1170</v>
      </c>
      <c r="G304" s="30">
        <v>1170</v>
      </c>
      <c r="H304" s="30"/>
      <c r="I304" s="30"/>
      <c r="J304" s="30"/>
      <c r="K304" s="30">
        <v>1170</v>
      </c>
      <c r="L304" s="30">
        <v>1170</v>
      </c>
      <c r="M304" s="30"/>
    </row>
    <row r="305" spans="1:22" ht="25.5" thickBot="1" x14ac:dyDescent="0.7">
      <c r="A305" s="114">
        <v>31</v>
      </c>
      <c r="B305" s="30">
        <v>1170</v>
      </c>
      <c r="C305" s="30"/>
      <c r="D305" s="30">
        <v>1170</v>
      </c>
      <c r="E305" s="30"/>
      <c r="F305" s="30">
        <v>1170</v>
      </c>
      <c r="G305" s="30"/>
      <c r="H305" s="30">
        <v>1170</v>
      </c>
      <c r="I305" s="30"/>
      <c r="J305" s="30"/>
      <c r="K305" s="30">
        <v>1170</v>
      </c>
      <c r="L305" s="30">
        <f>AVERAGE(L275:L304)</f>
        <v>1170</v>
      </c>
      <c r="M305" s="30"/>
    </row>
    <row r="306" spans="1:22" ht="23.25" customHeight="1" thickBot="1" x14ac:dyDescent="0.7">
      <c r="A306" s="195" t="s">
        <v>15</v>
      </c>
      <c r="B306" s="197">
        <f>AVERAGE(B275:B305)</f>
        <v>1170</v>
      </c>
      <c r="C306" s="197">
        <f t="shared" ref="C306:M306" si="45">AVERAGE(C275:C305)</f>
        <v>1170</v>
      </c>
      <c r="D306" s="197">
        <f t="shared" si="45"/>
        <v>1170</v>
      </c>
      <c r="E306" s="197">
        <f t="shared" si="45"/>
        <v>1170</v>
      </c>
      <c r="F306" s="197">
        <f t="shared" si="45"/>
        <v>1170</v>
      </c>
      <c r="G306" s="197">
        <f t="shared" si="45"/>
        <v>1170</v>
      </c>
      <c r="H306" s="197">
        <f t="shared" si="45"/>
        <v>1170</v>
      </c>
      <c r="I306" s="197">
        <f t="shared" si="45"/>
        <v>1170</v>
      </c>
      <c r="J306" s="197">
        <f t="shared" si="45"/>
        <v>1170</v>
      </c>
      <c r="K306" s="197">
        <f t="shared" si="45"/>
        <v>1170</v>
      </c>
      <c r="L306" s="197">
        <f t="shared" si="45"/>
        <v>1170</v>
      </c>
      <c r="M306" s="197">
        <f t="shared" si="45"/>
        <v>1170</v>
      </c>
    </row>
    <row r="307" spans="1:22" s="23" customFormat="1" ht="25.5" thickBot="1" x14ac:dyDescent="0.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20"/>
      <c r="L307" s="20"/>
      <c r="M307" s="20"/>
      <c r="N307" s="21"/>
      <c r="O307" s="22"/>
      <c r="P307" s="22"/>
      <c r="Q307" s="22"/>
      <c r="R307" s="22"/>
      <c r="S307" s="22"/>
      <c r="T307" s="22"/>
      <c r="U307" s="22"/>
      <c r="V307" s="22"/>
    </row>
    <row r="308" spans="1:22" ht="25.5" thickBot="1" x14ac:dyDescent="0.7">
      <c r="A308" s="64" t="s">
        <v>53</v>
      </c>
      <c r="B308" s="29" t="s">
        <v>3</v>
      </c>
      <c r="C308" s="29" t="s">
        <v>4</v>
      </c>
      <c r="D308" s="29" t="s">
        <v>5</v>
      </c>
      <c r="E308" s="29" t="s">
        <v>6</v>
      </c>
      <c r="F308" s="29" t="s">
        <v>7</v>
      </c>
      <c r="G308" s="29" t="s">
        <v>41</v>
      </c>
      <c r="H308" s="29" t="s">
        <v>42</v>
      </c>
      <c r="I308" s="29" t="s">
        <v>10</v>
      </c>
      <c r="J308" s="29" t="s">
        <v>11</v>
      </c>
      <c r="K308" s="29" t="s">
        <v>12</v>
      </c>
      <c r="L308" s="29" t="s">
        <v>21</v>
      </c>
      <c r="M308" s="29" t="s">
        <v>14</v>
      </c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24.75" x14ac:dyDescent="0.65">
      <c r="A309" s="112">
        <v>1</v>
      </c>
      <c r="B309" s="30"/>
      <c r="C309" s="30">
        <v>1166</v>
      </c>
      <c r="D309" s="30">
        <v>1166</v>
      </c>
      <c r="E309" s="30">
        <v>1166</v>
      </c>
      <c r="F309" s="30"/>
      <c r="G309" s="30"/>
      <c r="H309" s="30">
        <v>1166</v>
      </c>
      <c r="I309" s="30">
        <v>1166</v>
      </c>
      <c r="J309" s="30"/>
      <c r="K309" s="30">
        <v>1166</v>
      </c>
      <c r="L309" s="30">
        <v>1166</v>
      </c>
      <c r="M309" s="30"/>
    </row>
    <row r="310" spans="1:22" ht="24.75" x14ac:dyDescent="0.65">
      <c r="A310" s="113">
        <v>2</v>
      </c>
      <c r="B310" s="30"/>
      <c r="C310" s="30">
        <v>1166</v>
      </c>
      <c r="D310" s="30"/>
      <c r="E310" s="30">
        <v>1166</v>
      </c>
      <c r="F310" s="30">
        <v>1166</v>
      </c>
      <c r="G310" s="30"/>
      <c r="H310" s="30">
        <v>1166</v>
      </c>
      <c r="I310" s="30"/>
      <c r="J310" s="30">
        <v>1166</v>
      </c>
      <c r="K310" s="30">
        <v>1166</v>
      </c>
      <c r="L310" s="30"/>
      <c r="M310" s="30">
        <v>1166</v>
      </c>
    </row>
    <row r="311" spans="1:22" ht="24.75" x14ac:dyDescent="0.65">
      <c r="A311" s="113">
        <v>3</v>
      </c>
      <c r="B311" s="30">
        <v>1170</v>
      </c>
      <c r="C311" s="30"/>
      <c r="D311" s="30"/>
      <c r="E311" s="30">
        <v>1166</v>
      </c>
      <c r="F311" s="30">
        <v>1166</v>
      </c>
      <c r="G311" s="30">
        <v>1166</v>
      </c>
      <c r="H311" s="30">
        <v>1166</v>
      </c>
      <c r="I311" s="30"/>
      <c r="J311" s="30">
        <v>1166</v>
      </c>
      <c r="K311" s="30">
        <v>1166</v>
      </c>
      <c r="L311" s="30"/>
      <c r="M311" s="30">
        <v>1166</v>
      </c>
    </row>
    <row r="312" spans="1:22" ht="24.75" x14ac:dyDescent="0.65">
      <c r="A312" s="113">
        <v>4</v>
      </c>
      <c r="B312" s="30">
        <v>1170</v>
      </c>
      <c r="C312" s="30"/>
      <c r="D312" s="30">
        <v>1166</v>
      </c>
      <c r="E312" s="30">
        <v>1166</v>
      </c>
      <c r="F312" s="30"/>
      <c r="G312" s="30">
        <v>1166</v>
      </c>
      <c r="H312" s="30">
        <v>1166</v>
      </c>
      <c r="I312" s="30"/>
      <c r="J312" s="30">
        <v>1166</v>
      </c>
      <c r="K312" s="30">
        <v>1166</v>
      </c>
      <c r="L312" s="30">
        <v>1166</v>
      </c>
      <c r="M312" s="30">
        <v>1166</v>
      </c>
    </row>
    <row r="313" spans="1:22" ht="24.75" x14ac:dyDescent="0.65">
      <c r="A313" s="113">
        <v>5</v>
      </c>
      <c r="B313" s="30">
        <v>1170</v>
      </c>
      <c r="C313" s="30"/>
      <c r="D313" s="30">
        <v>1166</v>
      </c>
      <c r="E313" s="30">
        <v>1166</v>
      </c>
      <c r="F313" s="30"/>
      <c r="G313" s="30">
        <v>1166</v>
      </c>
      <c r="H313" s="30">
        <v>1166</v>
      </c>
      <c r="I313" s="30">
        <v>1166</v>
      </c>
      <c r="J313" s="30">
        <v>1166</v>
      </c>
      <c r="K313" s="30"/>
      <c r="L313" s="30">
        <v>1166</v>
      </c>
      <c r="M313" s="30">
        <v>1166</v>
      </c>
    </row>
    <row r="314" spans="1:22" ht="24.75" x14ac:dyDescent="0.65">
      <c r="A314" s="113">
        <v>6</v>
      </c>
      <c r="B314" s="30"/>
      <c r="C314" s="30">
        <v>1166</v>
      </c>
      <c r="D314" s="30">
        <v>1166</v>
      </c>
      <c r="E314" s="30"/>
      <c r="F314" s="30">
        <v>1166</v>
      </c>
      <c r="G314" s="30">
        <v>1166</v>
      </c>
      <c r="H314" s="30"/>
      <c r="I314" s="30">
        <v>1166</v>
      </c>
      <c r="J314" s="30">
        <v>1166</v>
      </c>
      <c r="K314" s="30"/>
      <c r="L314" s="30">
        <v>1166</v>
      </c>
      <c r="M314" s="30">
        <v>1166</v>
      </c>
    </row>
    <row r="315" spans="1:22" ht="24.75" x14ac:dyDescent="0.65">
      <c r="A315" s="113">
        <v>7</v>
      </c>
      <c r="B315" s="30"/>
      <c r="C315" s="30">
        <v>1166</v>
      </c>
      <c r="D315" s="30">
        <v>1166</v>
      </c>
      <c r="E315" s="30"/>
      <c r="F315" s="30">
        <v>1166</v>
      </c>
      <c r="G315" s="30">
        <v>1166</v>
      </c>
      <c r="H315" s="30"/>
      <c r="I315" s="30">
        <v>1166</v>
      </c>
      <c r="J315" s="30"/>
      <c r="K315" s="30">
        <v>1166</v>
      </c>
      <c r="L315" s="30">
        <v>1166</v>
      </c>
      <c r="M315" s="30"/>
    </row>
    <row r="316" spans="1:22" ht="24.75" x14ac:dyDescent="0.65">
      <c r="A316" s="113">
        <v>8</v>
      </c>
      <c r="B316" s="30">
        <v>1170</v>
      </c>
      <c r="C316" s="30">
        <v>1166</v>
      </c>
      <c r="D316" s="30">
        <v>1166</v>
      </c>
      <c r="E316" s="30">
        <v>1166</v>
      </c>
      <c r="F316" s="30">
        <v>1166</v>
      </c>
      <c r="G316" s="30"/>
      <c r="H316" s="30">
        <v>1166</v>
      </c>
      <c r="I316" s="30">
        <v>1166</v>
      </c>
      <c r="J316" s="30"/>
      <c r="K316" s="30">
        <v>1166</v>
      </c>
      <c r="L316" s="30">
        <v>1166</v>
      </c>
      <c r="M316" s="30"/>
    </row>
    <row r="317" spans="1:22" ht="24.75" x14ac:dyDescent="0.65">
      <c r="A317" s="113">
        <v>9</v>
      </c>
      <c r="B317" s="30">
        <v>1170</v>
      </c>
      <c r="C317" s="30">
        <v>1166</v>
      </c>
      <c r="D317" s="30"/>
      <c r="E317" s="30">
        <v>1166</v>
      </c>
      <c r="F317" s="30">
        <v>1166</v>
      </c>
      <c r="G317" s="30"/>
      <c r="H317" s="30">
        <v>1166</v>
      </c>
      <c r="I317" s="30"/>
      <c r="J317" s="30">
        <v>1166</v>
      </c>
      <c r="K317" s="30">
        <v>1166</v>
      </c>
      <c r="L317" s="30"/>
      <c r="M317" s="30">
        <v>1166</v>
      </c>
    </row>
    <row r="318" spans="1:22" ht="24.75" x14ac:dyDescent="0.65">
      <c r="A318" s="113">
        <v>10</v>
      </c>
      <c r="B318" s="30">
        <v>1170</v>
      </c>
      <c r="C318" s="30"/>
      <c r="D318" s="30"/>
      <c r="E318" s="30">
        <v>1166</v>
      </c>
      <c r="F318" s="30">
        <v>1166</v>
      </c>
      <c r="G318" s="30">
        <v>1166</v>
      </c>
      <c r="H318" s="30">
        <v>1166</v>
      </c>
      <c r="I318" s="30"/>
      <c r="J318" s="30">
        <v>1166</v>
      </c>
      <c r="K318" s="30">
        <v>1166</v>
      </c>
      <c r="L318" s="30"/>
      <c r="M318" s="30">
        <v>1166</v>
      </c>
    </row>
    <row r="319" spans="1:22" ht="24.75" x14ac:dyDescent="0.65">
      <c r="A319" s="113">
        <v>11</v>
      </c>
      <c r="B319" s="30">
        <v>1170</v>
      </c>
      <c r="C319" s="30"/>
      <c r="D319" s="30">
        <v>1166</v>
      </c>
      <c r="E319" s="30">
        <v>1166</v>
      </c>
      <c r="F319" s="30"/>
      <c r="G319" s="30">
        <v>1166</v>
      </c>
      <c r="H319" s="30">
        <v>1166</v>
      </c>
      <c r="I319" s="30"/>
      <c r="J319" s="30">
        <v>1166</v>
      </c>
      <c r="K319" s="30">
        <v>1166</v>
      </c>
      <c r="L319" s="30">
        <v>1166</v>
      </c>
      <c r="M319" s="30">
        <v>1166</v>
      </c>
    </row>
    <row r="320" spans="1:22" ht="24.75" x14ac:dyDescent="0.65">
      <c r="A320" s="113">
        <v>12</v>
      </c>
      <c r="B320" s="30">
        <v>1170</v>
      </c>
      <c r="C320" s="30">
        <v>1166</v>
      </c>
      <c r="D320" s="30">
        <v>1166</v>
      </c>
      <c r="E320" s="30">
        <v>1166</v>
      </c>
      <c r="F320" s="30"/>
      <c r="G320" s="30">
        <v>1166</v>
      </c>
      <c r="H320" s="30">
        <v>1166</v>
      </c>
      <c r="I320" s="30">
        <v>1166</v>
      </c>
      <c r="J320" s="30">
        <v>1166</v>
      </c>
      <c r="K320" s="30"/>
      <c r="L320" s="30">
        <v>1166</v>
      </c>
      <c r="M320" s="30">
        <v>1166</v>
      </c>
    </row>
    <row r="321" spans="1:13" ht="24.75" x14ac:dyDescent="0.65">
      <c r="A321" s="113">
        <v>13</v>
      </c>
      <c r="B321" s="30"/>
      <c r="C321" s="30">
        <v>1166</v>
      </c>
      <c r="D321" s="30">
        <v>1166</v>
      </c>
      <c r="E321" s="30"/>
      <c r="F321" s="30">
        <v>1166</v>
      </c>
      <c r="G321" s="30">
        <v>1166</v>
      </c>
      <c r="H321" s="30"/>
      <c r="I321" s="30">
        <v>1166</v>
      </c>
      <c r="J321" s="30">
        <v>1166</v>
      </c>
      <c r="K321" s="30"/>
      <c r="L321" s="30">
        <v>1166</v>
      </c>
      <c r="M321" s="30">
        <v>1166</v>
      </c>
    </row>
    <row r="322" spans="1:13" ht="24.75" x14ac:dyDescent="0.65">
      <c r="A322" s="113">
        <v>14</v>
      </c>
      <c r="B322" s="30"/>
      <c r="C322" s="30">
        <v>1166</v>
      </c>
      <c r="D322" s="30">
        <v>1166</v>
      </c>
      <c r="E322" s="30"/>
      <c r="F322" s="30">
        <v>1166</v>
      </c>
      <c r="G322" s="30"/>
      <c r="H322" s="30"/>
      <c r="I322" s="30">
        <v>1166</v>
      </c>
      <c r="J322" s="30"/>
      <c r="K322" s="30">
        <v>1166</v>
      </c>
      <c r="L322" s="30">
        <v>1166</v>
      </c>
      <c r="M322" s="30"/>
    </row>
    <row r="323" spans="1:13" ht="24.75" x14ac:dyDescent="0.65">
      <c r="A323" s="113">
        <v>15</v>
      </c>
      <c r="B323" s="30">
        <v>1170</v>
      </c>
      <c r="C323" s="30">
        <v>1166</v>
      </c>
      <c r="D323" s="30">
        <v>1166</v>
      </c>
      <c r="E323" s="30">
        <v>1166</v>
      </c>
      <c r="F323" s="30">
        <v>1166</v>
      </c>
      <c r="G323" s="30"/>
      <c r="H323" s="30">
        <v>1166</v>
      </c>
      <c r="I323" s="30">
        <v>1166</v>
      </c>
      <c r="J323" s="30"/>
      <c r="K323" s="30">
        <v>1166</v>
      </c>
      <c r="L323" s="30"/>
      <c r="M323" s="30"/>
    </row>
    <row r="324" spans="1:13" ht="24.75" x14ac:dyDescent="0.65">
      <c r="A324" s="113">
        <v>16</v>
      </c>
      <c r="B324" s="30">
        <v>1170</v>
      </c>
      <c r="C324" s="30">
        <v>1166</v>
      </c>
      <c r="D324" s="30"/>
      <c r="E324" s="30">
        <v>1166</v>
      </c>
      <c r="F324" s="30">
        <v>1166</v>
      </c>
      <c r="G324" s="30"/>
      <c r="H324" s="30">
        <v>1166</v>
      </c>
      <c r="I324" s="30">
        <v>1166</v>
      </c>
      <c r="J324" s="30">
        <v>1166</v>
      </c>
      <c r="K324" s="30">
        <v>1166</v>
      </c>
      <c r="L324" s="30"/>
      <c r="M324" s="30">
        <v>1166</v>
      </c>
    </row>
    <row r="325" spans="1:13" ht="24.75" x14ac:dyDescent="0.65">
      <c r="A325" s="113">
        <v>17</v>
      </c>
      <c r="B325" s="30">
        <v>1166</v>
      </c>
      <c r="C325" s="30"/>
      <c r="D325" s="30"/>
      <c r="E325" s="30">
        <v>1166</v>
      </c>
      <c r="F325" s="30">
        <v>1166</v>
      </c>
      <c r="G325" s="30">
        <v>1166</v>
      </c>
      <c r="H325" s="30">
        <v>1166</v>
      </c>
      <c r="I325" s="30"/>
      <c r="J325" s="30">
        <v>1166</v>
      </c>
      <c r="K325" s="30">
        <v>1166</v>
      </c>
      <c r="L325" s="30"/>
      <c r="M325" s="30">
        <v>1166</v>
      </c>
    </row>
    <row r="326" spans="1:13" ht="24.75" x14ac:dyDescent="0.65">
      <c r="A326" s="113">
        <v>18</v>
      </c>
      <c r="B326" s="30">
        <v>1166</v>
      </c>
      <c r="C326" s="30"/>
      <c r="D326" s="30">
        <v>1166</v>
      </c>
      <c r="E326" s="30">
        <v>1166</v>
      </c>
      <c r="F326" s="30"/>
      <c r="G326" s="30">
        <v>1166</v>
      </c>
      <c r="H326" s="30">
        <v>1166</v>
      </c>
      <c r="I326" s="30"/>
      <c r="J326" s="30">
        <v>1166</v>
      </c>
      <c r="K326" s="30">
        <v>1166</v>
      </c>
      <c r="L326" s="30">
        <v>1166</v>
      </c>
      <c r="M326" s="30">
        <v>1166</v>
      </c>
    </row>
    <row r="327" spans="1:13" ht="24.75" x14ac:dyDescent="0.65">
      <c r="A327" s="113">
        <v>19</v>
      </c>
      <c r="B327" s="30">
        <v>1166</v>
      </c>
      <c r="C327" s="30">
        <v>1166</v>
      </c>
      <c r="D327" s="30">
        <v>1166</v>
      </c>
      <c r="E327" s="30">
        <v>1166</v>
      </c>
      <c r="F327" s="30"/>
      <c r="G327" s="30">
        <v>1166</v>
      </c>
      <c r="H327" s="30">
        <v>1166</v>
      </c>
      <c r="I327" s="30"/>
      <c r="J327" s="30">
        <v>1166</v>
      </c>
      <c r="K327" s="30"/>
      <c r="L327" s="30">
        <v>1166</v>
      </c>
      <c r="M327" s="30">
        <v>1166</v>
      </c>
    </row>
    <row r="328" spans="1:13" ht="24.75" x14ac:dyDescent="0.65">
      <c r="A328" s="113">
        <v>20</v>
      </c>
      <c r="B328" s="30"/>
      <c r="C328" s="30">
        <v>1166</v>
      </c>
      <c r="D328" s="30">
        <v>1166</v>
      </c>
      <c r="E328" s="30"/>
      <c r="F328" s="30">
        <v>1166</v>
      </c>
      <c r="G328" s="30">
        <v>1166</v>
      </c>
      <c r="H328" s="30"/>
      <c r="I328" s="30"/>
      <c r="J328" s="30">
        <v>1166</v>
      </c>
      <c r="K328" s="30"/>
      <c r="L328" s="30">
        <v>1166</v>
      </c>
      <c r="M328" s="30">
        <v>1166</v>
      </c>
    </row>
    <row r="329" spans="1:13" ht="24.75" x14ac:dyDescent="0.65">
      <c r="A329" s="113">
        <v>21</v>
      </c>
      <c r="B329" s="30"/>
      <c r="C329" s="30">
        <v>1166</v>
      </c>
      <c r="D329" s="30"/>
      <c r="E329" s="30"/>
      <c r="F329" s="30">
        <v>1166</v>
      </c>
      <c r="G329" s="30">
        <v>1166</v>
      </c>
      <c r="H329" s="30"/>
      <c r="I329" s="30"/>
      <c r="J329" s="30"/>
      <c r="K329" s="30">
        <v>1166</v>
      </c>
      <c r="L329" s="30">
        <v>1166</v>
      </c>
      <c r="M329" s="30"/>
    </row>
    <row r="330" spans="1:13" ht="24.75" x14ac:dyDescent="0.65">
      <c r="A330" s="113">
        <v>22</v>
      </c>
      <c r="B330" s="30">
        <v>1166</v>
      </c>
      <c r="C330" s="30">
        <v>1166</v>
      </c>
      <c r="D330" s="30">
        <v>1166</v>
      </c>
      <c r="E330" s="30">
        <v>1166</v>
      </c>
      <c r="F330" s="30">
        <v>1166</v>
      </c>
      <c r="G330" s="30"/>
      <c r="H330" s="30">
        <v>1166</v>
      </c>
      <c r="I330" s="30"/>
      <c r="J330" s="30"/>
      <c r="K330" s="30">
        <v>1166</v>
      </c>
      <c r="L330" s="30">
        <v>1166</v>
      </c>
      <c r="M330" s="30"/>
    </row>
    <row r="331" spans="1:13" ht="24.75" x14ac:dyDescent="0.65">
      <c r="A331" s="113">
        <v>23</v>
      </c>
      <c r="B331" s="30">
        <v>1166</v>
      </c>
      <c r="C331" s="30">
        <v>1166</v>
      </c>
      <c r="D331" s="30"/>
      <c r="E331" s="30">
        <v>1166</v>
      </c>
      <c r="F331" s="30">
        <v>1166</v>
      </c>
      <c r="G331" s="30"/>
      <c r="H331" s="30">
        <v>1166</v>
      </c>
      <c r="I331" s="30"/>
      <c r="J331" s="30">
        <v>1166</v>
      </c>
      <c r="K331" s="30">
        <v>1166</v>
      </c>
      <c r="L331" s="30"/>
      <c r="M331" s="30">
        <v>1166</v>
      </c>
    </row>
    <row r="332" spans="1:13" ht="24.75" x14ac:dyDescent="0.65">
      <c r="A332" s="113">
        <v>24</v>
      </c>
      <c r="B332" s="30">
        <v>1166</v>
      </c>
      <c r="C332" s="30"/>
      <c r="D332" s="30"/>
      <c r="E332" s="30">
        <v>1166</v>
      </c>
      <c r="F332" s="30">
        <v>1166</v>
      </c>
      <c r="G332" s="30">
        <v>1166</v>
      </c>
      <c r="H332" s="30">
        <v>1166</v>
      </c>
      <c r="I332" s="30"/>
      <c r="J332" s="30">
        <v>1166</v>
      </c>
      <c r="K332" s="30">
        <v>1166</v>
      </c>
      <c r="L332" s="30"/>
      <c r="M332" s="30">
        <v>1166</v>
      </c>
    </row>
    <row r="333" spans="1:13" ht="24.75" x14ac:dyDescent="0.65">
      <c r="A333" s="113">
        <v>25</v>
      </c>
      <c r="B333" s="30">
        <v>1166</v>
      </c>
      <c r="C333" s="30"/>
      <c r="D333" s="30"/>
      <c r="E333" s="30">
        <v>1166</v>
      </c>
      <c r="F333" s="30"/>
      <c r="G333" s="30">
        <v>1166</v>
      </c>
      <c r="H333" s="30">
        <v>1166</v>
      </c>
      <c r="I333" s="30"/>
      <c r="J333" s="30">
        <v>1166</v>
      </c>
      <c r="K333" s="30">
        <v>1166</v>
      </c>
      <c r="L333" s="30">
        <v>1166</v>
      </c>
      <c r="M333" s="30">
        <v>1166</v>
      </c>
    </row>
    <row r="334" spans="1:13" ht="24.75" x14ac:dyDescent="0.65">
      <c r="A334" s="113">
        <v>26</v>
      </c>
      <c r="B334" s="30">
        <v>1166</v>
      </c>
      <c r="C334" s="30">
        <v>1166</v>
      </c>
      <c r="D334" s="30"/>
      <c r="E334" s="30">
        <v>1166</v>
      </c>
      <c r="F334" s="30"/>
      <c r="G334" s="30">
        <v>1166</v>
      </c>
      <c r="H334" s="30"/>
      <c r="I334" s="30">
        <v>1166</v>
      </c>
      <c r="J334" s="30">
        <v>1166</v>
      </c>
      <c r="K334" s="30"/>
      <c r="L334" s="30">
        <v>1166</v>
      </c>
      <c r="M334" s="30">
        <v>1166</v>
      </c>
    </row>
    <row r="335" spans="1:13" ht="24.75" x14ac:dyDescent="0.65">
      <c r="A335" s="113">
        <v>27</v>
      </c>
      <c r="B335" s="30"/>
      <c r="C335" s="30">
        <v>1166</v>
      </c>
      <c r="D335" s="30"/>
      <c r="E335" s="30"/>
      <c r="F335" s="30">
        <v>1166</v>
      </c>
      <c r="G335" s="30">
        <v>1166</v>
      </c>
      <c r="H335" s="30"/>
      <c r="I335" s="30">
        <v>1166</v>
      </c>
      <c r="J335" s="30">
        <v>1166</v>
      </c>
      <c r="K335" s="30"/>
      <c r="L335" s="30">
        <v>1166</v>
      </c>
      <c r="M335" s="30">
        <v>1166</v>
      </c>
    </row>
    <row r="336" spans="1:13" ht="24.75" x14ac:dyDescent="0.65">
      <c r="A336" s="113">
        <v>28</v>
      </c>
      <c r="B336" s="30"/>
      <c r="C336" s="30">
        <v>1166</v>
      </c>
      <c r="D336" s="30"/>
      <c r="E336" s="30"/>
      <c r="F336" s="30">
        <v>1166</v>
      </c>
      <c r="G336" s="30">
        <v>1166</v>
      </c>
      <c r="H336" s="30"/>
      <c r="I336" s="30">
        <v>1166</v>
      </c>
      <c r="J336" s="30"/>
      <c r="K336" s="30"/>
      <c r="L336" s="30">
        <v>1166</v>
      </c>
      <c r="M336" s="30"/>
    </row>
    <row r="337" spans="1:22" ht="24.75" x14ac:dyDescent="0.65">
      <c r="A337" s="113">
        <v>29</v>
      </c>
      <c r="B337" s="30">
        <v>1166</v>
      </c>
      <c r="C337" s="30">
        <v>1166</v>
      </c>
      <c r="D337" s="30"/>
      <c r="E337" s="30">
        <v>1166</v>
      </c>
      <c r="F337" s="30">
        <v>1166</v>
      </c>
      <c r="G337" s="30"/>
      <c r="H337" s="30">
        <v>1166</v>
      </c>
      <c r="I337" s="30">
        <v>1166</v>
      </c>
      <c r="J337" s="30"/>
      <c r="K337" s="30"/>
      <c r="L337" s="30">
        <v>1166</v>
      </c>
      <c r="M337" s="30"/>
    </row>
    <row r="338" spans="1:22" ht="24.75" x14ac:dyDescent="0.65">
      <c r="A338" s="113">
        <v>30</v>
      </c>
      <c r="B338" s="30">
        <v>1166</v>
      </c>
      <c r="C338" s="30"/>
      <c r="D338" s="30"/>
      <c r="E338" s="30">
        <v>1166</v>
      </c>
      <c r="F338" s="30">
        <v>1166</v>
      </c>
      <c r="G338" s="30"/>
      <c r="H338" s="30">
        <v>1166</v>
      </c>
      <c r="I338" s="30">
        <v>1166</v>
      </c>
      <c r="J338" s="30">
        <v>1166</v>
      </c>
      <c r="K338" s="30">
        <v>1166</v>
      </c>
      <c r="L338" s="30"/>
      <c r="M338" s="30">
        <v>1166</v>
      </c>
    </row>
    <row r="339" spans="1:22" ht="25.5" thickBot="1" x14ac:dyDescent="0.7">
      <c r="A339" s="114">
        <v>31</v>
      </c>
      <c r="B339" s="30">
        <v>1166</v>
      </c>
      <c r="C339" s="30"/>
      <c r="D339" s="30"/>
      <c r="E339" s="30"/>
      <c r="F339" s="30">
        <v>1166</v>
      </c>
      <c r="G339" s="30"/>
      <c r="H339" s="30">
        <v>1166</v>
      </c>
      <c r="I339" s="30"/>
      <c r="J339" s="30"/>
      <c r="K339" s="30">
        <v>1166</v>
      </c>
      <c r="L339" s="30"/>
      <c r="M339" s="30">
        <v>1166</v>
      </c>
    </row>
    <row r="340" spans="1:22" ht="23.25" customHeight="1" thickBot="1" x14ac:dyDescent="0.7">
      <c r="A340" s="195" t="s">
        <v>15</v>
      </c>
      <c r="B340" s="197">
        <f>AVERAGE(B309:B339)</f>
        <v>1167.9047619047619</v>
      </c>
      <c r="C340" s="197">
        <f t="shared" ref="C340:M340" si="46">AVERAGE(C309:C339)</f>
        <v>1166</v>
      </c>
      <c r="D340" s="197">
        <f t="shared" si="46"/>
        <v>1166</v>
      </c>
      <c r="E340" s="197">
        <f t="shared" si="46"/>
        <v>1166</v>
      </c>
      <c r="F340" s="197">
        <f t="shared" si="46"/>
        <v>1166</v>
      </c>
      <c r="G340" s="197">
        <f t="shared" si="46"/>
        <v>1166</v>
      </c>
      <c r="H340" s="197">
        <f t="shared" si="46"/>
        <v>1166</v>
      </c>
      <c r="I340" s="197">
        <f t="shared" si="46"/>
        <v>1166</v>
      </c>
      <c r="J340" s="197">
        <f t="shared" si="46"/>
        <v>1166</v>
      </c>
      <c r="K340" s="197">
        <f t="shared" si="46"/>
        <v>1166</v>
      </c>
      <c r="L340" s="197">
        <f t="shared" si="46"/>
        <v>1166</v>
      </c>
      <c r="M340" s="197">
        <f t="shared" si="46"/>
        <v>1166</v>
      </c>
    </row>
    <row r="341" spans="1:22" s="23" customFormat="1" ht="25.5" thickBot="1" x14ac:dyDescent="0.7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20"/>
      <c r="L341" s="20"/>
      <c r="M341" s="20"/>
      <c r="N341" s="21"/>
      <c r="O341" s="22"/>
      <c r="P341" s="22"/>
      <c r="Q341" s="22"/>
      <c r="R341" s="22"/>
      <c r="S341" s="22"/>
      <c r="T341" s="22"/>
      <c r="U341" s="22"/>
      <c r="V341" s="22"/>
    </row>
    <row r="342" spans="1:22" ht="25.5" thickBot="1" x14ac:dyDescent="0.7">
      <c r="A342" s="64" t="s">
        <v>54</v>
      </c>
      <c r="B342" s="29" t="s">
        <v>3</v>
      </c>
      <c r="C342" s="29" t="s">
        <v>4</v>
      </c>
      <c r="D342" s="29" t="s">
        <v>5</v>
      </c>
      <c r="E342" s="29" t="s">
        <v>6</v>
      </c>
      <c r="F342" s="29" t="s">
        <v>7</v>
      </c>
      <c r="G342" s="29" t="s">
        <v>41</v>
      </c>
      <c r="H342" s="29" t="s">
        <v>42</v>
      </c>
      <c r="I342" s="29" t="s">
        <v>10</v>
      </c>
      <c r="J342" s="29" t="s">
        <v>11</v>
      </c>
      <c r="K342" s="29" t="s">
        <v>12</v>
      </c>
      <c r="L342" s="29" t="s">
        <v>21</v>
      </c>
      <c r="M342" s="29" t="s">
        <v>14</v>
      </c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24.75" x14ac:dyDescent="0.65">
      <c r="A343" s="112">
        <v>1</v>
      </c>
      <c r="B343" s="30"/>
      <c r="C343" s="30"/>
      <c r="D343" s="30"/>
      <c r="E343" s="30">
        <v>1166</v>
      </c>
      <c r="F343" s="30"/>
      <c r="G343" s="30">
        <v>1166</v>
      </c>
      <c r="H343" s="30">
        <v>1166</v>
      </c>
      <c r="I343" s="30">
        <v>1166</v>
      </c>
      <c r="J343" s="30">
        <v>1166</v>
      </c>
      <c r="K343" s="30">
        <v>1166</v>
      </c>
      <c r="L343" s="30"/>
      <c r="M343" s="30">
        <v>1166</v>
      </c>
    </row>
    <row r="344" spans="1:22" ht="24.75" x14ac:dyDescent="0.65">
      <c r="A344" s="113">
        <v>2</v>
      </c>
      <c r="B344" s="30">
        <v>1166</v>
      </c>
      <c r="C344" s="30"/>
      <c r="D344" s="30"/>
      <c r="E344" s="30">
        <v>1166</v>
      </c>
      <c r="F344" s="30">
        <v>1166</v>
      </c>
      <c r="G344" s="30">
        <v>1166</v>
      </c>
      <c r="H344" s="30">
        <v>1166</v>
      </c>
      <c r="I344" s="30"/>
      <c r="J344" s="30">
        <v>1166</v>
      </c>
      <c r="K344" s="30">
        <v>1166</v>
      </c>
      <c r="L344" s="30">
        <v>1166</v>
      </c>
      <c r="M344" s="30">
        <v>1166</v>
      </c>
    </row>
    <row r="345" spans="1:22" ht="24.75" x14ac:dyDescent="0.65">
      <c r="A345" s="113">
        <v>3</v>
      </c>
      <c r="B345" s="30"/>
      <c r="C345" s="30">
        <v>1166</v>
      </c>
      <c r="D345" s="30">
        <v>1166</v>
      </c>
      <c r="E345" s="30">
        <v>1166</v>
      </c>
      <c r="F345" s="30"/>
      <c r="G345" s="30">
        <v>1166</v>
      </c>
      <c r="H345" s="30">
        <v>1166</v>
      </c>
      <c r="I345" s="30">
        <v>1166</v>
      </c>
      <c r="J345" s="30">
        <v>1166</v>
      </c>
      <c r="K345" s="30">
        <v>1166</v>
      </c>
      <c r="L345" s="30">
        <v>1166</v>
      </c>
      <c r="M345" s="30">
        <v>1166</v>
      </c>
    </row>
    <row r="346" spans="1:22" ht="24.75" x14ac:dyDescent="0.65">
      <c r="A346" s="113">
        <v>4</v>
      </c>
      <c r="B346" s="30"/>
      <c r="C346" s="30">
        <v>1166</v>
      </c>
      <c r="D346" s="30">
        <v>1166</v>
      </c>
      <c r="E346" s="30">
        <v>1166</v>
      </c>
      <c r="F346" s="30"/>
      <c r="G346" s="30"/>
      <c r="H346" s="30">
        <v>1166</v>
      </c>
      <c r="I346" s="30">
        <v>1166</v>
      </c>
      <c r="J346" s="30">
        <v>1166</v>
      </c>
      <c r="K346" s="30"/>
      <c r="L346" s="30">
        <v>1166</v>
      </c>
      <c r="M346" s="30">
        <v>1166</v>
      </c>
    </row>
    <row r="347" spans="1:22" ht="24.75" x14ac:dyDescent="0.65">
      <c r="A347" s="113">
        <v>5</v>
      </c>
      <c r="B347" s="30"/>
      <c r="C347" s="30">
        <v>1166</v>
      </c>
      <c r="D347" s="30">
        <v>1166</v>
      </c>
      <c r="E347" s="30"/>
      <c r="F347" s="30">
        <v>1166</v>
      </c>
      <c r="G347" s="30"/>
      <c r="H347" s="30"/>
      <c r="I347" s="30">
        <v>1166</v>
      </c>
      <c r="J347" s="30">
        <v>1166</v>
      </c>
      <c r="K347" s="30">
        <v>1166</v>
      </c>
      <c r="L347" s="30">
        <v>1166</v>
      </c>
      <c r="M347" s="30">
        <v>1166</v>
      </c>
    </row>
    <row r="348" spans="1:22" ht="24.75" x14ac:dyDescent="0.65">
      <c r="A348" s="113">
        <v>6</v>
      </c>
      <c r="B348" s="30"/>
      <c r="C348" s="30">
        <v>1166</v>
      </c>
      <c r="D348" s="30">
        <v>1166</v>
      </c>
      <c r="E348" s="30"/>
      <c r="F348" s="30">
        <v>1166</v>
      </c>
      <c r="G348" s="30">
        <v>1166</v>
      </c>
      <c r="H348" s="30">
        <v>1166</v>
      </c>
      <c r="I348" s="30">
        <v>1166</v>
      </c>
      <c r="J348" s="30"/>
      <c r="K348" s="30">
        <v>1166</v>
      </c>
      <c r="L348" s="30">
        <v>1166</v>
      </c>
      <c r="M348" s="30"/>
    </row>
    <row r="349" spans="1:22" ht="24.75" x14ac:dyDescent="0.65">
      <c r="A349" s="113">
        <v>7</v>
      </c>
      <c r="B349" s="30">
        <v>1166</v>
      </c>
      <c r="C349" s="30">
        <v>1166</v>
      </c>
      <c r="D349" s="30">
        <v>1166</v>
      </c>
      <c r="E349" s="30">
        <v>1166</v>
      </c>
      <c r="F349" s="30">
        <v>1166</v>
      </c>
      <c r="G349" s="30"/>
      <c r="H349" s="30">
        <v>1166</v>
      </c>
      <c r="I349" s="30">
        <v>1166</v>
      </c>
      <c r="J349" s="30">
        <v>1166</v>
      </c>
      <c r="K349" s="30">
        <v>1166</v>
      </c>
      <c r="L349" s="30">
        <v>1166</v>
      </c>
      <c r="M349" s="30">
        <v>1166</v>
      </c>
    </row>
    <row r="350" spans="1:22" ht="24.75" x14ac:dyDescent="0.65">
      <c r="A350" s="113">
        <v>8</v>
      </c>
      <c r="B350" s="30">
        <v>1166</v>
      </c>
      <c r="C350" s="30"/>
      <c r="D350" s="30"/>
      <c r="E350" s="30">
        <v>1166</v>
      </c>
      <c r="F350" s="30">
        <v>1166</v>
      </c>
      <c r="G350" s="30">
        <v>1166</v>
      </c>
      <c r="H350" s="30">
        <v>1166</v>
      </c>
      <c r="I350" s="30">
        <v>1166</v>
      </c>
      <c r="J350" s="30">
        <v>1166</v>
      </c>
      <c r="K350" s="30">
        <v>1166</v>
      </c>
      <c r="L350" s="30"/>
      <c r="M350" s="30">
        <v>1166</v>
      </c>
    </row>
    <row r="351" spans="1:22" ht="24.75" x14ac:dyDescent="0.65">
      <c r="A351" s="113">
        <v>9</v>
      </c>
      <c r="B351" s="30">
        <v>1166</v>
      </c>
      <c r="C351" s="30"/>
      <c r="D351" s="30"/>
      <c r="E351" s="30">
        <v>1166</v>
      </c>
      <c r="F351" s="30">
        <v>1166</v>
      </c>
      <c r="G351" s="30">
        <v>1166</v>
      </c>
      <c r="H351" s="30">
        <v>1166</v>
      </c>
      <c r="I351" s="30"/>
      <c r="J351" s="30">
        <v>1166</v>
      </c>
      <c r="K351" s="30">
        <v>1166</v>
      </c>
      <c r="L351" s="30">
        <v>1166</v>
      </c>
      <c r="M351" s="30">
        <v>1166</v>
      </c>
    </row>
    <row r="352" spans="1:22" ht="24.75" x14ac:dyDescent="0.65">
      <c r="A352" s="113">
        <v>10</v>
      </c>
      <c r="B352" s="30">
        <v>1166</v>
      </c>
      <c r="C352" s="30">
        <v>1166</v>
      </c>
      <c r="D352" s="30">
        <v>1166</v>
      </c>
      <c r="E352" s="30">
        <v>1166</v>
      </c>
      <c r="F352" s="30"/>
      <c r="G352" s="30">
        <v>1166</v>
      </c>
      <c r="H352" s="30">
        <v>1166</v>
      </c>
      <c r="I352" s="30">
        <v>1166</v>
      </c>
      <c r="J352" s="30">
        <v>1166</v>
      </c>
      <c r="K352" s="30">
        <v>1166</v>
      </c>
      <c r="L352" s="30">
        <v>1166</v>
      </c>
      <c r="M352" s="30">
        <v>1166</v>
      </c>
    </row>
    <row r="353" spans="1:13" ht="24.75" x14ac:dyDescent="0.65">
      <c r="A353" s="113">
        <v>11</v>
      </c>
      <c r="B353" s="30"/>
      <c r="C353" s="30">
        <v>1166</v>
      </c>
      <c r="D353" s="30">
        <v>1166</v>
      </c>
      <c r="E353" s="30"/>
      <c r="F353" s="30"/>
      <c r="G353" s="30">
        <v>1166</v>
      </c>
      <c r="H353" s="30">
        <v>1166</v>
      </c>
      <c r="I353" s="30">
        <v>1166</v>
      </c>
      <c r="J353" s="30">
        <v>1166</v>
      </c>
      <c r="K353" s="30"/>
      <c r="L353" s="30">
        <v>1166</v>
      </c>
      <c r="M353" s="30">
        <v>1166</v>
      </c>
    </row>
    <row r="354" spans="1:13" ht="24.75" x14ac:dyDescent="0.65">
      <c r="A354" s="113">
        <v>12</v>
      </c>
      <c r="B354" s="30">
        <v>1166</v>
      </c>
      <c r="C354" s="30">
        <v>1166</v>
      </c>
      <c r="D354" s="30">
        <v>1166</v>
      </c>
      <c r="E354" s="30"/>
      <c r="F354" s="30">
        <v>1166</v>
      </c>
      <c r="G354" s="30">
        <v>1166</v>
      </c>
      <c r="H354" s="30"/>
      <c r="I354" s="30">
        <v>1166</v>
      </c>
      <c r="J354" s="30">
        <v>1166</v>
      </c>
      <c r="K354" s="30">
        <v>1166</v>
      </c>
      <c r="L354" s="30">
        <v>1166</v>
      </c>
      <c r="M354" s="30">
        <v>1166</v>
      </c>
    </row>
    <row r="355" spans="1:13" ht="24.75" x14ac:dyDescent="0.65">
      <c r="A355" s="113">
        <v>13</v>
      </c>
      <c r="B355" s="30">
        <v>1166</v>
      </c>
      <c r="C355" s="30">
        <v>1166</v>
      </c>
      <c r="D355" s="30">
        <v>1166</v>
      </c>
      <c r="E355" s="30">
        <v>1166</v>
      </c>
      <c r="F355" s="30">
        <v>1166</v>
      </c>
      <c r="G355" s="30">
        <v>1166</v>
      </c>
      <c r="H355" s="30">
        <v>1166</v>
      </c>
      <c r="I355" s="30">
        <v>1166</v>
      </c>
      <c r="J355" s="30"/>
      <c r="K355" s="30">
        <v>1166</v>
      </c>
      <c r="L355" s="30">
        <v>1166</v>
      </c>
      <c r="M355" s="30"/>
    </row>
    <row r="356" spans="1:13" ht="24.75" x14ac:dyDescent="0.65">
      <c r="A356" s="113">
        <v>14</v>
      </c>
      <c r="B356" s="30">
        <v>1166</v>
      </c>
      <c r="C356" s="30">
        <v>1166</v>
      </c>
      <c r="D356" s="30">
        <v>1166</v>
      </c>
      <c r="E356" s="30">
        <v>1166</v>
      </c>
      <c r="F356" s="30">
        <v>1166</v>
      </c>
      <c r="G356" s="30"/>
      <c r="H356" s="30"/>
      <c r="I356" s="30">
        <v>1166</v>
      </c>
      <c r="J356" s="30">
        <v>1166</v>
      </c>
      <c r="K356" s="30">
        <v>1166</v>
      </c>
      <c r="L356" s="30">
        <v>1166</v>
      </c>
      <c r="M356" s="30">
        <v>1166</v>
      </c>
    </row>
    <row r="357" spans="1:13" ht="24.75" x14ac:dyDescent="0.65">
      <c r="A357" s="113">
        <v>15</v>
      </c>
      <c r="B357" s="30">
        <v>1166</v>
      </c>
      <c r="C357" s="30"/>
      <c r="D357" s="30"/>
      <c r="E357" s="30">
        <v>1166</v>
      </c>
      <c r="F357" s="30">
        <v>1166</v>
      </c>
      <c r="G357" s="30">
        <v>1166</v>
      </c>
      <c r="H357" s="30">
        <v>1166</v>
      </c>
      <c r="I357" s="30">
        <v>1166</v>
      </c>
      <c r="J357" s="30">
        <v>1166</v>
      </c>
      <c r="K357" s="30">
        <v>1166</v>
      </c>
      <c r="L357" s="30"/>
      <c r="M357" s="30">
        <v>1166</v>
      </c>
    </row>
    <row r="358" spans="1:13" ht="24.75" x14ac:dyDescent="0.65">
      <c r="A358" s="113">
        <v>16</v>
      </c>
      <c r="B358" s="30">
        <v>1166</v>
      </c>
      <c r="C358" s="30"/>
      <c r="D358" s="30"/>
      <c r="E358" s="30">
        <v>1166</v>
      </c>
      <c r="F358" s="30">
        <v>1166</v>
      </c>
      <c r="G358" s="30">
        <v>1166</v>
      </c>
      <c r="H358" s="30">
        <v>1166</v>
      </c>
      <c r="I358" s="30"/>
      <c r="J358" s="30">
        <v>1166</v>
      </c>
      <c r="K358" s="30">
        <v>1166</v>
      </c>
      <c r="L358" s="30">
        <v>1166</v>
      </c>
      <c r="M358" s="30">
        <v>1166</v>
      </c>
    </row>
    <row r="359" spans="1:13" ht="24.75" x14ac:dyDescent="0.65">
      <c r="A359" s="113">
        <v>17</v>
      </c>
      <c r="B359" s="30">
        <v>1166</v>
      </c>
      <c r="C359" s="30">
        <v>1166</v>
      </c>
      <c r="D359" s="30">
        <v>1166</v>
      </c>
      <c r="E359" s="30">
        <v>1166</v>
      </c>
      <c r="F359" s="30"/>
      <c r="G359" s="30">
        <v>1166</v>
      </c>
      <c r="H359" s="30">
        <v>1166</v>
      </c>
      <c r="I359" s="30">
        <v>1166</v>
      </c>
      <c r="J359" s="30">
        <v>1166</v>
      </c>
      <c r="K359" s="30">
        <v>1166</v>
      </c>
      <c r="L359" s="30">
        <v>1166</v>
      </c>
      <c r="M359" s="30">
        <v>1166</v>
      </c>
    </row>
    <row r="360" spans="1:13" ht="24.75" x14ac:dyDescent="0.65">
      <c r="A360" s="113">
        <v>18</v>
      </c>
      <c r="B360" s="30"/>
      <c r="C360" s="30">
        <v>1166</v>
      </c>
      <c r="D360" s="30">
        <v>1166</v>
      </c>
      <c r="E360" s="30">
        <v>1166</v>
      </c>
      <c r="F360" s="30">
        <v>1166</v>
      </c>
      <c r="G360" s="30">
        <v>1166</v>
      </c>
      <c r="H360" s="30"/>
      <c r="I360" s="30">
        <v>1166</v>
      </c>
      <c r="J360" s="30">
        <v>1166</v>
      </c>
      <c r="K360" s="30"/>
      <c r="L360" s="30">
        <v>1166</v>
      </c>
      <c r="M360" s="30">
        <v>1166</v>
      </c>
    </row>
    <row r="361" spans="1:13" ht="24.75" x14ac:dyDescent="0.65">
      <c r="A361" s="113">
        <v>19</v>
      </c>
      <c r="B361" s="30"/>
      <c r="C361" s="30">
        <v>1166</v>
      </c>
      <c r="D361" s="30">
        <v>1166</v>
      </c>
      <c r="E361" s="30"/>
      <c r="F361" s="30">
        <v>1166</v>
      </c>
      <c r="G361" s="30">
        <v>1166</v>
      </c>
      <c r="H361" s="30"/>
      <c r="I361" s="30">
        <v>1166</v>
      </c>
      <c r="J361" s="30">
        <v>1166</v>
      </c>
      <c r="K361" s="30">
        <v>1166</v>
      </c>
      <c r="L361" s="30">
        <v>1166</v>
      </c>
      <c r="M361" s="30">
        <v>1166</v>
      </c>
    </row>
    <row r="362" spans="1:13" ht="24.75" x14ac:dyDescent="0.65">
      <c r="A362" s="113">
        <v>20</v>
      </c>
      <c r="B362" s="30">
        <v>1166</v>
      </c>
      <c r="C362" s="30">
        <v>1166</v>
      </c>
      <c r="D362" s="30">
        <v>1166</v>
      </c>
      <c r="E362" s="30"/>
      <c r="F362" s="30">
        <v>1166</v>
      </c>
      <c r="G362" s="30">
        <v>1166</v>
      </c>
      <c r="H362" s="30">
        <v>1166</v>
      </c>
      <c r="I362" s="30">
        <v>1166</v>
      </c>
      <c r="J362" s="30"/>
      <c r="K362" s="30">
        <v>1166</v>
      </c>
      <c r="L362" s="30"/>
      <c r="M362" s="30"/>
    </row>
    <row r="363" spans="1:13" ht="24.75" x14ac:dyDescent="0.65">
      <c r="A363" s="113">
        <v>21</v>
      </c>
      <c r="B363" s="30">
        <v>1166</v>
      </c>
      <c r="C363" s="30">
        <v>1166</v>
      </c>
      <c r="D363" s="30"/>
      <c r="E363" s="30">
        <v>1166</v>
      </c>
      <c r="F363" s="30">
        <v>1166</v>
      </c>
      <c r="G363" s="30"/>
      <c r="H363" s="30">
        <v>1166</v>
      </c>
      <c r="I363" s="30">
        <v>1166</v>
      </c>
      <c r="J363" s="30">
        <v>1166</v>
      </c>
      <c r="K363" s="30">
        <v>1166</v>
      </c>
      <c r="L363" s="30">
        <v>1166</v>
      </c>
      <c r="M363" s="30">
        <v>1166</v>
      </c>
    </row>
    <row r="364" spans="1:13" ht="24.75" x14ac:dyDescent="0.65">
      <c r="A364" s="113">
        <v>22</v>
      </c>
      <c r="B364" s="30">
        <v>1166</v>
      </c>
      <c r="C364" s="30"/>
      <c r="D364" s="30"/>
      <c r="E364" s="30">
        <v>1166</v>
      </c>
      <c r="F364" s="30">
        <v>1166</v>
      </c>
      <c r="G364" s="30">
        <v>1166</v>
      </c>
      <c r="H364" s="30">
        <v>1166</v>
      </c>
      <c r="I364" s="30">
        <v>1166</v>
      </c>
      <c r="J364" s="30">
        <v>1166</v>
      </c>
      <c r="K364" s="30">
        <v>1166</v>
      </c>
      <c r="L364" s="30"/>
      <c r="M364" s="30">
        <v>1166</v>
      </c>
    </row>
    <row r="365" spans="1:13" ht="24.75" x14ac:dyDescent="0.65">
      <c r="A365" s="113">
        <v>23</v>
      </c>
      <c r="B365" s="30">
        <v>1166</v>
      </c>
      <c r="C365" s="30"/>
      <c r="D365" s="30"/>
      <c r="E365" s="30">
        <v>1166</v>
      </c>
      <c r="F365" s="30">
        <v>1166</v>
      </c>
      <c r="G365" s="30">
        <v>1166</v>
      </c>
      <c r="H365" s="30">
        <v>1166</v>
      </c>
      <c r="I365" s="30"/>
      <c r="J365" s="30">
        <v>1166</v>
      </c>
      <c r="K365" s="30">
        <v>1166</v>
      </c>
      <c r="L365" s="30">
        <v>1166</v>
      </c>
      <c r="M365" s="30">
        <v>1166</v>
      </c>
    </row>
    <row r="366" spans="1:13" ht="24.75" x14ac:dyDescent="0.65">
      <c r="A366" s="113">
        <v>24</v>
      </c>
      <c r="B366" s="30">
        <v>1166</v>
      </c>
      <c r="C366" s="30">
        <v>1166</v>
      </c>
      <c r="D366" s="30">
        <v>1166</v>
      </c>
      <c r="E366" s="30">
        <v>1166</v>
      </c>
      <c r="F366" s="30"/>
      <c r="G366" s="30">
        <v>1166</v>
      </c>
      <c r="H366" s="30">
        <v>1166</v>
      </c>
      <c r="I366" s="30">
        <v>1166</v>
      </c>
      <c r="J366" s="30">
        <v>1166</v>
      </c>
      <c r="K366" s="30">
        <v>1166</v>
      </c>
      <c r="L366" s="30">
        <v>1166</v>
      </c>
      <c r="M366" s="30"/>
    </row>
    <row r="367" spans="1:13" ht="24.75" x14ac:dyDescent="0.65">
      <c r="A367" s="113">
        <v>25</v>
      </c>
      <c r="B367" s="30"/>
      <c r="C367" s="30">
        <v>1166</v>
      </c>
      <c r="D367" s="30">
        <v>1166</v>
      </c>
      <c r="E367" s="30">
        <v>1166</v>
      </c>
      <c r="F367" s="30">
        <v>1166</v>
      </c>
      <c r="G367" s="30">
        <v>1166</v>
      </c>
      <c r="H367" s="30">
        <v>1166</v>
      </c>
      <c r="I367" s="30">
        <v>1166</v>
      </c>
      <c r="J367" s="30">
        <v>1166</v>
      </c>
      <c r="K367" s="30"/>
      <c r="L367" s="30">
        <v>1166</v>
      </c>
      <c r="M367" s="30"/>
    </row>
    <row r="368" spans="1:13" ht="24.75" x14ac:dyDescent="0.65">
      <c r="A368" s="113">
        <v>26</v>
      </c>
      <c r="B368" s="30"/>
      <c r="C368" s="30">
        <v>1166</v>
      </c>
      <c r="D368" s="30">
        <v>1166</v>
      </c>
      <c r="E368" s="30"/>
      <c r="F368" s="30">
        <v>1166</v>
      </c>
      <c r="G368" s="30">
        <v>1166</v>
      </c>
      <c r="H368" s="30"/>
      <c r="I368" s="30">
        <v>1166</v>
      </c>
      <c r="J368" s="30">
        <v>1166</v>
      </c>
      <c r="K368" s="30">
        <v>1166</v>
      </c>
      <c r="L368" s="30">
        <v>1166</v>
      </c>
      <c r="M368" s="30">
        <v>1166</v>
      </c>
    </row>
    <row r="369" spans="1:22" ht="24.75" x14ac:dyDescent="0.65">
      <c r="A369" s="113">
        <v>27</v>
      </c>
      <c r="B369" s="30">
        <v>1166</v>
      </c>
      <c r="C369" s="30">
        <v>1166</v>
      </c>
      <c r="D369" s="30">
        <v>1166</v>
      </c>
      <c r="E369" s="30"/>
      <c r="F369" s="30">
        <v>1166</v>
      </c>
      <c r="G369" s="30">
        <v>1166</v>
      </c>
      <c r="H369" s="30">
        <v>1166</v>
      </c>
      <c r="I369" s="30">
        <v>1166</v>
      </c>
      <c r="J369" s="30"/>
      <c r="K369" s="30">
        <v>1166</v>
      </c>
      <c r="L369" s="30">
        <v>1166</v>
      </c>
      <c r="M369" s="30"/>
    </row>
    <row r="370" spans="1:22" ht="24.75" x14ac:dyDescent="0.65">
      <c r="A370" s="113">
        <v>28</v>
      </c>
      <c r="B370" s="30">
        <v>1166</v>
      </c>
      <c r="C370" s="30">
        <v>1166</v>
      </c>
      <c r="D370" s="30">
        <v>1166</v>
      </c>
      <c r="E370" s="30">
        <v>1166</v>
      </c>
      <c r="F370" s="30">
        <v>1166</v>
      </c>
      <c r="G370" s="30"/>
      <c r="H370" s="30">
        <v>1166</v>
      </c>
      <c r="I370" s="30">
        <v>1166</v>
      </c>
      <c r="J370" s="30">
        <v>1166</v>
      </c>
      <c r="K370" s="30">
        <v>1166</v>
      </c>
      <c r="L370" s="30">
        <v>1166</v>
      </c>
      <c r="M370" s="30">
        <v>1166</v>
      </c>
    </row>
    <row r="371" spans="1:22" ht="24.75" x14ac:dyDescent="0.65">
      <c r="A371" s="113">
        <v>29</v>
      </c>
      <c r="B371" s="30">
        <v>1166</v>
      </c>
      <c r="C371" s="30"/>
      <c r="D371" s="30"/>
      <c r="E371" s="30">
        <v>1166</v>
      </c>
      <c r="F371" s="30">
        <v>1166</v>
      </c>
      <c r="G371" s="30">
        <v>1166</v>
      </c>
      <c r="H371" s="30">
        <v>1166</v>
      </c>
      <c r="I371" s="30">
        <v>1166</v>
      </c>
      <c r="J371" s="30">
        <v>1166</v>
      </c>
      <c r="K371" s="30">
        <v>1166</v>
      </c>
      <c r="L371" s="30"/>
      <c r="M371" s="30">
        <v>1166</v>
      </c>
    </row>
    <row r="372" spans="1:22" ht="24.75" x14ac:dyDescent="0.65">
      <c r="A372" s="113">
        <v>30</v>
      </c>
      <c r="B372" s="30">
        <v>1166</v>
      </c>
      <c r="C372" s="30"/>
      <c r="D372" s="30"/>
      <c r="E372" s="30">
        <v>1166</v>
      </c>
      <c r="F372" s="30">
        <v>1166</v>
      </c>
      <c r="G372" s="30">
        <v>1166</v>
      </c>
      <c r="H372" s="30">
        <v>1166</v>
      </c>
      <c r="I372" s="30"/>
      <c r="J372" s="30">
        <v>1166</v>
      </c>
      <c r="K372" s="30">
        <v>1166</v>
      </c>
      <c r="L372" s="30">
        <v>1166</v>
      </c>
      <c r="M372" s="30">
        <v>1166</v>
      </c>
    </row>
    <row r="373" spans="1:22" ht="25.5" thickBot="1" x14ac:dyDescent="0.7">
      <c r="A373" s="114">
        <v>31</v>
      </c>
      <c r="B373" s="30">
        <v>1166</v>
      </c>
      <c r="C373" s="30"/>
      <c r="D373" s="30">
        <v>1166</v>
      </c>
      <c r="E373" s="30"/>
      <c r="F373" s="30"/>
      <c r="G373" s="30"/>
      <c r="H373" s="30">
        <v>1166</v>
      </c>
      <c r="I373" s="30">
        <v>1166</v>
      </c>
      <c r="J373" s="30"/>
      <c r="K373" s="30">
        <v>1166</v>
      </c>
      <c r="L373" s="30"/>
      <c r="M373" s="30">
        <v>1166</v>
      </c>
    </row>
    <row r="374" spans="1:22" ht="23.25" customHeight="1" thickBot="1" x14ac:dyDescent="0.7">
      <c r="A374" s="195" t="s">
        <v>15</v>
      </c>
      <c r="B374" s="197">
        <f>AVERAGE(B343:B373)</f>
        <v>1166</v>
      </c>
      <c r="C374" s="197">
        <f t="shared" ref="C374:M374" si="47">AVERAGE(C343:C373)</f>
        <v>1166</v>
      </c>
      <c r="D374" s="197">
        <f t="shared" si="47"/>
        <v>1166</v>
      </c>
      <c r="E374" s="197">
        <f t="shared" si="47"/>
        <v>1166</v>
      </c>
      <c r="F374" s="197">
        <f t="shared" si="47"/>
        <v>1166</v>
      </c>
      <c r="G374" s="197">
        <f t="shared" si="47"/>
        <v>1166</v>
      </c>
      <c r="H374" s="197">
        <f t="shared" si="47"/>
        <v>1166</v>
      </c>
      <c r="I374" s="197">
        <f t="shared" si="47"/>
        <v>1166</v>
      </c>
      <c r="J374" s="197">
        <f t="shared" si="47"/>
        <v>1166</v>
      </c>
      <c r="K374" s="197">
        <f t="shared" si="47"/>
        <v>1166</v>
      </c>
      <c r="L374" s="197">
        <f t="shared" si="47"/>
        <v>1166</v>
      </c>
      <c r="M374" s="197">
        <f t="shared" si="47"/>
        <v>1166</v>
      </c>
    </row>
    <row r="375" spans="1:22" s="23" customFormat="1" ht="25.5" thickBot="1" x14ac:dyDescent="0.7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20"/>
      <c r="L375" s="20"/>
      <c r="M375" s="20"/>
      <c r="N375" s="21"/>
      <c r="O375" s="22"/>
      <c r="P375" s="22"/>
      <c r="Q375" s="22"/>
      <c r="R375" s="22"/>
      <c r="S375" s="22"/>
      <c r="T375" s="22"/>
      <c r="U375" s="22"/>
      <c r="V375" s="22"/>
    </row>
    <row r="376" spans="1:22" ht="25.5" thickBot="1" x14ac:dyDescent="0.7">
      <c r="A376" s="64" t="s">
        <v>56</v>
      </c>
      <c r="B376" s="29" t="s">
        <v>3</v>
      </c>
      <c r="C376" s="29" t="s">
        <v>4</v>
      </c>
      <c r="D376" s="29" t="s">
        <v>5</v>
      </c>
      <c r="E376" s="29" t="s">
        <v>6</v>
      </c>
      <c r="F376" s="29" t="s">
        <v>7</v>
      </c>
      <c r="G376" s="29" t="s">
        <v>41</v>
      </c>
      <c r="H376" s="29" t="s">
        <v>42</v>
      </c>
      <c r="I376" s="29" t="s">
        <v>10</v>
      </c>
      <c r="J376" s="29" t="s">
        <v>11</v>
      </c>
      <c r="K376" s="29" t="s">
        <v>12</v>
      </c>
      <c r="L376" s="29" t="s">
        <v>21</v>
      </c>
      <c r="M376" s="29" t="s">
        <v>14</v>
      </c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24.75" x14ac:dyDescent="0.65">
      <c r="A377" s="112">
        <v>1</v>
      </c>
      <c r="B377" s="30"/>
      <c r="C377" s="30">
        <v>1166</v>
      </c>
      <c r="D377" s="30">
        <v>1166</v>
      </c>
      <c r="E377" s="30">
        <v>1166</v>
      </c>
      <c r="F377" s="30"/>
      <c r="G377" s="30">
        <v>1166</v>
      </c>
      <c r="H377" s="30">
        <v>1166</v>
      </c>
      <c r="I377" s="30"/>
      <c r="J377" s="30">
        <v>1166</v>
      </c>
      <c r="K377" s="30">
        <v>1166</v>
      </c>
      <c r="L377" s="30">
        <v>1166</v>
      </c>
      <c r="M377" s="30">
        <v>1166</v>
      </c>
    </row>
    <row r="378" spans="1:22" ht="24.75" x14ac:dyDescent="0.65">
      <c r="A378" s="113">
        <v>2</v>
      </c>
      <c r="B378" s="30"/>
      <c r="C378" s="30">
        <v>1166</v>
      </c>
      <c r="D378" s="30">
        <v>1166</v>
      </c>
      <c r="E378" s="30">
        <v>1166</v>
      </c>
      <c r="F378" s="30" t="s">
        <v>55</v>
      </c>
      <c r="G378" s="30">
        <v>1166</v>
      </c>
      <c r="H378" s="30">
        <v>1166</v>
      </c>
      <c r="I378" s="30">
        <v>1166</v>
      </c>
      <c r="J378" s="30">
        <v>1166</v>
      </c>
      <c r="K378" s="30">
        <v>1166</v>
      </c>
      <c r="L378" s="30">
        <v>1166</v>
      </c>
      <c r="M378" s="30">
        <v>1166</v>
      </c>
    </row>
    <row r="379" spans="1:22" ht="24.75" x14ac:dyDescent="0.65">
      <c r="A379" s="113">
        <v>3</v>
      </c>
      <c r="B379" s="30"/>
      <c r="C379" s="30">
        <v>1166</v>
      </c>
      <c r="D379" s="30">
        <v>1166</v>
      </c>
      <c r="E379" s="30">
        <v>1166</v>
      </c>
      <c r="F379" s="30">
        <v>1166</v>
      </c>
      <c r="G379" s="30">
        <v>1166</v>
      </c>
      <c r="H379" s="30">
        <v>1166</v>
      </c>
      <c r="I379" s="30">
        <v>1166</v>
      </c>
      <c r="J379" s="30">
        <v>1166</v>
      </c>
      <c r="K379" s="30"/>
      <c r="L379" s="30">
        <v>1166</v>
      </c>
      <c r="M379" s="30">
        <v>1166</v>
      </c>
    </row>
    <row r="380" spans="1:22" ht="24.75" x14ac:dyDescent="0.65">
      <c r="A380" s="113">
        <v>4</v>
      </c>
      <c r="B380" s="30">
        <v>1166</v>
      </c>
      <c r="C380" s="30">
        <v>1166</v>
      </c>
      <c r="D380" s="30">
        <v>1166</v>
      </c>
      <c r="E380" s="30"/>
      <c r="F380" s="30">
        <v>1166</v>
      </c>
      <c r="G380" s="30">
        <v>1166</v>
      </c>
      <c r="H380" s="30"/>
      <c r="I380" s="30">
        <v>1166</v>
      </c>
      <c r="J380" s="30">
        <v>1166</v>
      </c>
      <c r="K380" s="30"/>
      <c r="L380" s="30"/>
      <c r="M380" s="30">
        <v>1166</v>
      </c>
    </row>
    <row r="381" spans="1:22" ht="24.75" x14ac:dyDescent="0.65">
      <c r="A381" s="113">
        <v>5</v>
      </c>
      <c r="B381" s="30">
        <v>1166</v>
      </c>
      <c r="C381" s="30">
        <v>1166</v>
      </c>
      <c r="D381" s="30">
        <v>1166</v>
      </c>
      <c r="E381" s="30">
        <v>1166</v>
      </c>
      <c r="F381" s="30">
        <v>1166</v>
      </c>
      <c r="G381" s="30">
        <v>1166</v>
      </c>
      <c r="H381" s="30">
        <v>1166</v>
      </c>
      <c r="I381" s="30">
        <v>1166</v>
      </c>
      <c r="J381" s="30"/>
      <c r="K381" s="30"/>
      <c r="L381" s="30">
        <v>1166</v>
      </c>
      <c r="M381" s="30"/>
    </row>
    <row r="382" spans="1:22" ht="24.75" x14ac:dyDescent="0.65">
      <c r="A382" s="113">
        <v>6</v>
      </c>
      <c r="B382" s="30"/>
      <c r="C382" s="30">
        <v>1166</v>
      </c>
      <c r="D382" s="30">
        <v>1166</v>
      </c>
      <c r="E382" s="30">
        <v>1166</v>
      </c>
      <c r="F382" s="30">
        <v>1166</v>
      </c>
      <c r="G382" s="30"/>
      <c r="H382" s="30">
        <v>1166</v>
      </c>
      <c r="I382" s="30">
        <v>1166</v>
      </c>
      <c r="J382" s="30">
        <v>1166</v>
      </c>
      <c r="K382" s="30"/>
      <c r="L382" s="30">
        <v>1166</v>
      </c>
      <c r="M382" s="30"/>
    </row>
    <row r="383" spans="1:22" ht="24.75" x14ac:dyDescent="0.65">
      <c r="A383" s="113">
        <v>7</v>
      </c>
      <c r="B383" s="30">
        <v>1166</v>
      </c>
      <c r="C383" s="30"/>
      <c r="D383" s="30"/>
      <c r="E383" s="30">
        <v>1166</v>
      </c>
      <c r="F383" s="30">
        <v>1166</v>
      </c>
      <c r="G383" s="30">
        <v>1166</v>
      </c>
      <c r="H383" s="30">
        <v>1166</v>
      </c>
      <c r="I383" s="30">
        <v>1166</v>
      </c>
      <c r="J383" s="30">
        <v>1166</v>
      </c>
      <c r="K383" s="30"/>
      <c r="L383" s="30"/>
      <c r="M383" s="30">
        <v>1166</v>
      </c>
    </row>
    <row r="384" spans="1:22" ht="24.75" x14ac:dyDescent="0.65">
      <c r="A384" s="113">
        <v>8</v>
      </c>
      <c r="B384" s="30">
        <v>1166</v>
      </c>
      <c r="C384" s="30">
        <v>1166</v>
      </c>
      <c r="D384" s="30">
        <v>1166</v>
      </c>
      <c r="E384" s="30">
        <v>1166</v>
      </c>
      <c r="F384" s="30">
        <v>1166</v>
      </c>
      <c r="G384" s="30">
        <v>1166</v>
      </c>
      <c r="H384" s="30">
        <v>1166</v>
      </c>
      <c r="I384" s="30"/>
      <c r="J384" s="30">
        <v>1166</v>
      </c>
      <c r="K384" s="30"/>
      <c r="L384" s="30">
        <v>1166</v>
      </c>
      <c r="M384" s="30">
        <v>1166</v>
      </c>
    </row>
    <row r="385" spans="1:13" ht="24.75" x14ac:dyDescent="0.65">
      <c r="A385" s="113">
        <v>9</v>
      </c>
      <c r="B385" s="30">
        <v>1166</v>
      </c>
      <c r="C385" s="30">
        <v>1166</v>
      </c>
      <c r="D385" s="30">
        <v>1166</v>
      </c>
      <c r="E385" s="30">
        <v>1166</v>
      </c>
      <c r="F385" s="30"/>
      <c r="G385" s="30">
        <v>1166</v>
      </c>
      <c r="H385" s="30">
        <v>1166</v>
      </c>
      <c r="I385" s="30">
        <v>1166</v>
      </c>
      <c r="J385" s="30">
        <v>1166</v>
      </c>
      <c r="K385" s="30"/>
      <c r="L385" s="30">
        <v>1166</v>
      </c>
      <c r="M385" s="30">
        <v>1166</v>
      </c>
    </row>
    <row r="386" spans="1:13" ht="24.75" x14ac:dyDescent="0.65">
      <c r="A386" s="113">
        <v>10</v>
      </c>
      <c r="B386" s="30"/>
      <c r="C386" s="30">
        <v>1166</v>
      </c>
      <c r="D386" s="30">
        <v>1166</v>
      </c>
      <c r="E386" s="30">
        <v>1166</v>
      </c>
      <c r="F386" s="30"/>
      <c r="G386" s="30">
        <v>1166</v>
      </c>
      <c r="H386" s="30">
        <v>1166</v>
      </c>
      <c r="I386" s="30">
        <v>1166</v>
      </c>
      <c r="J386" s="30">
        <v>1166</v>
      </c>
      <c r="K386" s="30"/>
      <c r="L386" s="30">
        <v>1166</v>
      </c>
      <c r="M386" s="30">
        <v>1166</v>
      </c>
    </row>
    <row r="387" spans="1:13" ht="24.75" x14ac:dyDescent="0.65">
      <c r="A387" s="113">
        <v>11</v>
      </c>
      <c r="B387" s="30">
        <v>1166</v>
      </c>
      <c r="C387" s="30">
        <v>1166</v>
      </c>
      <c r="D387" s="30">
        <v>1166</v>
      </c>
      <c r="E387" s="30"/>
      <c r="F387" s="30">
        <v>1166</v>
      </c>
      <c r="G387" s="30">
        <v>1166</v>
      </c>
      <c r="H387" s="30"/>
      <c r="I387" s="30">
        <v>1166</v>
      </c>
      <c r="J387" s="30">
        <v>1166</v>
      </c>
      <c r="K387" s="30">
        <v>1166</v>
      </c>
      <c r="L387" s="30">
        <v>1166</v>
      </c>
      <c r="M387" s="30">
        <v>1166</v>
      </c>
    </row>
    <row r="388" spans="1:13" ht="24.75" x14ac:dyDescent="0.65">
      <c r="A388" s="113">
        <v>12</v>
      </c>
      <c r="B388" s="30">
        <v>1166</v>
      </c>
      <c r="C388" s="30">
        <v>1166</v>
      </c>
      <c r="D388" s="30">
        <v>1166</v>
      </c>
      <c r="E388" s="30">
        <v>1166</v>
      </c>
      <c r="F388" s="30">
        <v>1166</v>
      </c>
      <c r="G388" s="30">
        <v>1166</v>
      </c>
      <c r="H388" s="30">
        <v>1166</v>
      </c>
      <c r="I388" s="30">
        <v>1166</v>
      </c>
      <c r="J388" s="30"/>
      <c r="K388" s="30">
        <v>1166</v>
      </c>
      <c r="L388" s="30">
        <v>1166</v>
      </c>
      <c r="M388" s="30"/>
    </row>
    <row r="389" spans="1:13" ht="24.75" x14ac:dyDescent="0.65">
      <c r="A389" s="113">
        <v>13</v>
      </c>
      <c r="B389" s="30"/>
      <c r="C389" s="30">
        <v>1166</v>
      </c>
      <c r="D389" s="30">
        <v>1166</v>
      </c>
      <c r="E389" s="30">
        <v>1166</v>
      </c>
      <c r="F389" s="30">
        <v>1166</v>
      </c>
      <c r="G389" s="30"/>
      <c r="H389" s="30">
        <v>1166</v>
      </c>
      <c r="I389" s="30">
        <v>1166</v>
      </c>
      <c r="J389" s="30">
        <v>1166</v>
      </c>
      <c r="K389" s="30">
        <v>1166</v>
      </c>
      <c r="L389" s="30">
        <v>1166</v>
      </c>
      <c r="M389" s="30"/>
    </row>
    <row r="390" spans="1:13" ht="24.75" x14ac:dyDescent="0.65">
      <c r="A390" s="113">
        <v>14</v>
      </c>
      <c r="B390" s="30">
        <v>1166</v>
      </c>
      <c r="C390" s="30"/>
      <c r="D390" s="30"/>
      <c r="E390" s="30">
        <v>1166</v>
      </c>
      <c r="F390" s="30">
        <v>1166</v>
      </c>
      <c r="G390" s="30">
        <v>1166</v>
      </c>
      <c r="H390" s="30">
        <v>1166</v>
      </c>
      <c r="I390" s="30">
        <v>1166</v>
      </c>
      <c r="J390" s="30">
        <v>1166</v>
      </c>
      <c r="K390" s="30">
        <v>1166</v>
      </c>
      <c r="L390" s="30"/>
      <c r="M390" s="30">
        <v>1166</v>
      </c>
    </row>
    <row r="391" spans="1:13" ht="24.75" x14ac:dyDescent="0.65">
      <c r="A391" s="113">
        <v>15</v>
      </c>
      <c r="B391" s="30">
        <v>1166</v>
      </c>
      <c r="C391" s="30">
        <v>1166</v>
      </c>
      <c r="D391" s="30">
        <v>1166</v>
      </c>
      <c r="E391" s="30">
        <v>1166</v>
      </c>
      <c r="F391" s="30">
        <v>1166</v>
      </c>
      <c r="G391" s="30">
        <v>1166</v>
      </c>
      <c r="H391" s="30">
        <v>1166</v>
      </c>
      <c r="I391" s="30"/>
      <c r="J391" s="30">
        <v>1166</v>
      </c>
      <c r="K391" s="30">
        <v>1166</v>
      </c>
      <c r="L391" s="30">
        <v>1166</v>
      </c>
      <c r="M391" s="30">
        <v>1166</v>
      </c>
    </row>
    <row r="392" spans="1:13" ht="24.75" x14ac:dyDescent="0.65">
      <c r="A392" s="113">
        <v>16</v>
      </c>
      <c r="B392" s="30">
        <v>1166</v>
      </c>
      <c r="C392" s="30">
        <v>1166</v>
      </c>
      <c r="D392" s="30">
        <v>1166</v>
      </c>
      <c r="E392" s="30">
        <v>1166</v>
      </c>
      <c r="F392" s="30"/>
      <c r="G392" s="30">
        <v>1166</v>
      </c>
      <c r="H392" s="30">
        <v>1166</v>
      </c>
      <c r="I392" s="30">
        <v>1166</v>
      </c>
      <c r="J392" s="30">
        <v>1166</v>
      </c>
      <c r="K392" s="30">
        <v>1166</v>
      </c>
      <c r="L392" s="30">
        <v>1166</v>
      </c>
      <c r="M392" s="30">
        <v>1166</v>
      </c>
    </row>
    <row r="393" spans="1:13" ht="24.75" x14ac:dyDescent="0.65">
      <c r="A393" s="113">
        <v>17</v>
      </c>
      <c r="B393" s="30"/>
      <c r="C393" s="30">
        <v>1166</v>
      </c>
      <c r="D393" s="30">
        <v>1166</v>
      </c>
      <c r="E393" s="30">
        <v>1166</v>
      </c>
      <c r="F393" s="30">
        <v>1166</v>
      </c>
      <c r="G393" s="30">
        <v>1166</v>
      </c>
      <c r="H393" s="30">
        <v>1166</v>
      </c>
      <c r="I393" s="30">
        <v>1166</v>
      </c>
      <c r="J393" s="30">
        <v>1166</v>
      </c>
      <c r="K393" s="30"/>
      <c r="L393" s="30">
        <v>1166</v>
      </c>
      <c r="M393" s="30">
        <v>1166</v>
      </c>
    </row>
    <row r="394" spans="1:13" ht="24.75" x14ac:dyDescent="0.65">
      <c r="A394" s="113">
        <v>18</v>
      </c>
      <c r="B394" s="30">
        <v>1166</v>
      </c>
      <c r="C394" s="30">
        <v>1166</v>
      </c>
      <c r="D394" s="30">
        <v>1166</v>
      </c>
      <c r="E394" s="30"/>
      <c r="F394" s="30">
        <v>1166</v>
      </c>
      <c r="G394" s="30">
        <v>1166</v>
      </c>
      <c r="H394" s="30"/>
      <c r="I394" s="30">
        <v>1166</v>
      </c>
      <c r="J394" s="30">
        <v>1166</v>
      </c>
      <c r="K394" s="30"/>
      <c r="L394" s="30">
        <v>1166</v>
      </c>
      <c r="M394" s="30">
        <v>1166</v>
      </c>
    </row>
    <row r="395" spans="1:13" ht="24.75" x14ac:dyDescent="0.65">
      <c r="A395" s="113">
        <v>19</v>
      </c>
      <c r="B395" s="30">
        <v>1166</v>
      </c>
      <c r="C395" s="30">
        <v>1166</v>
      </c>
      <c r="D395" s="30">
        <v>1166</v>
      </c>
      <c r="E395" s="30">
        <v>1166</v>
      </c>
      <c r="F395" s="30">
        <v>1166</v>
      </c>
      <c r="G395" s="30">
        <v>1166</v>
      </c>
      <c r="H395" s="30">
        <v>1166</v>
      </c>
      <c r="I395" s="30">
        <v>1166</v>
      </c>
      <c r="J395" s="30"/>
      <c r="K395" s="30">
        <v>1166</v>
      </c>
      <c r="L395" s="30">
        <v>1166</v>
      </c>
      <c r="M395" s="30"/>
    </row>
    <row r="396" spans="1:13" ht="24.75" x14ac:dyDescent="0.65">
      <c r="A396" s="113">
        <v>20</v>
      </c>
      <c r="B396" s="30">
        <v>1166</v>
      </c>
      <c r="C396" s="30">
        <v>1166</v>
      </c>
      <c r="D396" s="30">
        <v>1166</v>
      </c>
      <c r="E396" s="30">
        <v>1166</v>
      </c>
      <c r="F396" s="30">
        <v>1166</v>
      </c>
      <c r="G396" s="30"/>
      <c r="H396" s="30">
        <v>1166</v>
      </c>
      <c r="I396" s="30">
        <v>1166</v>
      </c>
      <c r="J396" s="30">
        <v>1166</v>
      </c>
      <c r="K396" s="30">
        <v>1166</v>
      </c>
      <c r="L396" s="30">
        <v>1166</v>
      </c>
      <c r="M396" s="30"/>
    </row>
    <row r="397" spans="1:13" ht="24.75" x14ac:dyDescent="0.65">
      <c r="A397" s="113">
        <v>21</v>
      </c>
      <c r="B397" s="30">
        <v>1166</v>
      </c>
      <c r="C397" s="30"/>
      <c r="D397" s="30"/>
      <c r="E397" s="30">
        <v>1166</v>
      </c>
      <c r="F397" s="30">
        <v>1166</v>
      </c>
      <c r="G397" s="30">
        <v>1166</v>
      </c>
      <c r="H397" s="30">
        <v>1166</v>
      </c>
      <c r="I397" s="30">
        <v>1166</v>
      </c>
      <c r="J397" s="30">
        <v>1166</v>
      </c>
      <c r="K397" s="30">
        <v>1166</v>
      </c>
      <c r="L397" s="30"/>
      <c r="M397" s="30">
        <v>1166</v>
      </c>
    </row>
    <row r="398" spans="1:13" ht="24.75" x14ac:dyDescent="0.65">
      <c r="A398" s="113">
        <v>22</v>
      </c>
      <c r="B398" s="30">
        <v>1166</v>
      </c>
      <c r="C398" s="30">
        <v>1166</v>
      </c>
      <c r="D398" s="30">
        <v>1166</v>
      </c>
      <c r="E398" s="30">
        <v>1166</v>
      </c>
      <c r="F398" s="30">
        <v>1166</v>
      </c>
      <c r="G398" s="30">
        <v>1166</v>
      </c>
      <c r="H398" s="30">
        <v>1166</v>
      </c>
      <c r="I398" s="30"/>
      <c r="J398" s="30">
        <v>1166</v>
      </c>
      <c r="K398" s="30">
        <v>1166</v>
      </c>
      <c r="L398" s="30">
        <v>1166</v>
      </c>
      <c r="M398" s="30">
        <v>1166</v>
      </c>
    </row>
    <row r="399" spans="1:13" ht="24.75" x14ac:dyDescent="0.65">
      <c r="A399" s="113">
        <v>23</v>
      </c>
      <c r="B399" s="30">
        <v>1166</v>
      </c>
      <c r="C399" s="30">
        <v>1166</v>
      </c>
      <c r="D399" s="30">
        <v>1166</v>
      </c>
      <c r="E399" s="30">
        <v>1166</v>
      </c>
      <c r="F399" s="30"/>
      <c r="G399" s="30">
        <v>1166</v>
      </c>
      <c r="H399" s="30">
        <v>1166</v>
      </c>
      <c r="I399" s="30">
        <v>1166</v>
      </c>
      <c r="J399" s="30">
        <v>1166</v>
      </c>
      <c r="K399" s="30">
        <v>1166</v>
      </c>
      <c r="L399" s="30">
        <v>1166</v>
      </c>
      <c r="M399" s="30">
        <v>1166</v>
      </c>
    </row>
    <row r="400" spans="1:13" ht="24.75" x14ac:dyDescent="0.65">
      <c r="A400" s="113">
        <v>24</v>
      </c>
      <c r="B400" s="30"/>
      <c r="C400" s="30">
        <v>1166</v>
      </c>
      <c r="D400" s="30">
        <v>1166</v>
      </c>
      <c r="E400" s="30">
        <v>1166</v>
      </c>
      <c r="F400" s="30"/>
      <c r="G400" s="30">
        <v>1166</v>
      </c>
      <c r="H400" s="30">
        <v>1166</v>
      </c>
      <c r="I400" s="30">
        <v>1166</v>
      </c>
      <c r="J400" s="30">
        <v>1166</v>
      </c>
      <c r="K400" s="30"/>
      <c r="L400" s="30">
        <v>1166</v>
      </c>
      <c r="M400" s="30">
        <v>1166</v>
      </c>
    </row>
    <row r="401" spans="1:22" ht="24.75" x14ac:dyDescent="0.65">
      <c r="A401" s="113">
        <v>25</v>
      </c>
      <c r="B401" s="30">
        <v>1166</v>
      </c>
      <c r="C401" s="30">
        <v>1166</v>
      </c>
      <c r="D401" s="30">
        <v>1166</v>
      </c>
      <c r="E401" s="30"/>
      <c r="F401" s="30"/>
      <c r="G401" s="30">
        <v>1166</v>
      </c>
      <c r="H401" s="30"/>
      <c r="I401" s="30">
        <v>1166</v>
      </c>
      <c r="J401" s="30">
        <v>1166</v>
      </c>
      <c r="K401" s="30"/>
      <c r="L401" s="30">
        <v>1166</v>
      </c>
      <c r="M401" s="30">
        <v>1166</v>
      </c>
    </row>
    <row r="402" spans="1:22" ht="24.75" x14ac:dyDescent="0.65">
      <c r="A402" s="113">
        <v>26</v>
      </c>
      <c r="B402" s="30">
        <v>1166</v>
      </c>
      <c r="C402" s="30">
        <v>1166</v>
      </c>
      <c r="D402" s="30">
        <v>1166</v>
      </c>
      <c r="E402" s="30">
        <v>1166</v>
      </c>
      <c r="F402" s="30">
        <v>1166</v>
      </c>
      <c r="G402" s="30">
        <v>1166</v>
      </c>
      <c r="H402" s="30">
        <v>1166</v>
      </c>
      <c r="I402" s="30">
        <v>1166</v>
      </c>
      <c r="J402" s="30"/>
      <c r="K402" s="30">
        <v>1166</v>
      </c>
      <c r="L402" s="30">
        <v>1166</v>
      </c>
      <c r="M402" s="30"/>
    </row>
    <row r="403" spans="1:22" ht="24.75" x14ac:dyDescent="0.65">
      <c r="A403" s="113">
        <v>27</v>
      </c>
      <c r="B403" s="30">
        <v>1166</v>
      </c>
      <c r="C403" s="30">
        <v>1166</v>
      </c>
      <c r="D403" s="30">
        <v>1166</v>
      </c>
      <c r="E403" s="30"/>
      <c r="F403" s="30">
        <v>1166</v>
      </c>
      <c r="G403" s="30"/>
      <c r="H403" s="30">
        <v>1166</v>
      </c>
      <c r="I403" s="30">
        <v>1166</v>
      </c>
      <c r="J403" s="30">
        <v>1166</v>
      </c>
      <c r="K403" s="30">
        <v>1166</v>
      </c>
      <c r="L403" s="30">
        <v>1166</v>
      </c>
      <c r="M403" s="30"/>
    </row>
    <row r="404" spans="1:22" ht="24.75" x14ac:dyDescent="0.65">
      <c r="A404" s="113">
        <v>28</v>
      </c>
      <c r="B404" s="30">
        <v>1166</v>
      </c>
      <c r="C404" s="30"/>
      <c r="D404" s="30"/>
      <c r="E404" s="30"/>
      <c r="F404" s="30">
        <v>1166</v>
      </c>
      <c r="G404" s="30">
        <v>1166</v>
      </c>
      <c r="H404" s="30"/>
      <c r="I404" s="30">
        <v>1166</v>
      </c>
      <c r="J404" s="30">
        <v>1166</v>
      </c>
      <c r="K404" s="30">
        <v>1166</v>
      </c>
      <c r="L404" s="30"/>
      <c r="M404" s="30">
        <v>1166</v>
      </c>
    </row>
    <row r="405" spans="1:22" ht="24.75" x14ac:dyDescent="0.65">
      <c r="A405" s="113">
        <v>29</v>
      </c>
      <c r="B405" s="30">
        <v>1166</v>
      </c>
      <c r="C405" s="30"/>
      <c r="D405" s="30">
        <v>1166</v>
      </c>
      <c r="E405" s="30"/>
      <c r="F405" s="30">
        <v>1166</v>
      </c>
      <c r="G405" s="30">
        <v>1166</v>
      </c>
      <c r="H405" s="30"/>
      <c r="I405" s="30"/>
      <c r="J405" s="30">
        <v>1166</v>
      </c>
      <c r="K405" s="30">
        <v>1166</v>
      </c>
      <c r="L405" s="30">
        <v>1166</v>
      </c>
      <c r="M405" s="30">
        <v>1166</v>
      </c>
    </row>
    <row r="406" spans="1:22" ht="24.75" x14ac:dyDescent="0.65">
      <c r="A406" s="113">
        <v>30</v>
      </c>
      <c r="B406" s="30">
        <v>1166</v>
      </c>
      <c r="C406" s="30"/>
      <c r="D406" s="30">
        <v>1166</v>
      </c>
      <c r="E406" s="30"/>
      <c r="F406" s="30">
        <v>1166</v>
      </c>
      <c r="G406" s="30">
        <v>1166</v>
      </c>
      <c r="H406" s="30"/>
      <c r="I406" s="30">
        <v>1166</v>
      </c>
      <c r="J406" s="30">
        <v>1166</v>
      </c>
      <c r="K406" s="30">
        <v>1166</v>
      </c>
      <c r="L406" s="30">
        <v>1166</v>
      </c>
      <c r="M406" s="30">
        <v>1166</v>
      </c>
    </row>
    <row r="407" spans="1:22" ht="25.5" thickBot="1" x14ac:dyDescent="0.7">
      <c r="A407" s="114">
        <v>31</v>
      </c>
      <c r="B407" s="30"/>
      <c r="C407" s="30"/>
      <c r="D407" s="30">
        <v>1166</v>
      </c>
      <c r="E407" s="30"/>
      <c r="F407" s="30">
        <v>1166</v>
      </c>
      <c r="G407" s="30"/>
      <c r="H407" s="30"/>
      <c r="I407" s="30">
        <v>1166</v>
      </c>
      <c r="J407" s="30"/>
      <c r="K407" s="30"/>
      <c r="L407" s="30"/>
      <c r="M407" s="30">
        <v>1166</v>
      </c>
    </row>
    <row r="408" spans="1:22" ht="23.25" customHeight="1" thickBot="1" x14ac:dyDescent="0.7">
      <c r="A408" s="195" t="s">
        <v>15</v>
      </c>
      <c r="B408" s="197">
        <f>AVERAGE(B377:B407)</f>
        <v>1166</v>
      </c>
      <c r="C408" s="197">
        <f t="shared" ref="C408:M408" si="48">AVERAGE(C377:C407)</f>
        <v>1166</v>
      </c>
      <c r="D408" s="197">
        <f t="shared" si="48"/>
        <v>1166</v>
      </c>
      <c r="E408" s="197">
        <f t="shared" si="48"/>
        <v>1166</v>
      </c>
      <c r="F408" s="197">
        <f t="shared" si="48"/>
        <v>1166</v>
      </c>
      <c r="G408" s="197">
        <f t="shared" si="48"/>
        <v>1166</v>
      </c>
      <c r="H408" s="197">
        <f t="shared" si="48"/>
        <v>1166</v>
      </c>
      <c r="I408" s="197">
        <f t="shared" si="48"/>
        <v>1166</v>
      </c>
      <c r="J408" s="197">
        <f t="shared" si="48"/>
        <v>1166</v>
      </c>
      <c r="K408" s="197">
        <f t="shared" si="48"/>
        <v>1166</v>
      </c>
      <c r="L408" s="197">
        <f t="shared" si="48"/>
        <v>1166</v>
      </c>
      <c r="M408" s="197">
        <f t="shared" si="48"/>
        <v>1166</v>
      </c>
    </row>
    <row r="409" spans="1:22" s="23" customFormat="1" ht="25.5" thickBot="1" x14ac:dyDescent="0.7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20"/>
      <c r="L409" s="20"/>
      <c r="M409" s="20"/>
      <c r="N409" s="21"/>
      <c r="O409" s="22"/>
      <c r="P409" s="22"/>
      <c r="Q409" s="22"/>
      <c r="R409" s="22"/>
      <c r="S409" s="22"/>
      <c r="T409" s="22"/>
      <c r="U409" s="22"/>
      <c r="V409" s="22"/>
    </row>
    <row r="410" spans="1:22" ht="25.5" thickBot="1" x14ac:dyDescent="0.7">
      <c r="A410" s="64" t="s">
        <v>57</v>
      </c>
      <c r="B410" s="29" t="s">
        <v>3</v>
      </c>
      <c r="C410" s="29" t="s">
        <v>4</v>
      </c>
      <c r="D410" s="29" t="s">
        <v>5</v>
      </c>
      <c r="E410" s="29" t="s">
        <v>6</v>
      </c>
      <c r="F410" s="29" t="s">
        <v>7</v>
      </c>
      <c r="G410" s="29" t="s">
        <v>41</v>
      </c>
      <c r="H410" s="29" t="s">
        <v>42</v>
      </c>
      <c r="I410" s="29" t="s">
        <v>10</v>
      </c>
      <c r="J410" s="29" t="s">
        <v>11</v>
      </c>
      <c r="K410" s="29" t="s">
        <v>12</v>
      </c>
      <c r="L410" s="29" t="s">
        <v>21</v>
      </c>
      <c r="M410" s="29" t="s">
        <v>14</v>
      </c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24.75" x14ac:dyDescent="0.65">
      <c r="A411" s="112">
        <v>1</v>
      </c>
      <c r="B411" s="30"/>
      <c r="C411" s="30">
        <v>1166</v>
      </c>
      <c r="D411" s="30">
        <v>1166</v>
      </c>
      <c r="E411" s="30">
        <v>1166</v>
      </c>
      <c r="F411" s="30"/>
      <c r="G411" s="30">
        <v>1166</v>
      </c>
      <c r="H411" s="30">
        <v>1166</v>
      </c>
      <c r="I411" s="30"/>
      <c r="J411" s="30">
        <v>1166</v>
      </c>
      <c r="K411" s="30">
        <v>1166</v>
      </c>
      <c r="L411" s="30">
        <v>1166</v>
      </c>
      <c r="M411" s="30">
        <v>1182</v>
      </c>
    </row>
    <row r="412" spans="1:22" ht="24.75" x14ac:dyDescent="0.65">
      <c r="A412" s="113">
        <v>2</v>
      </c>
      <c r="B412" s="30"/>
      <c r="C412" s="30">
        <v>1166</v>
      </c>
      <c r="D412" s="30">
        <v>1166</v>
      </c>
      <c r="E412" s="30">
        <v>1166</v>
      </c>
      <c r="F412" s="30"/>
      <c r="G412" s="30">
        <v>1166</v>
      </c>
      <c r="H412" s="30">
        <v>1166</v>
      </c>
      <c r="I412" s="30"/>
      <c r="J412" s="30">
        <v>1166</v>
      </c>
      <c r="K412" s="30"/>
      <c r="L412" s="30">
        <v>1166</v>
      </c>
      <c r="M412" s="30">
        <v>1182</v>
      </c>
    </row>
    <row r="413" spans="1:22" ht="24.75" x14ac:dyDescent="0.65">
      <c r="A413" s="113">
        <v>3</v>
      </c>
      <c r="B413" s="30"/>
      <c r="C413" s="30">
        <v>1166</v>
      </c>
      <c r="D413" s="30">
        <v>1166</v>
      </c>
      <c r="E413" s="30"/>
      <c r="F413" s="30">
        <v>1166</v>
      </c>
      <c r="G413" s="30">
        <v>1166</v>
      </c>
      <c r="H413" s="30"/>
      <c r="I413" s="30">
        <v>1166</v>
      </c>
      <c r="J413" s="30">
        <v>1166</v>
      </c>
      <c r="K413" s="30"/>
      <c r="L413" s="30">
        <v>1166</v>
      </c>
      <c r="M413" s="30">
        <v>1182</v>
      </c>
    </row>
    <row r="414" spans="1:22" ht="24.75" x14ac:dyDescent="0.65">
      <c r="A414" s="113">
        <v>4</v>
      </c>
      <c r="B414" s="30">
        <v>1166</v>
      </c>
      <c r="C414" s="30">
        <v>1166</v>
      </c>
      <c r="D414" s="30">
        <v>1166</v>
      </c>
      <c r="E414" s="30"/>
      <c r="F414" s="30">
        <v>1166</v>
      </c>
      <c r="G414" s="30">
        <v>1166</v>
      </c>
      <c r="H414" s="30"/>
      <c r="I414" s="30">
        <v>1166</v>
      </c>
      <c r="J414" s="30"/>
      <c r="K414" s="30">
        <v>1166</v>
      </c>
      <c r="L414" s="30">
        <v>1166</v>
      </c>
      <c r="M414" s="30"/>
    </row>
    <row r="415" spans="1:22" ht="24.75" x14ac:dyDescent="0.65">
      <c r="A415" s="113">
        <v>5</v>
      </c>
      <c r="B415" s="30">
        <v>1166</v>
      </c>
      <c r="C415" s="30">
        <v>1166</v>
      </c>
      <c r="D415" s="30">
        <v>1166</v>
      </c>
      <c r="E415" s="30">
        <v>1166</v>
      </c>
      <c r="F415" s="30">
        <v>1166</v>
      </c>
      <c r="G415" s="30"/>
      <c r="H415" s="30">
        <v>1166</v>
      </c>
      <c r="I415" s="30">
        <v>1166</v>
      </c>
      <c r="J415" s="30"/>
      <c r="K415" s="30">
        <v>1166</v>
      </c>
      <c r="L415" s="30">
        <v>1166</v>
      </c>
      <c r="M415" s="30"/>
    </row>
    <row r="416" spans="1:22" ht="24.75" x14ac:dyDescent="0.65">
      <c r="A416" s="113">
        <v>6</v>
      </c>
      <c r="B416" s="30">
        <v>1166</v>
      </c>
      <c r="C416" s="30"/>
      <c r="D416" s="30"/>
      <c r="E416" s="30">
        <v>1166</v>
      </c>
      <c r="F416" s="30">
        <v>1166</v>
      </c>
      <c r="G416" s="30"/>
      <c r="H416" s="30">
        <v>1166</v>
      </c>
      <c r="I416" s="30">
        <v>1166</v>
      </c>
      <c r="J416" s="30">
        <v>1166</v>
      </c>
      <c r="K416" s="30">
        <v>1166</v>
      </c>
      <c r="L416" s="30"/>
      <c r="M416" s="30">
        <v>1182</v>
      </c>
    </row>
    <row r="417" spans="1:13" ht="24.75" x14ac:dyDescent="0.65">
      <c r="A417" s="113">
        <v>7</v>
      </c>
      <c r="B417" s="30">
        <v>1166</v>
      </c>
      <c r="C417" s="30"/>
      <c r="D417" s="30"/>
      <c r="E417" s="30">
        <v>1166</v>
      </c>
      <c r="F417" s="30">
        <v>1166</v>
      </c>
      <c r="G417" s="30">
        <v>1166</v>
      </c>
      <c r="H417" s="30">
        <v>1166</v>
      </c>
      <c r="I417" s="30"/>
      <c r="J417" s="30">
        <v>1166</v>
      </c>
      <c r="K417" s="30">
        <v>1166</v>
      </c>
      <c r="L417" s="30"/>
      <c r="M417" s="30">
        <v>1182</v>
      </c>
    </row>
    <row r="418" spans="1:13" ht="24.75" x14ac:dyDescent="0.65">
      <c r="A418" s="113">
        <v>8</v>
      </c>
      <c r="B418" s="30">
        <v>1166</v>
      </c>
      <c r="C418" s="30">
        <v>1166</v>
      </c>
      <c r="D418" s="30">
        <v>1166</v>
      </c>
      <c r="E418" s="30">
        <v>1166</v>
      </c>
      <c r="F418" s="30"/>
      <c r="G418" s="30">
        <v>1166</v>
      </c>
      <c r="H418" s="30">
        <v>1166</v>
      </c>
      <c r="I418" s="30"/>
      <c r="J418" s="30">
        <v>1166</v>
      </c>
      <c r="K418" s="30">
        <v>1166</v>
      </c>
      <c r="L418" s="30">
        <v>1166</v>
      </c>
      <c r="M418" s="30">
        <v>1182</v>
      </c>
    </row>
    <row r="419" spans="1:13" ht="24.75" x14ac:dyDescent="0.65">
      <c r="A419" s="113">
        <v>9</v>
      </c>
      <c r="B419" s="30"/>
      <c r="C419" s="30">
        <v>1166</v>
      </c>
      <c r="D419" s="30">
        <v>1166</v>
      </c>
      <c r="E419" s="30">
        <v>1166</v>
      </c>
      <c r="F419" s="30"/>
      <c r="G419" s="30">
        <v>1166</v>
      </c>
      <c r="H419" s="30">
        <v>1166</v>
      </c>
      <c r="I419" s="30">
        <v>1166</v>
      </c>
      <c r="J419" s="30">
        <v>1166</v>
      </c>
      <c r="K419" s="30"/>
      <c r="L419" s="30">
        <v>1166</v>
      </c>
      <c r="M419" s="30">
        <v>1182</v>
      </c>
    </row>
    <row r="420" spans="1:13" ht="24.75" x14ac:dyDescent="0.65">
      <c r="A420" s="113">
        <v>10</v>
      </c>
      <c r="B420" s="30"/>
      <c r="C420" s="30">
        <v>1166</v>
      </c>
      <c r="D420" s="30">
        <v>1166</v>
      </c>
      <c r="E420" s="30"/>
      <c r="F420" s="30">
        <v>1166</v>
      </c>
      <c r="G420" s="30">
        <v>1166</v>
      </c>
      <c r="H420" s="30"/>
      <c r="I420" s="30">
        <v>1166</v>
      </c>
      <c r="J420" s="30">
        <v>1166</v>
      </c>
      <c r="K420" s="30"/>
      <c r="L420" s="30">
        <v>1166</v>
      </c>
      <c r="M420" s="30">
        <v>1182</v>
      </c>
    </row>
    <row r="421" spans="1:13" ht="24.75" x14ac:dyDescent="0.65">
      <c r="A421" s="113">
        <v>11</v>
      </c>
      <c r="B421" s="30">
        <v>1166</v>
      </c>
      <c r="C421" s="30">
        <v>1166</v>
      </c>
      <c r="D421" s="30">
        <v>1166</v>
      </c>
      <c r="E421" s="30"/>
      <c r="F421" s="30">
        <v>1166</v>
      </c>
      <c r="G421" s="30">
        <v>1166</v>
      </c>
      <c r="H421" s="30"/>
      <c r="I421" s="30">
        <v>1166</v>
      </c>
      <c r="J421" s="30"/>
      <c r="K421" s="30">
        <v>1166</v>
      </c>
      <c r="L421" s="30">
        <v>1166</v>
      </c>
      <c r="M421" s="30"/>
    </row>
    <row r="422" spans="1:13" ht="24.75" x14ac:dyDescent="0.65">
      <c r="A422" s="113">
        <v>12</v>
      </c>
      <c r="B422" s="30">
        <v>1166</v>
      </c>
      <c r="C422" s="30">
        <v>1166</v>
      </c>
      <c r="D422" s="30">
        <v>1166</v>
      </c>
      <c r="E422" s="30">
        <v>1166</v>
      </c>
      <c r="F422" s="30">
        <v>1166</v>
      </c>
      <c r="G422" s="30"/>
      <c r="H422" s="30">
        <v>1166</v>
      </c>
      <c r="I422" s="30">
        <v>1166</v>
      </c>
      <c r="J422" s="30"/>
      <c r="K422" s="30">
        <v>1166</v>
      </c>
      <c r="L422" s="30">
        <v>1166</v>
      </c>
      <c r="M422" s="30"/>
    </row>
    <row r="423" spans="1:13" ht="24.75" x14ac:dyDescent="0.65">
      <c r="A423" s="113">
        <v>13</v>
      </c>
      <c r="B423" s="30">
        <v>1166</v>
      </c>
      <c r="C423" s="30"/>
      <c r="D423" s="30"/>
      <c r="E423" s="30">
        <v>1166</v>
      </c>
      <c r="F423" s="30">
        <v>1166</v>
      </c>
      <c r="G423" s="30"/>
      <c r="H423" s="30">
        <v>1166</v>
      </c>
      <c r="I423" s="30">
        <v>1166</v>
      </c>
      <c r="J423" s="30">
        <v>1166</v>
      </c>
      <c r="K423" s="30">
        <v>1166</v>
      </c>
      <c r="L423" s="30"/>
      <c r="M423" s="30">
        <v>1182</v>
      </c>
    </row>
    <row r="424" spans="1:13" ht="24.75" x14ac:dyDescent="0.65">
      <c r="A424" s="113">
        <v>14</v>
      </c>
      <c r="B424" s="30">
        <v>1166</v>
      </c>
      <c r="C424" s="30"/>
      <c r="D424" s="30"/>
      <c r="E424" s="30">
        <v>1166</v>
      </c>
      <c r="F424" s="30">
        <v>1166</v>
      </c>
      <c r="G424" s="30">
        <v>1166</v>
      </c>
      <c r="H424" s="30">
        <v>1166</v>
      </c>
      <c r="I424" s="30"/>
      <c r="J424" s="30">
        <v>1166</v>
      </c>
      <c r="K424" s="30">
        <v>1166</v>
      </c>
      <c r="L424" s="30"/>
      <c r="M424" s="30">
        <v>1182</v>
      </c>
    </row>
    <row r="425" spans="1:13" ht="24.75" x14ac:dyDescent="0.65">
      <c r="A425" s="113">
        <v>15</v>
      </c>
      <c r="B425" s="30">
        <v>1166</v>
      </c>
      <c r="C425" s="30">
        <v>1166</v>
      </c>
      <c r="D425" s="30">
        <v>1166</v>
      </c>
      <c r="E425" s="30">
        <v>1166</v>
      </c>
      <c r="F425" s="30"/>
      <c r="G425" s="30">
        <v>1166</v>
      </c>
      <c r="H425" s="30">
        <v>1166</v>
      </c>
      <c r="I425" s="30"/>
      <c r="J425" s="30">
        <v>1166</v>
      </c>
      <c r="K425" s="30">
        <v>1166</v>
      </c>
      <c r="L425" s="30">
        <v>1166</v>
      </c>
      <c r="M425" s="30">
        <v>1182</v>
      </c>
    </row>
    <row r="426" spans="1:13" ht="24.75" x14ac:dyDescent="0.65">
      <c r="A426" s="113">
        <v>16</v>
      </c>
      <c r="B426" s="30"/>
      <c r="C426" s="30">
        <v>1166</v>
      </c>
      <c r="D426" s="30">
        <v>1166</v>
      </c>
      <c r="E426" s="30">
        <v>1166</v>
      </c>
      <c r="F426" s="30"/>
      <c r="G426" s="30">
        <v>1166</v>
      </c>
      <c r="H426" s="30"/>
      <c r="I426" s="30">
        <v>1166</v>
      </c>
      <c r="J426" s="30">
        <v>1166</v>
      </c>
      <c r="K426" s="30"/>
      <c r="L426" s="30">
        <v>1166</v>
      </c>
      <c r="M426" s="30">
        <v>1182</v>
      </c>
    </row>
    <row r="427" spans="1:13" ht="24.75" x14ac:dyDescent="0.65">
      <c r="A427" s="113">
        <v>17</v>
      </c>
      <c r="B427" s="30"/>
      <c r="C427" s="30">
        <v>1166</v>
      </c>
      <c r="D427" s="30">
        <v>1166</v>
      </c>
      <c r="E427" s="30"/>
      <c r="F427" s="30">
        <v>1166</v>
      </c>
      <c r="G427" s="30">
        <v>1166</v>
      </c>
      <c r="H427" s="30"/>
      <c r="I427" s="30">
        <v>1166</v>
      </c>
      <c r="J427" s="30">
        <v>1166</v>
      </c>
      <c r="K427" s="30"/>
      <c r="L427" s="30">
        <v>1166</v>
      </c>
      <c r="M427" s="30">
        <v>1182</v>
      </c>
    </row>
    <row r="428" spans="1:13" ht="24.75" x14ac:dyDescent="0.65">
      <c r="A428" s="113">
        <v>18</v>
      </c>
      <c r="B428" s="30">
        <v>1166</v>
      </c>
      <c r="C428" s="30">
        <v>1166</v>
      </c>
      <c r="D428" s="30">
        <v>1166</v>
      </c>
      <c r="E428" s="30"/>
      <c r="F428" s="30">
        <v>1166</v>
      </c>
      <c r="G428" s="30">
        <v>1166</v>
      </c>
      <c r="H428" s="30"/>
      <c r="I428" s="30">
        <v>1166</v>
      </c>
      <c r="J428" s="30"/>
      <c r="K428" s="30">
        <v>1166</v>
      </c>
      <c r="L428" s="30">
        <v>1166</v>
      </c>
      <c r="M428" s="30"/>
    </row>
    <row r="429" spans="1:13" ht="24.75" x14ac:dyDescent="0.65">
      <c r="A429" s="113">
        <v>19</v>
      </c>
      <c r="B429" s="30">
        <v>1166</v>
      </c>
      <c r="C429" s="30">
        <v>1166</v>
      </c>
      <c r="D429" s="30">
        <v>1166</v>
      </c>
      <c r="E429" s="30">
        <v>1166</v>
      </c>
      <c r="F429" s="30">
        <v>1166</v>
      </c>
      <c r="G429" s="30"/>
      <c r="H429" s="30"/>
      <c r="I429" s="30">
        <v>1166</v>
      </c>
      <c r="J429" s="30"/>
      <c r="K429" s="30">
        <v>1166</v>
      </c>
      <c r="L429" s="30">
        <v>1166</v>
      </c>
      <c r="M429" s="30"/>
    </row>
    <row r="430" spans="1:13" ht="24.75" x14ac:dyDescent="0.65">
      <c r="A430" s="113">
        <v>20</v>
      </c>
      <c r="B430" s="30">
        <v>1166</v>
      </c>
      <c r="C430" s="30"/>
      <c r="D430" s="30"/>
      <c r="E430" s="30">
        <v>1166</v>
      </c>
      <c r="F430" s="30">
        <v>1166</v>
      </c>
      <c r="G430" s="30"/>
      <c r="H430" s="30"/>
      <c r="I430" s="30">
        <v>1166</v>
      </c>
      <c r="J430" s="30">
        <v>1166</v>
      </c>
      <c r="K430" s="30">
        <v>1166</v>
      </c>
      <c r="L430" s="30"/>
      <c r="M430" s="30">
        <v>1182</v>
      </c>
    </row>
    <row r="431" spans="1:13" ht="24.75" x14ac:dyDescent="0.65">
      <c r="A431" s="113">
        <v>21</v>
      </c>
      <c r="B431" s="30">
        <v>1166</v>
      </c>
      <c r="C431" s="30"/>
      <c r="D431" s="30"/>
      <c r="E431" s="30">
        <v>1166</v>
      </c>
      <c r="F431" s="30">
        <v>1166</v>
      </c>
      <c r="G431" s="30">
        <v>1166</v>
      </c>
      <c r="H431" s="30">
        <v>1166</v>
      </c>
      <c r="I431" s="30"/>
      <c r="J431" s="30">
        <v>1166</v>
      </c>
      <c r="K431" s="30">
        <v>1166</v>
      </c>
      <c r="L431" s="30"/>
      <c r="M431" s="30">
        <v>1182</v>
      </c>
    </row>
    <row r="432" spans="1:13" ht="24.75" x14ac:dyDescent="0.65">
      <c r="A432" s="113">
        <v>22</v>
      </c>
      <c r="B432" s="30">
        <v>1166</v>
      </c>
      <c r="C432" s="30">
        <v>1166</v>
      </c>
      <c r="D432" s="30">
        <v>1166</v>
      </c>
      <c r="E432" s="30">
        <v>1166</v>
      </c>
      <c r="F432" s="30"/>
      <c r="G432" s="30">
        <v>1166</v>
      </c>
      <c r="H432" s="30">
        <v>1166</v>
      </c>
      <c r="I432" s="30"/>
      <c r="J432" s="30">
        <v>1166</v>
      </c>
      <c r="K432" s="30">
        <v>1166</v>
      </c>
      <c r="L432" s="30">
        <v>1166</v>
      </c>
      <c r="M432" s="30">
        <v>1182</v>
      </c>
    </row>
    <row r="433" spans="1:22" ht="24.75" x14ac:dyDescent="0.65">
      <c r="A433" s="113">
        <v>23</v>
      </c>
      <c r="B433" s="30"/>
      <c r="C433" s="30">
        <v>1166</v>
      </c>
      <c r="D433" s="30">
        <v>1166</v>
      </c>
      <c r="E433" s="30">
        <v>1166</v>
      </c>
      <c r="F433" s="30"/>
      <c r="G433" s="30">
        <v>1166</v>
      </c>
      <c r="H433" s="30">
        <v>1166</v>
      </c>
      <c r="I433" s="30">
        <v>1166</v>
      </c>
      <c r="J433" s="30">
        <v>1166</v>
      </c>
      <c r="K433" s="30"/>
      <c r="L433" s="30">
        <v>1166</v>
      </c>
      <c r="M433" s="30">
        <v>1182</v>
      </c>
    </row>
    <row r="434" spans="1:22" ht="24.75" x14ac:dyDescent="0.65">
      <c r="A434" s="113">
        <v>24</v>
      </c>
      <c r="B434" s="30"/>
      <c r="C434" s="30">
        <v>1166</v>
      </c>
      <c r="D434" s="30">
        <v>1166</v>
      </c>
      <c r="E434" s="30"/>
      <c r="F434" s="30">
        <v>1166</v>
      </c>
      <c r="G434" s="30">
        <v>1166</v>
      </c>
      <c r="H434" s="30"/>
      <c r="I434" s="30">
        <v>1166</v>
      </c>
      <c r="J434" s="30"/>
      <c r="K434" s="30"/>
      <c r="L434" s="30">
        <v>1166</v>
      </c>
      <c r="M434" s="30">
        <v>1182</v>
      </c>
    </row>
    <row r="435" spans="1:22" ht="24.75" x14ac:dyDescent="0.65">
      <c r="A435" s="113">
        <v>25</v>
      </c>
      <c r="B435" s="30">
        <v>1166</v>
      </c>
      <c r="C435" s="30">
        <v>1166</v>
      </c>
      <c r="D435" s="30">
        <v>1166</v>
      </c>
      <c r="E435" s="30"/>
      <c r="F435" s="30">
        <v>1166</v>
      </c>
      <c r="G435" s="30">
        <v>1166</v>
      </c>
      <c r="H435" s="30"/>
      <c r="I435" s="30">
        <v>1166</v>
      </c>
      <c r="J435" s="30"/>
      <c r="K435" s="30">
        <v>1166</v>
      </c>
      <c r="L435" s="30">
        <v>1166</v>
      </c>
      <c r="M435" s="30"/>
    </row>
    <row r="436" spans="1:22" ht="24.75" x14ac:dyDescent="0.65">
      <c r="A436" s="113">
        <v>26</v>
      </c>
      <c r="B436" s="30">
        <v>1166</v>
      </c>
      <c r="C436" s="30">
        <v>1166</v>
      </c>
      <c r="D436" s="30">
        <v>1166</v>
      </c>
      <c r="E436" s="30">
        <v>1166</v>
      </c>
      <c r="F436" s="30">
        <v>1166</v>
      </c>
      <c r="G436" s="30"/>
      <c r="H436" s="30">
        <v>1166</v>
      </c>
      <c r="I436" s="30">
        <v>1166</v>
      </c>
      <c r="J436" s="30"/>
      <c r="K436" s="30">
        <v>1166</v>
      </c>
      <c r="L436" s="30">
        <v>1166</v>
      </c>
      <c r="M436" s="30"/>
    </row>
    <row r="437" spans="1:22" ht="24.75" x14ac:dyDescent="0.65">
      <c r="A437" s="113">
        <v>27</v>
      </c>
      <c r="B437" s="30">
        <v>1166</v>
      </c>
      <c r="C437" s="30"/>
      <c r="D437" s="30"/>
      <c r="E437" s="30">
        <v>1166</v>
      </c>
      <c r="F437" s="30">
        <v>1166</v>
      </c>
      <c r="G437" s="30"/>
      <c r="H437" s="30">
        <v>1166</v>
      </c>
      <c r="I437" s="30">
        <v>1166</v>
      </c>
      <c r="J437" s="30"/>
      <c r="K437" s="30">
        <v>1166</v>
      </c>
      <c r="L437" s="30"/>
      <c r="M437" s="30">
        <v>1182</v>
      </c>
    </row>
    <row r="438" spans="1:22" ht="24.75" x14ac:dyDescent="0.65">
      <c r="A438" s="113">
        <v>28</v>
      </c>
      <c r="B438" s="30">
        <v>1166</v>
      </c>
      <c r="C438" s="30"/>
      <c r="D438" s="30"/>
      <c r="E438" s="30">
        <v>1166</v>
      </c>
      <c r="F438" s="30">
        <v>1166</v>
      </c>
      <c r="G438" s="30">
        <v>1166</v>
      </c>
      <c r="H438" s="30">
        <v>1166</v>
      </c>
      <c r="I438" s="30">
        <v>1166</v>
      </c>
      <c r="J438" s="30"/>
      <c r="K438" s="30">
        <v>1166</v>
      </c>
      <c r="L438" s="30"/>
      <c r="M438" s="30">
        <v>1182</v>
      </c>
    </row>
    <row r="439" spans="1:22" ht="24.75" x14ac:dyDescent="0.65">
      <c r="A439" s="113">
        <v>29</v>
      </c>
      <c r="B439" s="30">
        <v>1166</v>
      </c>
      <c r="C439" s="30"/>
      <c r="D439" s="30">
        <v>1166</v>
      </c>
      <c r="E439" s="30">
        <v>1166</v>
      </c>
      <c r="F439" s="30"/>
      <c r="G439" s="30">
        <v>1166</v>
      </c>
      <c r="H439" s="30">
        <v>1166</v>
      </c>
      <c r="I439" s="30">
        <v>1166</v>
      </c>
      <c r="J439" s="30">
        <v>1166</v>
      </c>
      <c r="K439" s="30"/>
      <c r="L439" s="30">
        <v>1166</v>
      </c>
      <c r="M439" s="30">
        <v>1182</v>
      </c>
    </row>
    <row r="440" spans="1:22" ht="24.75" x14ac:dyDescent="0.65">
      <c r="A440" s="113">
        <v>30</v>
      </c>
      <c r="B440" s="30"/>
      <c r="C440" s="30"/>
      <c r="D440" s="30">
        <v>1166</v>
      </c>
      <c r="E440" s="30">
        <v>1166</v>
      </c>
      <c r="F440" s="30"/>
      <c r="G440" s="30">
        <v>1166</v>
      </c>
      <c r="H440" s="30"/>
      <c r="I440" s="30">
        <v>1166</v>
      </c>
      <c r="J440" s="30">
        <v>1166</v>
      </c>
      <c r="K440" s="30"/>
      <c r="L440" s="30">
        <v>1166</v>
      </c>
      <c r="M440" s="30">
        <v>1182</v>
      </c>
    </row>
    <row r="441" spans="1:22" ht="25.5" thickBot="1" x14ac:dyDescent="0.7">
      <c r="A441" s="114">
        <v>31</v>
      </c>
      <c r="B441" s="30"/>
      <c r="C441" s="30"/>
      <c r="D441" s="30">
        <v>1166</v>
      </c>
      <c r="E441" s="30"/>
      <c r="F441" s="30">
        <v>1166</v>
      </c>
      <c r="G441" s="30"/>
      <c r="H441" s="30"/>
      <c r="I441" s="30">
        <v>1166</v>
      </c>
      <c r="J441" s="30"/>
      <c r="K441" s="30"/>
      <c r="L441" s="30"/>
      <c r="M441" s="30"/>
    </row>
    <row r="442" spans="1:22" ht="23.25" customHeight="1" thickBot="1" x14ac:dyDescent="0.7">
      <c r="A442" s="195" t="s">
        <v>15</v>
      </c>
      <c r="B442" s="197">
        <f>AVERAGE(B411:B441)</f>
        <v>1166</v>
      </c>
      <c r="C442" s="197">
        <f t="shared" ref="C442:M442" si="49">AVERAGE(C411:C441)</f>
        <v>1166</v>
      </c>
      <c r="D442" s="197">
        <f t="shared" si="49"/>
        <v>1166</v>
      </c>
      <c r="E442" s="197">
        <f t="shared" si="49"/>
        <v>1166</v>
      </c>
      <c r="F442" s="197">
        <f t="shared" si="49"/>
        <v>1166</v>
      </c>
      <c r="G442" s="197">
        <f t="shared" si="49"/>
        <v>1166</v>
      </c>
      <c r="H442" s="197">
        <f t="shared" si="49"/>
        <v>1166</v>
      </c>
      <c r="I442" s="197">
        <f t="shared" si="49"/>
        <v>1166</v>
      </c>
      <c r="J442" s="197">
        <f t="shared" si="49"/>
        <v>1166</v>
      </c>
      <c r="K442" s="197">
        <f t="shared" si="49"/>
        <v>1166</v>
      </c>
      <c r="L442" s="197">
        <f t="shared" si="49"/>
        <v>1166</v>
      </c>
      <c r="M442" s="197">
        <f t="shared" si="49"/>
        <v>1182</v>
      </c>
    </row>
    <row r="443" spans="1:22" s="23" customFormat="1" ht="25.5" thickBot="1" x14ac:dyDescent="0.7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20"/>
      <c r="L443" s="20"/>
      <c r="M443" s="20"/>
      <c r="N443" s="21"/>
      <c r="O443" s="22"/>
      <c r="P443" s="22"/>
      <c r="Q443" s="22"/>
      <c r="R443" s="22"/>
      <c r="S443" s="22"/>
      <c r="T443" s="22"/>
      <c r="U443" s="22"/>
      <c r="V443" s="22"/>
    </row>
    <row r="444" spans="1:22" ht="25.5" thickBot="1" x14ac:dyDescent="0.7">
      <c r="A444" s="64" t="s">
        <v>58</v>
      </c>
      <c r="B444" s="29" t="s">
        <v>3</v>
      </c>
      <c r="C444" s="29" t="s">
        <v>4</v>
      </c>
      <c r="D444" s="29" t="s">
        <v>5</v>
      </c>
      <c r="E444" s="29" t="s">
        <v>6</v>
      </c>
      <c r="F444" s="29" t="s">
        <v>7</v>
      </c>
      <c r="G444" s="29" t="s">
        <v>41</v>
      </c>
      <c r="H444" s="29" t="s">
        <v>42</v>
      </c>
      <c r="I444" s="29" t="s">
        <v>10</v>
      </c>
      <c r="J444" s="29" t="s">
        <v>11</v>
      </c>
      <c r="K444" s="29" t="s">
        <v>12</v>
      </c>
      <c r="L444" s="29" t="s">
        <v>21</v>
      </c>
      <c r="M444" s="29" t="s">
        <v>14</v>
      </c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24.75" x14ac:dyDescent="0.65">
      <c r="A445" s="112">
        <v>1</v>
      </c>
      <c r="B445" s="30"/>
      <c r="C445" s="30">
        <v>1182</v>
      </c>
      <c r="D445" s="30">
        <v>1182</v>
      </c>
      <c r="E445" s="30"/>
      <c r="F445" s="30"/>
      <c r="G445" s="30">
        <v>1182</v>
      </c>
      <c r="H445" s="30"/>
      <c r="I445" s="30">
        <v>1182</v>
      </c>
      <c r="J445" s="30">
        <v>1182</v>
      </c>
      <c r="K445" s="30"/>
      <c r="L445" s="30">
        <v>1182</v>
      </c>
      <c r="M445" s="30">
        <v>1182</v>
      </c>
    </row>
    <row r="446" spans="1:22" ht="24.75" x14ac:dyDescent="0.65">
      <c r="A446" s="113">
        <v>2</v>
      </c>
      <c r="B446" s="32"/>
      <c r="C446" s="30">
        <v>1182</v>
      </c>
      <c r="D446" s="30">
        <v>1182</v>
      </c>
      <c r="E446" s="30"/>
      <c r="F446" s="30">
        <v>1182</v>
      </c>
      <c r="G446" s="30">
        <v>1182</v>
      </c>
      <c r="H446" s="30"/>
      <c r="I446" s="30">
        <v>1182</v>
      </c>
      <c r="J446" s="30"/>
      <c r="K446" s="30">
        <v>1182</v>
      </c>
      <c r="L446" s="30">
        <v>1182</v>
      </c>
      <c r="M446" s="30"/>
    </row>
    <row r="447" spans="1:22" ht="24.75" x14ac:dyDescent="0.65">
      <c r="A447" s="113">
        <v>3</v>
      </c>
      <c r="B447" s="32">
        <v>1182</v>
      </c>
      <c r="C447" s="30">
        <v>1182</v>
      </c>
      <c r="D447" s="30">
        <v>1182</v>
      </c>
      <c r="E447" s="30">
        <v>1182</v>
      </c>
      <c r="F447" s="30"/>
      <c r="G447" s="30"/>
      <c r="H447" s="30">
        <v>1182</v>
      </c>
      <c r="I447" s="30">
        <v>1182</v>
      </c>
      <c r="J447" s="30"/>
      <c r="K447" s="30">
        <v>1182</v>
      </c>
      <c r="L447" s="30">
        <v>1182</v>
      </c>
      <c r="M447" s="30"/>
    </row>
    <row r="448" spans="1:22" ht="24.75" x14ac:dyDescent="0.65">
      <c r="A448" s="113">
        <v>4</v>
      </c>
      <c r="B448" s="32">
        <v>1182</v>
      </c>
      <c r="C448" s="30">
        <v>1182</v>
      </c>
      <c r="D448" s="30"/>
      <c r="E448" s="30">
        <v>1182</v>
      </c>
      <c r="F448" s="30">
        <v>1182</v>
      </c>
      <c r="G448" s="30"/>
      <c r="H448" s="30">
        <v>1182</v>
      </c>
      <c r="I448" s="30">
        <v>1182</v>
      </c>
      <c r="J448" s="30">
        <v>1182</v>
      </c>
      <c r="K448" s="30">
        <v>1182</v>
      </c>
      <c r="L448" s="30"/>
      <c r="M448" s="30">
        <v>1182</v>
      </c>
    </row>
    <row r="449" spans="1:13" ht="24.75" x14ac:dyDescent="0.65">
      <c r="A449" s="113">
        <v>5</v>
      </c>
      <c r="B449" s="32">
        <v>1182</v>
      </c>
      <c r="C449" s="30"/>
      <c r="D449" s="30"/>
      <c r="E449" s="30">
        <v>1182</v>
      </c>
      <c r="F449" s="30">
        <v>1182</v>
      </c>
      <c r="G449" s="30">
        <v>1182</v>
      </c>
      <c r="H449" s="30">
        <v>1182</v>
      </c>
      <c r="I449" s="30"/>
      <c r="J449" s="30">
        <v>1182</v>
      </c>
      <c r="K449" s="30">
        <v>1182</v>
      </c>
      <c r="L449" s="30"/>
      <c r="M449" s="30">
        <v>1182</v>
      </c>
    </row>
    <row r="450" spans="1:13" ht="24.75" x14ac:dyDescent="0.65">
      <c r="A450" s="113">
        <v>6</v>
      </c>
      <c r="B450" s="32"/>
      <c r="C450" s="30"/>
      <c r="D450" s="30">
        <v>1182</v>
      </c>
      <c r="E450" s="30">
        <v>1182</v>
      </c>
      <c r="F450" s="30"/>
      <c r="G450" s="30">
        <v>1182</v>
      </c>
      <c r="H450" s="30"/>
      <c r="I450" s="30"/>
      <c r="J450" s="30">
        <v>1182</v>
      </c>
      <c r="K450" s="30">
        <v>1182</v>
      </c>
      <c r="L450" s="30">
        <v>1182</v>
      </c>
      <c r="M450" s="30">
        <v>1182</v>
      </c>
    </row>
    <row r="451" spans="1:13" ht="24.75" x14ac:dyDescent="0.65">
      <c r="A451" s="113">
        <v>7</v>
      </c>
      <c r="B451" s="32">
        <v>1182</v>
      </c>
      <c r="C451" s="30">
        <v>1182</v>
      </c>
      <c r="D451" s="30">
        <v>1182</v>
      </c>
      <c r="E451" s="30">
        <v>1182</v>
      </c>
      <c r="F451" s="30"/>
      <c r="G451" s="30">
        <v>1182</v>
      </c>
      <c r="H451" s="30"/>
      <c r="I451" s="30">
        <v>1182</v>
      </c>
      <c r="J451" s="30">
        <v>1182</v>
      </c>
      <c r="K451" s="30"/>
      <c r="L451" s="30">
        <v>1182</v>
      </c>
      <c r="M451" s="30">
        <v>1182</v>
      </c>
    </row>
    <row r="452" spans="1:13" ht="24.75" x14ac:dyDescent="0.65">
      <c r="A452" s="113">
        <v>8</v>
      </c>
      <c r="B452" s="32"/>
      <c r="C452" s="30">
        <v>1182</v>
      </c>
      <c r="D452" s="30">
        <v>1182</v>
      </c>
      <c r="E452" s="30"/>
      <c r="F452" s="30">
        <v>1182</v>
      </c>
      <c r="G452" s="30">
        <v>1182</v>
      </c>
      <c r="H452" s="30"/>
      <c r="I452" s="30">
        <v>1182</v>
      </c>
      <c r="J452" s="30">
        <v>1182</v>
      </c>
      <c r="K452" s="30"/>
      <c r="L452" s="30">
        <v>1182</v>
      </c>
      <c r="M452" s="30">
        <v>1182</v>
      </c>
    </row>
    <row r="453" spans="1:13" ht="24.75" x14ac:dyDescent="0.65">
      <c r="A453" s="113">
        <v>9</v>
      </c>
      <c r="B453" s="32"/>
      <c r="C453" s="30">
        <v>1182</v>
      </c>
      <c r="D453" s="30">
        <v>1182</v>
      </c>
      <c r="E453" s="30"/>
      <c r="F453" s="30">
        <v>1182</v>
      </c>
      <c r="G453" s="30">
        <v>1182</v>
      </c>
      <c r="H453" s="30"/>
      <c r="I453" s="30">
        <v>1182</v>
      </c>
      <c r="J453" s="30"/>
      <c r="K453" s="30">
        <v>1182</v>
      </c>
      <c r="L453" s="30">
        <v>1182</v>
      </c>
      <c r="M453" s="30"/>
    </row>
    <row r="454" spans="1:13" ht="24.75" x14ac:dyDescent="0.65">
      <c r="A454" s="113">
        <v>10</v>
      </c>
      <c r="B454" s="32">
        <v>1182</v>
      </c>
      <c r="C454" s="30">
        <v>1182</v>
      </c>
      <c r="D454" s="30">
        <v>1182</v>
      </c>
      <c r="E454" s="30">
        <v>1182</v>
      </c>
      <c r="F454" s="30">
        <v>1182</v>
      </c>
      <c r="G454" s="30"/>
      <c r="H454" s="30">
        <v>1182</v>
      </c>
      <c r="I454" s="30">
        <v>1182</v>
      </c>
      <c r="J454" s="30"/>
      <c r="K454" s="30">
        <v>1182</v>
      </c>
      <c r="L454" s="30">
        <v>1182</v>
      </c>
      <c r="M454" s="30"/>
    </row>
    <row r="455" spans="1:13" ht="24.75" x14ac:dyDescent="0.65">
      <c r="A455" s="113">
        <v>11</v>
      </c>
      <c r="B455" s="32">
        <v>1182</v>
      </c>
      <c r="C455" s="30">
        <v>1182</v>
      </c>
      <c r="D455" s="30"/>
      <c r="E455" s="30">
        <v>1182</v>
      </c>
      <c r="F455" s="30">
        <v>1182</v>
      </c>
      <c r="G455" s="30"/>
      <c r="H455" s="30">
        <v>1182</v>
      </c>
      <c r="I455" s="30">
        <v>1182</v>
      </c>
      <c r="J455" s="30"/>
      <c r="K455" s="30">
        <v>1182</v>
      </c>
      <c r="L455" s="30"/>
      <c r="M455" s="30">
        <v>1182</v>
      </c>
    </row>
    <row r="456" spans="1:13" ht="24.75" x14ac:dyDescent="0.65">
      <c r="A456" s="113">
        <v>12</v>
      </c>
      <c r="B456" s="32">
        <v>1182</v>
      </c>
      <c r="C456" s="30"/>
      <c r="D456" s="30"/>
      <c r="E456" s="30">
        <v>1182</v>
      </c>
      <c r="F456" s="30">
        <v>1182</v>
      </c>
      <c r="G456" s="30">
        <v>1182</v>
      </c>
      <c r="H456" s="30">
        <v>1182</v>
      </c>
      <c r="I456" s="30"/>
      <c r="J456" s="30"/>
      <c r="K456" s="30"/>
      <c r="L456" s="30"/>
      <c r="M456" s="30">
        <v>1182</v>
      </c>
    </row>
    <row r="457" spans="1:13" ht="24.75" x14ac:dyDescent="0.65">
      <c r="A457" s="113">
        <v>13</v>
      </c>
      <c r="B457" s="32">
        <v>1182</v>
      </c>
      <c r="C457" s="30"/>
      <c r="D457" s="30">
        <v>1182</v>
      </c>
      <c r="E457" s="30">
        <v>1182</v>
      </c>
      <c r="F457" s="30"/>
      <c r="G457" s="30">
        <v>1182</v>
      </c>
      <c r="H457" s="30">
        <v>1182</v>
      </c>
      <c r="I457" s="30"/>
      <c r="J457" s="30"/>
      <c r="K457" s="30">
        <v>1182</v>
      </c>
      <c r="L457" s="30">
        <v>1182</v>
      </c>
      <c r="M457" s="30">
        <v>1182</v>
      </c>
    </row>
    <row r="458" spans="1:13" ht="24.75" x14ac:dyDescent="0.65">
      <c r="A458" s="113">
        <v>14</v>
      </c>
      <c r="B458" s="32">
        <v>1182</v>
      </c>
      <c r="C458" s="30">
        <v>1182</v>
      </c>
      <c r="D458" s="30">
        <v>1182</v>
      </c>
      <c r="E458" s="30">
        <v>1182</v>
      </c>
      <c r="F458" s="30"/>
      <c r="G458" s="30">
        <v>1182</v>
      </c>
      <c r="H458" s="30"/>
      <c r="I458" s="30">
        <v>1182</v>
      </c>
      <c r="J458" s="30"/>
      <c r="K458" s="30"/>
      <c r="L458" s="30">
        <v>1182</v>
      </c>
      <c r="M458" s="30">
        <v>1182</v>
      </c>
    </row>
    <row r="459" spans="1:13" ht="24.75" x14ac:dyDescent="0.65">
      <c r="A459" s="113">
        <v>15</v>
      </c>
      <c r="B459" s="32"/>
      <c r="C459" s="30">
        <v>1182</v>
      </c>
      <c r="D459" s="30">
        <v>1182</v>
      </c>
      <c r="E459" s="30"/>
      <c r="F459" s="30">
        <v>1182</v>
      </c>
      <c r="G459" s="30">
        <v>1182</v>
      </c>
      <c r="H459" s="30"/>
      <c r="I459" s="30">
        <v>1182</v>
      </c>
      <c r="J459" s="30"/>
      <c r="K459" s="30"/>
      <c r="L459" s="30">
        <v>1182</v>
      </c>
      <c r="M459" s="30">
        <v>1182</v>
      </c>
    </row>
    <row r="460" spans="1:13" ht="24.75" x14ac:dyDescent="0.65">
      <c r="A460" s="113">
        <v>16</v>
      </c>
      <c r="B460" s="32"/>
      <c r="C460" s="30">
        <v>1182</v>
      </c>
      <c r="D460" s="30">
        <v>1182</v>
      </c>
      <c r="E460" s="30"/>
      <c r="F460" s="30">
        <v>1182</v>
      </c>
      <c r="G460" s="30">
        <v>1182</v>
      </c>
      <c r="H460" s="30"/>
      <c r="I460" s="30">
        <v>1182</v>
      </c>
      <c r="J460" s="30"/>
      <c r="K460" s="30">
        <v>1182</v>
      </c>
      <c r="L460" s="30">
        <v>1182</v>
      </c>
      <c r="M460" s="30"/>
    </row>
    <row r="461" spans="1:13" ht="24.75" x14ac:dyDescent="0.65">
      <c r="A461" s="113">
        <v>17</v>
      </c>
      <c r="B461" s="32">
        <v>1182</v>
      </c>
      <c r="C461" s="30">
        <v>1182</v>
      </c>
      <c r="D461" s="30">
        <v>1182</v>
      </c>
      <c r="E461" s="30">
        <v>1182</v>
      </c>
      <c r="F461" s="30">
        <v>1182</v>
      </c>
      <c r="G461" s="30"/>
      <c r="H461" s="30">
        <v>1182</v>
      </c>
      <c r="I461" s="30">
        <v>1182</v>
      </c>
      <c r="J461" s="30"/>
      <c r="K461" s="30">
        <v>1182</v>
      </c>
      <c r="L461" s="30">
        <v>1182</v>
      </c>
      <c r="M461" s="30"/>
    </row>
    <row r="462" spans="1:13" ht="24.75" x14ac:dyDescent="0.65">
      <c r="A462" s="113">
        <v>18</v>
      </c>
      <c r="B462" s="32">
        <v>1182</v>
      </c>
      <c r="C462" s="30">
        <v>1182</v>
      </c>
      <c r="D462" s="30"/>
      <c r="E462" s="30">
        <v>1182</v>
      </c>
      <c r="F462" s="30">
        <v>1182</v>
      </c>
      <c r="G462" s="30"/>
      <c r="H462" s="30">
        <v>1182</v>
      </c>
      <c r="I462" s="30">
        <v>1182</v>
      </c>
      <c r="J462" s="30">
        <v>1182</v>
      </c>
      <c r="K462" s="30">
        <v>1182</v>
      </c>
      <c r="L462" s="30"/>
      <c r="M462" s="30">
        <v>1182</v>
      </c>
    </row>
    <row r="463" spans="1:13" ht="24.75" x14ac:dyDescent="0.65">
      <c r="A463" s="113">
        <v>19</v>
      </c>
      <c r="B463" s="32">
        <v>1182</v>
      </c>
      <c r="C463" s="30"/>
      <c r="D463" s="30"/>
      <c r="E463" s="30">
        <v>1182</v>
      </c>
      <c r="F463" s="30">
        <v>1182</v>
      </c>
      <c r="G463" s="30">
        <v>1182</v>
      </c>
      <c r="H463" s="30">
        <v>1182</v>
      </c>
      <c r="I463" s="30"/>
      <c r="J463" s="30">
        <v>1182</v>
      </c>
      <c r="K463" s="30">
        <v>1182</v>
      </c>
      <c r="L463" s="30"/>
      <c r="M463" s="30">
        <v>1182</v>
      </c>
    </row>
    <row r="464" spans="1:13" ht="24.75" x14ac:dyDescent="0.65">
      <c r="A464" s="113">
        <v>20</v>
      </c>
      <c r="B464" s="32">
        <v>1182</v>
      </c>
      <c r="C464" s="30"/>
      <c r="D464" s="30">
        <v>1182</v>
      </c>
      <c r="E464" s="30">
        <v>1182</v>
      </c>
      <c r="F464" s="30"/>
      <c r="G464" s="30">
        <v>1182</v>
      </c>
      <c r="H464" s="30"/>
      <c r="I464" s="30"/>
      <c r="J464" s="30">
        <v>1182</v>
      </c>
      <c r="K464" s="30">
        <v>1182</v>
      </c>
      <c r="L464" s="30">
        <v>1182</v>
      </c>
      <c r="M464" s="30">
        <v>1182</v>
      </c>
    </row>
    <row r="465" spans="1:22" ht="24.75" x14ac:dyDescent="0.65">
      <c r="A465" s="113">
        <v>21</v>
      </c>
      <c r="B465" s="32">
        <v>1182</v>
      </c>
      <c r="C465" s="30">
        <v>1182</v>
      </c>
      <c r="D465" s="30"/>
      <c r="E465" s="30">
        <v>1182</v>
      </c>
      <c r="F465" s="30"/>
      <c r="G465" s="30">
        <v>1182</v>
      </c>
      <c r="H465" s="30"/>
      <c r="I465" s="30">
        <v>1182</v>
      </c>
      <c r="J465" s="30">
        <v>1182</v>
      </c>
      <c r="K465" s="30"/>
      <c r="L465" s="30"/>
      <c r="M465" s="30">
        <v>1182</v>
      </c>
    </row>
    <row r="466" spans="1:22" ht="24.75" x14ac:dyDescent="0.65">
      <c r="A466" s="113">
        <v>22</v>
      </c>
      <c r="B466" s="32"/>
      <c r="C466" s="30">
        <v>1182</v>
      </c>
      <c r="D466" s="30">
        <v>1182</v>
      </c>
      <c r="E466" s="30"/>
      <c r="F466" s="30">
        <v>1182</v>
      </c>
      <c r="G466" s="30">
        <v>1182</v>
      </c>
      <c r="H466" s="30"/>
      <c r="I466" s="30">
        <v>1182</v>
      </c>
      <c r="J466" s="30">
        <v>1182</v>
      </c>
      <c r="K466" s="30"/>
      <c r="L466" s="30">
        <v>1182</v>
      </c>
      <c r="M466" s="30">
        <v>1182</v>
      </c>
    </row>
    <row r="467" spans="1:22" ht="24.75" x14ac:dyDescent="0.65">
      <c r="A467" s="113">
        <v>23</v>
      </c>
      <c r="B467" s="32"/>
      <c r="C467" s="30">
        <v>1182</v>
      </c>
      <c r="D467" s="30">
        <v>1182</v>
      </c>
      <c r="E467" s="30"/>
      <c r="F467" s="30">
        <v>1182</v>
      </c>
      <c r="G467" s="30">
        <v>1182</v>
      </c>
      <c r="H467" s="30"/>
      <c r="I467" s="30">
        <v>1182</v>
      </c>
      <c r="J467" s="30"/>
      <c r="K467" s="30">
        <v>1182</v>
      </c>
      <c r="L467" s="30">
        <v>1182</v>
      </c>
      <c r="M467" s="30"/>
    </row>
    <row r="468" spans="1:22" ht="24.75" x14ac:dyDescent="0.65">
      <c r="A468" s="113">
        <v>24</v>
      </c>
      <c r="B468" s="32">
        <v>1182</v>
      </c>
      <c r="C468" s="30">
        <v>1182</v>
      </c>
      <c r="D468" s="30">
        <v>1182</v>
      </c>
      <c r="E468" s="30">
        <v>1182</v>
      </c>
      <c r="F468" s="30">
        <v>1182</v>
      </c>
      <c r="G468" s="30"/>
      <c r="H468" s="30">
        <v>1182</v>
      </c>
      <c r="I468" s="30">
        <v>1182</v>
      </c>
      <c r="J468" s="30"/>
      <c r="K468" s="30">
        <v>1182</v>
      </c>
      <c r="L468" s="30">
        <v>1182</v>
      </c>
      <c r="M468" s="30"/>
    </row>
    <row r="469" spans="1:22" ht="24.75" x14ac:dyDescent="0.65">
      <c r="A469" s="113">
        <v>25</v>
      </c>
      <c r="B469" s="32">
        <v>1182</v>
      </c>
      <c r="C469" s="30">
        <v>1182</v>
      </c>
      <c r="D469" s="30"/>
      <c r="E469" s="30">
        <v>1182</v>
      </c>
      <c r="F469" s="30">
        <v>1182</v>
      </c>
      <c r="G469" s="30"/>
      <c r="H469" s="30">
        <v>1182</v>
      </c>
      <c r="I469" s="30">
        <v>1182</v>
      </c>
      <c r="J469" s="30">
        <v>1182</v>
      </c>
      <c r="K469" s="30">
        <v>1182</v>
      </c>
      <c r="L469" s="30"/>
      <c r="M469" s="30">
        <v>1182</v>
      </c>
    </row>
    <row r="470" spans="1:22" ht="24.75" x14ac:dyDescent="0.65">
      <c r="A470" s="113">
        <v>26</v>
      </c>
      <c r="B470" s="32">
        <v>1182</v>
      </c>
      <c r="C470" s="30"/>
      <c r="D470" s="30"/>
      <c r="E470" s="30">
        <v>1182</v>
      </c>
      <c r="F470" s="30">
        <v>1182</v>
      </c>
      <c r="G470" s="30">
        <v>1182</v>
      </c>
      <c r="H470" s="30">
        <v>1182</v>
      </c>
      <c r="I470" s="30"/>
      <c r="J470" s="30">
        <v>1182</v>
      </c>
      <c r="K470" s="30">
        <v>1182</v>
      </c>
      <c r="L470" s="30"/>
      <c r="M470" s="30">
        <v>1182</v>
      </c>
    </row>
    <row r="471" spans="1:22" ht="24.75" x14ac:dyDescent="0.65">
      <c r="A471" s="113">
        <v>27</v>
      </c>
      <c r="B471" s="32">
        <v>1182</v>
      </c>
      <c r="C471" s="30"/>
      <c r="D471" s="30">
        <v>1182</v>
      </c>
      <c r="E471" s="30">
        <v>1182</v>
      </c>
      <c r="F471" s="30"/>
      <c r="G471" s="30">
        <v>1182</v>
      </c>
      <c r="H471" s="30">
        <v>1182</v>
      </c>
      <c r="I471" s="30"/>
      <c r="J471" s="30">
        <v>1182</v>
      </c>
      <c r="K471" s="30">
        <v>1182</v>
      </c>
      <c r="L471" s="30">
        <v>1182</v>
      </c>
      <c r="M471" s="30">
        <v>1182</v>
      </c>
    </row>
    <row r="472" spans="1:22" ht="24.75" x14ac:dyDescent="0.65">
      <c r="A472" s="113">
        <v>28</v>
      </c>
      <c r="B472" s="32">
        <v>1182</v>
      </c>
      <c r="C472" s="30">
        <v>1182</v>
      </c>
      <c r="D472" s="30">
        <v>1182</v>
      </c>
      <c r="E472" s="30">
        <v>1182</v>
      </c>
      <c r="F472" s="30"/>
      <c r="G472" s="30">
        <v>1182</v>
      </c>
      <c r="H472" s="30">
        <v>1182</v>
      </c>
      <c r="I472" s="30">
        <v>1182</v>
      </c>
      <c r="J472" s="30">
        <v>1182</v>
      </c>
      <c r="K472" s="30"/>
      <c r="L472" s="30">
        <v>1182</v>
      </c>
      <c r="M472" s="30">
        <v>1182</v>
      </c>
    </row>
    <row r="473" spans="1:22" ht="24.75" x14ac:dyDescent="0.65">
      <c r="A473" s="113">
        <v>29</v>
      </c>
      <c r="B473" s="32"/>
      <c r="C473" s="30">
        <v>1182</v>
      </c>
      <c r="D473" s="30">
        <v>1182</v>
      </c>
      <c r="E473" s="30"/>
      <c r="F473" s="30">
        <v>1182</v>
      </c>
      <c r="G473" s="30">
        <v>1182</v>
      </c>
      <c r="H473" s="30"/>
      <c r="I473" s="30">
        <v>1182</v>
      </c>
      <c r="J473" s="30">
        <v>1182</v>
      </c>
      <c r="K473" s="30"/>
      <c r="L473" s="30">
        <v>1182</v>
      </c>
      <c r="M473" s="30">
        <v>1182</v>
      </c>
    </row>
    <row r="474" spans="1:22" ht="24.75" x14ac:dyDescent="0.65">
      <c r="A474" s="113">
        <v>30</v>
      </c>
      <c r="B474" s="32"/>
      <c r="C474" s="30"/>
      <c r="D474" s="30">
        <v>1182</v>
      </c>
      <c r="E474" s="30"/>
      <c r="F474" s="30">
        <v>1182</v>
      </c>
      <c r="G474" s="30">
        <v>1182</v>
      </c>
      <c r="H474" s="30"/>
      <c r="I474" s="30">
        <v>1182</v>
      </c>
      <c r="J474" s="30">
        <v>1182</v>
      </c>
      <c r="K474" s="30">
        <v>1182</v>
      </c>
      <c r="L474" s="30">
        <v>1182</v>
      </c>
      <c r="M474" s="30"/>
    </row>
    <row r="475" spans="1:22" ht="25.5" thickBot="1" x14ac:dyDescent="0.7">
      <c r="A475" s="113">
        <v>31</v>
      </c>
      <c r="B475" s="30">
        <v>1182</v>
      </c>
      <c r="C475" s="30"/>
      <c r="D475" s="30">
        <v>1182</v>
      </c>
      <c r="E475" s="30"/>
      <c r="F475" s="30">
        <v>1182</v>
      </c>
      <c r="G475" s="30">
        <v>1182</v>
      </c>
      <c r="H475" s="30">
        <v>1182</v>
      </c>
      <c r="I475" s="30">
        <v>1182</v>
      </c>
      <c r="J475" s="30"/>
      <c r="K475" s="30">
        <v>1182</v>
      </c>
      <c r="L475" s="30"/>
      <c r="M475" s="30"/>
    </row>
    <row r="476" spans="1:22" ht="23.25" customHeight="1" thickBot="1" x14ac:dyDescent="0.7">
      <c r="A476" s="195" t="s">
        <v>15</v>
      </c>
      <c r="B476" s="197">
        <f>AVERAGE(B445:B475)</f>
        <v>1182</v>
      </c>
      <c r="C476" s="197">
        <f t="shared" ref="C476:M476" si="50">AVERAGE(C445:C475)</f>
        <v>1182</v>
      </c>
      <c r="D476" s="197">
        <f t="shared" si="50"/>
        <v>1182</v>
      </c>
      <c r="E476" s="197">
        <f t="shared" si="50"/>
        <v>1182</v>
      </c>
      <c r="F476" s="197">
        <f t="shared" si="50"/>
        <v>1182</v>
      </c>
      <c r="G476" s="197">
        <f t="shared" si="50"/>
        <v>1182</v>
      </c>
      <c r="H476" s="197">
        <f t="shared" si="50"/>
        <v>1182</v>
      </c>
      <c r="I476" s="197">
        <f t="shared" si="50"/>
        <v>1182</v>
      </c>
      <c r="J476" s="197">
        <f t="shared" si="50"/>
        <v>1182</v>
      </c>
      <c r="K476" s="197">
        <f t="shared" si="50"/>
        <v>1182</v>
      </c>
      <c r="L476" s="197">
        <f t="shared" si="50"/>
        <v>1182</v>
      </c>
      <c r="M476" s="197">
        <f t="shared" si="50"/>
        <v>1182</v>
      </c>
    </row>
    <row r="477" spans="1:22" s="23" customFormat="1" ht="25.5" thickBot="1" x14ac:dyDescent="0.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20"/>
      <c r="L477" s="20"/>
      <c r="M477" s="20"/>
      <c r="N477" s="21"/>
      <c r="O477" s="22"/>
      <c r="P477" s="22"/>
      <c r="Q477" s="22"/>
      <c r="R477" s="22"/>
      <c r="S477" s="22"/>
      <c r="T477" s="22"/>
      <c r="U477" s="22"/>
      <c r="V477" s="22"/>
    </row>
    <row r="478" spans="1:22" ht="25.5" thickBot="1" x14ac:dyDescent="0.7">
      <c r="A478" s="64" t="s">
        <v>59</v>
      </c>
      <c r="B478" s="29" t="s">
        <v>3</v>
      </c>
      <c r="C478" s="29" t="s">
        <v>4</v>
      </c>
      <c r="D478" s="29" t="s">
        <v>5</v>
      </c>
      <c r="E478" s="29" t="s">
        <v>6</v>
      </c>
      <c r="F478" s="29" t="s">
        <v>7</v>
      </c>
      <c r="G478" s="29" t="s">
        <v>41</v>
      </c>
      <c r="H478" s="29" t="s">
        <v>42</v>
      </c>
      <c r="I478" s="29" t="s">
        <v>10</v>
      </c>
      <c r="J478" s="29" t="s">
        <v>11</v>
      </c>
      <c r="K478" s="29" t="s">
        <v>12</v>
      </c>
      <c r="L478" s="29" t="s">
        <v>21</v>
      </c>
      <c r="M478" s="29" t="s">
        <v>14</v>
      </c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21" customHeight="1" x14ac:dyDescent="0.65">
      <c r="A479" s="115">
        <v>1</v>
      </c>
      <c r="B479" s="30"/>
      <c r="C479" s="30">
        <v>1184</v>
      </c>
      <c r="D479" s="30">
        <v>1184</v>
      </c>
      <c r="E479" s="30"/>
      <c r="F479" s="30">
        <v>1184</v>
      </c>
      <c r="G479" s="30">
        <v>1184</v>
      </c>
      <c r="H479" s="30">
        <v>1184</v>
      </c>
      <c r="I479" s="30">
        <v>1184</v>
      </c>
      <c r="J479" s="30"/>
      <c r="K479" s="30"/>
      <c r="L479" s="30">
        <v>1184</v>
      </c>
      <c r="M479" s="30"/>
    </row>
    <row r="480" spans="1:22" ht="23.25" customHeight="1" x14ac:dyDescent="0.65">
      <c r="A480" s="115">
        <v>2</v>
      </c>
      <c r="B480" s="33">
        <v>1184</v>
      </c>
      <c r="C480" s="30">
        <v>1184</v>
      </c>
      <c r="D480" s="30">
        <v>1184</v>
      </c>
      <c r="E480" s="30">
        <v>1184</v>
      </c>
      <c r="F480" s="30">
        <v>1184</v>
      </c>
      <c r="G480" s="30"/>
      <c r="H480" s="30">
        <v>1184</v>
      </c>
      <c r="I480" s="30">
        <v>1184</v>
      </c>
      <c r="J480" s="30"/>
      <c r="K480" s="30">
        <v>1184</v>
      </c>
      <c r="L480" s="30">
        <v>1184</v>
      </c>
      <c r="M480" s="30"/>
    </row>
    <row r="481" spans="1:13" ht="21" customHeight="1" x14ac:dyDescent="0.65">
      <c r="A481" s="115">
        <v>3</v>
      </c>
      <c r="B481" s="33">
        <v>1184</v>
      </c>
      <c r="C481" s="30"/>
      <c r="D481" s="30"/>
      <c r="E481" s="30">
        <v>1184</v>
      </c>
      <c r="F481" s="30">
        <v>1184</v>
      </c>
      <c r="G481" s="30"/>
      <c r="H481" s="30">
        <v>1184</v>
      </c>
      <c r="I481" s="30">
        <v>1184</v>
      </c>
      <c r="J481" s="30"/>
      <c r="K481" s="30">
        <v>1184</v>
      </c>
      <c r="L481" s="30"/>
      <c r="M481" s="30">
        <v>1184</v>
      </c>
    </row>
    <row r="482" spans="1:13" ht="23.25" customHeight="1" x14ac:dyDescent="0.65">
      <c r="A482" s="115">
        <v>4</v>
      </c>
      <c r="B482" s="33">
        <v>1184</v>
      </c>
      <c r="C482" s="30"/>
      <c r="D482" s="30"/>
      <c r="E482" s="30">
        <v>1184</v>
      </c>
      <c r="F482" s="30">
        <v>1184</v>
      </c>
      <c r="G482" s="30">
        <v>1184</v>
      </c>
      <c r="H482" s="30">
        <v>1184</v>
      </c>
      <c r="I482" s="30"/>
      <c r="J482" s="30"/>
      <c r="K482" s="30">
        <v>1184</v>
      </c>
      <c r="L482" s="30"/>
      <c r="M482" s="30">
        <v>1184</v>
      </c>
    </row>
    <row r="483" spans="1:13" ht="22.5" customHeight="1" x14ac:dyDescent="0.65">
      <c r="A483" s="115">
        <v>5</v>
      </c>
      <c r="B483" s="33">
        <v>1184</v>
      </c>
      <c r="C483" s="30">
        <v>1184</v>
      </c>
      <c r="D483" s="30">
        <v>1184</v>
      </c>
      <c r="E483" s="30">
        <v>1184</v>
      </c>
      <c r="F483" s="30"/>
      <c r="G483" s="30">
        <v>1184</v>
      </c>
      <c r="H483" s="30">
        <v>1184</v>
      </c>
      <c r="I483" s="30"/>
      <c r="J483" s="30"/>
      <c r="K483" s="30">
        <v>1184</v>
      </c>
      <c r="L483" s="30">
        <v>1184</v>
      </c>
      <c r="M483" s="30">
        <v>1184</v>
      </c>
    </row>
    <row r="484" spans="1:13" ht="24.75" x14ac:dyDescent="0.65">
      <c r="A484" s="115">
        <v>6</v>
      </c>
      <c r="B484" s="33"/>
      <c r="C484" s="30">
        <v>1184</v>
      </c>
      <c r="D484" s="30">
        <v>1184</v>
      </c>
      <c r="E484" s="30">
        <v>1184</v>
      </c>
      <c r="F484" s="30"/>
      <c r="G484" s="30">
        <v>1184</v>
      </c>
      <c r="H484" s="30"/>
      <c r="I484" s="30">
        <v>1184</v>
      </c>
      <c r="J484" s="30">
        <v>1184</v>
      </c>
      <c r="K484" s="30"/>
      <c r="L484" s="30">
        <v>1184</v>
      </c>
      <c r="M484" s="30">
        <v>1184</v>
      </c>
    </row>
    <row r="485" spans="1:13" ht="24.75" x14ac:dyDescent="0.65">
      <c r="A485" s="115">
        <v>7</v>
      </c>
      <c r="B485" s="33"/>
      <c r="C485" s="30">
        <v>1184</v>
      </c>
      <c r="D485" s="30">
        <v>1184</v>
      </c>
      <c r="E485" s="30"/>
      <c r="F485" s="30">
        <v>1184</v>
      </c>
      <c r="G485" s="30">
        <v>1184</v>
      </c>
      <c r="H485" s="30"/>
      <c r="I485" s="30">
        <v>1184</v>
      </c>
      <c r="J485" s="30">
        <v>1184</v>
      </c>
      <c r="K485" s="30"/>
      <c r="L485" s="30">
        <v>1184</v>
      </c>
      <c r="M485" s="30">
        <v>1184</v>
      </c>
    </row>
    <row r="486" spans="1:13" ht="24.75" x14ac:dyDescent="0.65">
      <c r="A486" s="115">
        <v>8</v>
      </c>
      <c r="B486" s="33">
        <v>1184</v>
      </c>
      <c r="C486" s="30">
        <v>1184</v>
      </c>
      <c r="D486" s="30">
        <v>1184</v>
      </c>
      <c r="E486" s="30"/>
      <c r="F486" s="30">
        <v>1184</v>
      </c>
      <c r="G486" s="30">
        <v>1184</v>
      </c>
      <c r="H486" s="30">
        <v>1184</v>
      </c>
      <c r="I486" s="30">
        <v>1184</v>
      </c>
      <c r="J486" s="30"/>
      <c r="K486" s="30">
        <v>1184</v>
      </c>
      <c r="L486" s="30">
        <v>1184</v>
      </c>
      <c r="M486" s="30"/>
    </row>
    <row r="487" spans="1:13" ht="24.75" x14ac:dyDescent="0.65">
      <c r="A487" s="115">
        <v>9</v>
      </c>
      <c r="B487" s="33">
        <v>1184</v>
      </c>
      <c r="C487" s="30">
        <v>1184</v>
      </c>
      <c r="D487" s="30">
        <v>1184</v>
      </c>
      <c r="E487" s="30">
        <v>1184</v>
      </c>
      <c r="F487" s="30">
        <v>1184</v>
      </c>
      <c r="G487" s="30"/>
      <c r="H487" s="30">
        <v>1184</v>
      </c>
      <c r="I487" s="30">
        <v>1184</v>
      </c>
      <c r="J487" s="30"/>
      <c r="K487" s="30">
        <v>1184</v>
      </c>
      <c r="L487" s="30">
        <v>1184</v>
      </c>
      <c r="M487" s="30"/>
    </row>
    <row r="488" spans="1:13" ht="24.75" x14ac:dyDescent="0.65">
      <c r="A488" s="115">
        <v>10</v>
      </c>
      <c r="B488" s="33">
        <v>1184</v>
      </c>
      <c r="C488" s="30"/>
      <c r="D488" s="30"/>
      <c r="E488" s="30">
        <v>1184</v>
      </c>
      <c r="F488" s="30">
        <v>1184</v>
      </c>
      <c r="G488" s="30"/>
      <c r="H488" s="30"/>
      <c r="I488" s="30"/>
      <c r="J488" s="30">
        <v>1184</v>
      </c>
      <c r="K488" s="30">
        <v>1184</v>
      </c>
      <c r="L488" s="30"/>
      <c r="M488" s="30"/>
    </row>
    <row r="489" spans="1:13" ht="24.75" x14ac:dyDescent="0.65">
      <c r="A489" s="115">
        <v>11</v>
      </c>
      <c r="B489" s="33">
        <v>1184</v>
      </c>
      <c r="C489" s="30"/>
      <c r="D489" s="30"/>
      <c r="E489" s="30">
        <v>1184</v>
      </c>
      <c r="F489" s="30">
        <v>1184</v>
      </c>
      <c r="G489" s="30">
        <v>1184</v>
      </c>
      <c r="H489" s="30">
        <v>1184</v>
      </c>
      <c r="I489" s="30"/>
      <c r="J489" s="30">
        <v>1184</v>
      </c>
      <c r="K489" s="30">
        <v>1184</v>
      </c>
      <c r="L489" s="30"/>
      <c r="M489" s="30">
        <v>1184</v>
      </c>
    </row>
    <row r="490" spans="1:13" ht="24.75" x14ac:dyDescent="0.65">
      <c r="A490" s="115">
        <v>12</v>
      </c>
      <c r="B490" s="33">
        <v>1184</v>
      </c>
      <c r="C490" s="30">
        <v>1184</v>
      </c>
      <c r="D490" s="30">
        <v>1184</v>
      </c>
      <c r="E490" s="30">
        <v>1184</v>
      </c>
      <c r="F490" s="30"/>
      <c r="G490" s="30">
        <v>1184</v>
      </c>
      <c r="H490" s="30">
        <v>1184</v>
      </c>
      <c r="I490" s="30"/>
      <c r="J490" s="30">
        <v>1184</v>
      </c>
      <c r="K490" s="30">
        <v>1184</v>
      </c>
      <c r="L490" s="30">
        <v>1184</v>
      </c>
      <c r="M490" s="30">
        <v>1184</v>
      </c>
    </row>
    <row r="491" spans="1:13" ht="24.75" x14ac:dyDescent="0.65">
      <c r="A491" s="115">
        <v>13</v>
      </c>
      <c r="B491" s="33"/>
      <c r="C491" s="30">
        <v>1184</v>
      </c>
      <c r="D491" s="30">
        <v>1184</v>
      </c>
      <c r="E491" s="30">
        <v>1184</v>
      </c>
      <c r="F491" s="30"/>
      <c r="G491" s="30">
        <v>1184</v>
      </c>
      <c r="H491" s="30"/>
      <c r="I491" s="30">
        <v>1184</v>
      </c>
      <c r="J491" s="30">
        <v>1184</v>
      </c>
      <c r="K491" s="30"/>
      <c r="L491" s="30">
        <v>1184</v>
      </c>
      <c r="M491" s="30">
        <v>1184</v>
      </c>
    </row>
    <row r="492" spans="1:13" ht="24.75" x14ac:dyDescent="0.65">
      <c r="A492" s="115">
        <v>14</v>
      </c>
      <c r="B492" s="33"/>
      <c r="C492" s="30">
        <v>1184</v>
      </c>
      <c r="D492" s="30">
        <v>1184</v>
      </c>
      <c r="E492" s="30"/>
      <c r="F492" s="30">
        <v>1184</v>
      </c>
      <c r="G492" s="30">
        <v>1184</v>
      </c>
      <c r="H492" s="30"/>
      <c r="I492" s="30">
        <v>1184</v>
      </c>
      <c r="J492" s="30">
        <v>1184</v>
      </c>
      <c r="K492" s="30"/>
      <c r="L492" s="30">
        <v>1184</v>
      </c>
      <c r="M492" s="30">
        <v>1184</v>
      </c>
    </row>
    <row r="493" spans="1:13" ht="24.75" x14ac:dyDescent="0.65">
      <c r="A493" s="115">
        <v>15</v>
      </c>
      <c r="B493" s="33">
        <v>1184</v>
      </c>
      <c r="C493" s="30">
        <v>1184</v>
      </c>
      <c r="D493" s="30">
        <v>1184</v>
      </c>
      <c r="E493" s="30"/>
      <c r="F493" s="30">
        <v>1184</v>
      </c>
      <c r="G493" s="30">
        <v>1184</v>
      </c>
      <c r="H493" s="30">
        <v>1184</v>
      </c>
      <c r="I493" s="30">
        <v>1184</v>
      </c>
      <c r="J493" s="30"/>
      <c r="K493" s="30">
        <v>1184</v>
      </c>
      <c r="L493" s="30">
        <v>1184</v>
      </c>
      <c r="M493" s="30"/>
    </row>
    <row r="494" spans="1:13" ht="24.75" x14ac:dyDescent="0.65">
      <c r="A494" s="115">
        <v>16</v>
      </c>
      <c r="B494" s="33">
        <v>1184</v>
      </c>
      <c r="C494" s="30">
        <v>1184</v>
      </c>
      <c r="D494" s="30">
        <v>1184</v>
      </c>
      <c r="E494" s="30">
        <v>1184</v>
      </c>
      <c r="F494" s="30">
        <v>1184</v>
      </c>
      <c r="G494" s="30"/>
      <c r="H494" s="30">
        <v>1184</v>
      </c>
      <c r="I494" s="30">
        <v>1184</v>
      </c>
      <c r="J494" s="30"/>
      <c r="K494" s="30">
        <v>1184</v>
      </c>
      <c r="L494" s="30">
        <v>1184</v>
      </c>
      <c r="M494" s="30"/>
    </row>
    <row r="495" spans="1:13" ht="24.75" x14ac:dyDescent="0.65">
      <c r="A495" s="115">
        <v>17</v>
      </c>
      <c r="B495" s="33">
        <v>1184</v>
      </c>
      <c r="C495" s="30"/>
      <c r="D495" s="30"/>
      <c r="E495" s="30">
        <v>1184</v>
      </c>
      <c r="F495" s="30">
        <v>1184</v>
      </c>
      <c r="G495" s="30"/>
      <c r="H495" s="30">
        <v>1184</v>
      </c>
      <c r="I495" s="30">
        <v>1184</v>
      </c>
      <c r="J495" s="30">
        <v>1184</v>
      </c>
      <c r="K495" s="30">
        <v>1184</v>
      </c>
      <c r="L495" s="30"/>
      <c r="M495" s="30">
        <v>1184</v>
      </c>
    </row>
    <row r="496" spans="1:13" ht="24.75" x14ac:dyDescent="0.65">
      <c r="A496" s="115">
        <v>18</v>
      </c>
      <c r="B496" s="33">
        <v>1184</v>
      </c>
      <c r="C496" s="30"/>
      <c r="D496" s="30"/>
      <c r="E496" s="30">
        <v>1184</v>
      </c>
      <c r="F496" s="30">
        <v>1184</v>
      </c>
      <c r="G496" s="30">
        <v>1184</v>
      </c>
      <c r="H496" s="30">
        <v>1184</v>
      </c>
      <c r="I496" s="30"/>
      <c r="J496" s="30">
        <v>1184</v>
      </c>
      <c r="K496" s="30">
        <v>1184</v>
      </c>
      <c r="L496" s="30"/>
      <c r="M496" s="30">
        <v>1184</v>
      </c>
    </row>
    <row r="497" spans="1:22" ht="24.75" x14ac:dyDescent="0.65">
      <c r="A497" s="115">
        <v>19</v>
      </c>
      <c r="B497" s="33">
        <v>1184</v>
      </c>
      <c r="C497" s="30">
        <v>1184</v>
      </c>
      <c r="D497" s="30">
        <v>1184</v>
      </c>
      <c r="E497" s="30">
        <v>1184</v>
      </c>
      <c r="F497" s="30"/>
      <c r="G497" s="30">
        <v>1184</v>
      </c>
      <c r="H497" s="30">
        <v>1184</v>
      </c>
      <c r="I497" s="30"/>
      <c r="J497" s="30">
        <v>1184</v>
      </c>
      <c r="K497" s="30">
        <v>1184</v>
      </c>
      <c r="L497" s="30">
        <v>1184</v>
      </c>
      <c r="M497" s="30">
        <v>1184</v>
      </c>
    </row>
    <row r="498" spans="1:22" ht="24.75" x14ac:dyDescent="0.65">
      <c r="A498" s="115">
        <v>20</v>
      </c>
      <c r="B498" s="33"/>
      <c r="C498" s="30">
        <v>1184</v>
      </c>
      <c r="D498" s="30">
        <v>1184</v>
      </c>
      <c r="E498" s="30">
        <v>1184</v>
      </c>
      <c r="F498" s="30"/>
      <c r="G498" s="30">
        <v>1184</v>
      </c>
      <c r="H498" s="30"/>
      <c r="I498" s="30">
        <v>1184</v>
      </c>
      <c r="J498" s="30">
        <v>1184</v>
      </c>
      <c r="K498" s="30"/>
      <c r="L498" s="30">
        <v>1184</v>
      </c>
      <c r="M498" s="30">
        <v>1184</v>
      </c>
    </row>
    <row r="499" spans="1:22" ht="24.75" x14ac:dyDescent="0.65">
      <c r="A499" s="115">
        <v>21</v>
      </c>
      <c r="B499" s="33"/>
      <c r="C499" s="30">
        <v>1184</v>
      </c>
      <c r="D499" s="30"/>
      <c r="E499" s="30"/>
      <c r="F499" s="30">
        <v>1184</v>
      </c>
      <c r="G499" s="30">
        <v>1184</v>
      </c>
      <c r="H499" s="30"/>
      <c r="I499" s="30">
        <v>1184</v>
      </c>
      <c r="J499" s="30"/>
      <c r="K499" s="30"/>
      <c r="L499" s="30">
        <v>1184</v>
      </c>
      <c r="M499" s="30">
        <v>1184</v>
      </c>
    </row>
    <row r="500" spans="1:22" ht="24.75" x14ac:dyDescent="0.65">
      <c r="A500" s="115">
        <v>22</v>
      </c>
      <c r="B500" s="33">
        <v>1184</v>
      </c>
      <c r="C500" s="30">
        <v>1184</v>
      </c>
      <c r="D500" s="30">
        <v>1184</v>
      </c>
      <c r="E500" s="30"/>
      <c r="F500" s="30">
        <v>1184</v>
      </c>
      <c r="G500" s="30">
        <v>1184</v>
      </c>
      <c r="H500" s="30">
        <v>1184</v>
      </c>
      <c r="I500" s="30">
        <v>1184</v>
      </c>
      <c r="J500" s="30"/>
      <c r="K500" s="30">
        <v>1184</v>
      </c>
      <c r="L500" s="30">
        <v>1184</v>
      </c>
      <c r="M500" s="30"/>
    </row>
    <row r="501" spans="1:22" ht="24.75" x14ac:dyDescent="0.65">
      <c r="A501" s="115">
        <v>23</v>
      </c>
      <c r="B501" s="33">
        <v>1184</v>
      </c>
      <c r="C501" s="30">
        <v>1184</v>
      </c>
      <c r="D501" s="30">
        <v>1184</v>
      </c>
      <c r="E501" s="30"/>
      <c r="F501" s="30">
        <v>1184</v>
      </c>
      <c r="G501" s="30"/>
      <c r="H501" s="30">
        <v>1184</v>
      </c>
      <c r="I501" s="30">
        <v>1184</v>
      </c>
      <c r="J501" s="30"/>
      <c r="K501" s="30">
        <v>1184</v>
      </c>
      <c r="L501" s="30">
        <v>1184</v>
      </c>
      <c r="M501" s="30"/>
    </row>
    <row r="502" spans="1:22" ht="24.75" x14ac:dyDescent="0.65">
      <c r="A502" s="115">
        <v>24</v>
      </c>
      <c r="B502" s="33">
        <v>1184</v>
      </c>
      <c r="C502" s="30"/>
      <c r="D502" s="30"/>
      <c r="E502" s="30">
        <v>1184</v>
      </c>
      <c r="F502" s="30">
        <v>1184</v>
      </c>
      <c r="G502" s="30"/>
      <c r="H502" s="30">
        <v>1184</v>
      </c>
      <c r="I502" s="30">
        <v>1184</v>
      </c>
      <c r="J502" s="30">
        <v>1184</v>
      </c>
      <c r="K502" s="30">
        <v>1184</v>
      </c>
      <c r="L502" s="30"/>
      <c r="M502" s="30">
        <v>1184</v>
      </c>
    </row>
    <row r="503" spans="1:22" ht="24.75" x14ac:dyDescent="0.65">
      <c r="A503" s="115">
        <v>25</v>
      </c>
      <c r="B503" s="33">
        <v>1184</v>
      </c>
      <c r="C503" s="30"/>
      <c r="D503" s="30"/>
      <c r="E503" s="30">
        <v>1184</v>
      </c>
      <c r="F503" s="30">
        <v>1184</v>
      </c>
      <c r="G503" s="30"/>
      <c r="H503" s="30">
        <v>1184</v>
      </c>
      <c r="I503" s="30"/>
      <c r="J503" s="30">
        <v>1184</v>
      </c>
      <c r="K503" s="30">
        <v>1184</v>
      </c>
      <c r="L503" s="30"/>
      <c r="M503" s="30">
        <v>1184</v>
      </c>
    </row>
    <row r="504" spans="1:22" ht="24.75" x14ac:dyDescent="0.65">
      <c r="A504" s="115">
        <v>26</v>
      </c>
      <c r="B504" s="33">
        <v>1184</v>
      </c>
      <c r="C504" s="30">
        <v>1184</v>
      </c>
      <c r="D504" s="30">
        <v>1184</v>
      </c>
      <c r="E504" s="30">
        <v>1184</v>
      </c>
      <c r="F504" s="30"/>
      <c r="G504" s="30"/>
      <c r="H504" s="30">
        <v>1184</v>
      </c>
      <c r="I504" s="30"/>
      <c r="J504" s="30">
        <v>1184</v>
      </c>
      <c r="K504" s="30">
        <v>1184</v>
      </c>
      <c r="L504" s="30">
        <v>1184</v>
      </c>
      <c r="M504" s="30">
        <v>1184</v>
      </c>
    </row>
    <row r="505" spans="1:22" ht="24.75" x14ac:dyDescent="0.65">
      <c r="A505" s="115">
        <v>27</v>
      </c>
      <c r="B505" s="33"/>
      <c r="C505" s="30">
        <v>1184</v>
      </c>
      <c r="D505" s="30">
        <v>1184</v>
      </c>
      <c r="E505" s="30">
        <v>1184</v>
      </c>
      <c r="F505" s="30"/>
      <c r="G505" s="30"/>
      <c r="H505" s="30"/>
      <c r="I505" s="30">
        <v>1184</v>
      </c>
      <c r="J505" s="30">
        <v>1184</v>
      </c>
      <c r="K505" s="30"/>
      <c r="L505" s="30">
        <v>1184</v>
      </c>
      <c r="M505" s="30">
        <v>1184</v>
      </c>
    </row>
    <row r="506" spans="1:22" ht="24.75" x14ac:dyDescent="0.65">
      <c r="A506" s="115">
        <v>28</v>
      </c>
      <c r="B506" s="33"/>
      <c r="C506" s="30">
        <v>1184</v>
      </c>
      <c r="D506" s="30">
        <v>1184</v>
      </c>
      <c r="E506" s="30"/>
      <c r="F506" s="30">
        <v>1184</v>
      </c>
      <c r="G506" s="30"/>
      <c r="H506" s="30"/>
      <c r="I506" s="30">
        <v>1184</v>
      </c>
      <c r="J506" s="30">
        <v>1184</v>
      </c>
      <c r="K506" s="30"/>
      <c r="L506" s="30">
        <v>1184</v>
      </c>
      <c r="M506" s="30">
        <v>1184</v>
      </c>
    </row>
    <row r="507" spans="1:22" ht="24.75" x14ac:dyDescent="0.65">
      <c r="A507" s="115">
        <v>29</v>
      </c>
      <c r="B507" s="33">
        <v>1184</v>
      </c>
      <c r="C507" s="30"/>
      <c r="D507" s="30">
        <v>1184</v>
      </c>
      <c r="E507" s="30"/>
      <c r="F507" s="30">
        <v>1184</v>
      </c>
      <c r="G507" s="30"/>
      <c r="H507" s="30">
        <v>1184</v>
      </c>
      <c r="I507" s="30">
        <v>1184</v>
      </c>
      <c r="J507" s="30"/>
      <c r="K507" s="30">
        <v>1184</v>
      </c>
      <c r="L507" s="30">
        <v>1184</v>
      </c>
      <c r="M507" s="30"/>
    </row>
    <row r="508" spans="1:22" ht="24.75" x14ac:dyDescent="0.65">
      <c r="A508" s="115">
        <v>30</v>
      </c>
      <c r="B508" s="33">
        <v>1184</v>
      </c>
      <c r="C508" s="30"/>
      <c r="D508" s="30">
        <v>1184</v>
      </c>
      <c r="E508" s="30">
        <v>1184</v>
      </c>
      <c r="F508" s="30">
        <v>1184</v>
      </c>
      <c r="G508" s="30"/>
      <c r="H508" s="30">
        <v>1184</v>
      </c>
      <c r="I508" s="30">
        <v>1184</v>
      </c>
      <c r="J508" s="30"/>
      <c r="K508" s="30">
        <v>1184</v>
      </c>
      <c r="L508" s="30">
        <v>1184</v>
      </c>
      <c r="M508" s="30"/>
    </row>
    <row r="509" spans="1:22" ht="25.5" thickBot="1" x14ac:dyDescent="0.7">
      <c r="A509" s="116">
        <v>31</v>
      </c>
      <c r="B509" s="34">
        <v>1184</v>
      </c>
      <c r="C509" s="30"/>
      <c r="D509" s="30"/>
      <c r="E509" s="30"/>
      <c r="F509" s="30">
        <v>1184</v>
      </c>
      <c r="G509" s="30"/>
      <c r="H509" s="30"/>
      <c r="I509" s="30">
        <v>1184</v>
      </c>
      <c r="J509" s="30"/>
      <c r="K509" s="30">
        <v>1184</v>
      </c>
      <c r="L509" s="30">
        <v>1184</v>
      </c>
      <c r="M509" s="30"/>
    </row>
    <row r="510" spans="1:22" ht="23.25" customHeight="1" thickBot="1" x14ac:dyDescent="0.7">
      <c r="A510" s="195" t="s">
        <v>15</v>
      </c>
      <c r="B510" s="197">
        <f>AVERAGE(B479:B509)</f>
        <v>1184</v>
      </c>
      <c r="C510" s="197">
        <f t="shared" ref="C510:M510" si="51">AVERAGE(C479:C509)</f>
        <v>1184</v>
      </c>
      <c r="D510" s="197">
        <f t="shared" si="51"/>
        <v>1184</v>
      </c>
      <c r="E510" s="197">
        <f t="shared" si="51"/>
        <v>1184</v>
      </c>
      <c r="F510" s="197">
        <f t="shared" si="51"/>
        <v>1184</v>
      </c>
      <c r="G510" s="197">
        <f t="shared" si="51"/>
        <v>1184</v>
      </c>
      <c r="H510" s="197">
        <f t="shared" si="51"/>
        <v>1184</v>
      </c>
      <c r="I510" s="197">
        <f t="shared" si="51"/>
        <v>1184</v>
      </c>
      <c r="J510" s="197">
        <f t="shared" si="51"/>
        <v>1184</v>
      </c>
      <c r="K510" s="197">
        <f t="shared" si="51"/>
        <v>1184</v>
      </c>
      <c r="L510" s="197">
        <f t="shared" si="51"/>
        <v>1184</v>
      </c>
      <c r="M510" s="197">
        <f t="shared" si="51"/>
        <v>1184</v>
      </c>
    </row>
    <row r="511" spans="1:22" s="23" customFormat="1" ht="25.5" thickBot="1" x14ac:dyDescent="0.7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20"/>
      <c r="L511" s="20"/>
      <c r="M511" s="20"/>
      <c r="N511" s="21"/>
      <c r="O511" s="22"/>
      <c r="P511" s="22"/>
      <c r="Q511" s="22"/>
      <c r="R511" s="22"/>
      <c r="S511" s="22"/>
      <c r="T511" s="22"/>
      <c r="U511" s="22"/>
      <c r="V511" s="22"/>
    </row>
    <row r="512" spans="1:22" ht="25.5" thickBot="1" x14ac:dyDescent="0.7">
      <c r="A512" s="64" t="s">
        <v>60</v>
      </c>
      <c r="B512" s="29" t="s">
        <v>3</v>
      </c>
      <c r="C512" s="29" t="s">
        <v>4</v>
      </c>
      <c r="D512" s="29" t="s">
        <v>5</v>
      </c>
      <c r="E512" s="29" t="s">
        <v>6</v>
      </c>
      <c r="F512" s="29" t="s">
        <v>7</v>
      </c>
      <c r="G512" s="29" t="s">
        <v>41</v>
      </c>
      <c r="H512" s="29" t="s">
        <v>42</v>
      </c>
      <c r="I512" s="29" t="s">
        <v>10</v>
      </c>
      <c r="J512" s="29" t="s">
        <v>11</v>
      </c>
      <c r="K512" s="29" t="s">
        <v>12</v>
      </c>
      <c r="L512" s="29" t="s">
        <v>21</v>
      </c>
      <c r="M512" s="29" t="s">
        <v>14</v>
      </c>
      <c r="N512" s="1"/>
      <c r="O512" s="1"/>
      <c r="P512" s="1"/>
      <c r="Q512" s="1"/>
      <c r="R512" s="1"/>
      <c r="S512" s="1"/>
      <c r="T512" s="1"/>
      <c r="U512" s="1"/>
      <c r="V512" s="1"/>
    </row>
    <row r="513" spans="1:13" ht="24.75" x14ac:dyDescent="0.6">
      <c r="A513" s="112">
        <v>1</v>
      </c>
      <c r="B513" s="35">
        <v>1184</v>
      </c>
      <c r="C513" s="35">
        <v>1184</v>
      </c>
      <c r="D513" s="36">
        <v>1184</v>
      </c>
      <c r="E513" s="36">
        <v>1184</v>
      </c>
      <c r="F513" s="36"/>
      <c r="G513" s="36"/>
      <c r="H513" s="36"/>
      <c r="I513" s="36">
        <v>1182</v>
      </c>
      <c r="J513" s="36"/>
      <c r="K513" s="36">
        <v>1182</v>
      </c>
      <c r="L513" s="36">
        <v>1182</v>
      </c>
      <c r="M513" s="36"/>
    </row>
    <row r="514" spans="1:13" ht="24.75" x14ac:dyDescent="0.6">
      <c r="A514" s="113">
        <v>2</v>
      </c>
      <c r="B514" s="35">
        <v>1184</v>
      </c>
      <c r="C514" s="35"/>
      <c r="D514" s="36"/>
      <c r="E514" s="36">
        <v>1184</v>
      </c>
      <c r="F514" s="36">
        <v>1184</v>
      </c>
      <c r="G514" s="36"/>
      <c r="H514" s="36"/>
      <c r="I514" s="36">
        <v>1182</v>
      </c>
      <c r="J514" s="36">
        <v>1182</v>
      </c>
      <c r="K514" s="36">
        <v>1182</v>
      </c>
      <c r="L514" s="36"/>
      <c r="M514" s="36">
        <v>1182</v>
      </c>
    </row>
    <row r="515" spans="1:13" ht="24.75" x14ac:dyDescent="0.6">
      <c r="A515" s="113">
        <v>3</v>
      </c>
      <c r="B515" s="35">
        <v>1184</v>
      </c>
      <c r="C515" s="35"/>
      <c r="D515" s="36"/>
      <c r="E515" s="36">
        <v>1184</v>
      </c>
      <c r="F515" s="36">
        <v>1184</v>
      </c>
      <c r="G515" s="36">
        <v>1182</v>
      </c>
      <c r="H515" s="36">
        <v>1182</v>
      </c>
      <c r="I515" s="36"/>
      <c r="J515" s="36">
        <v>1182</v>
      </c>
      <c r="K515" s="36">
        <v>1182</v>
      </c>
      <c r="L515" s="36"/>
      <c r="M515" s="36">
        <v>1182</v>
      </c>
    </row>
    <row r="516" spans="1:13" ht="24.75" x14ac:dyDescent="0.6">
      <c r="A516" s="113">
        <v>4</v>
      </c>
      <c r="B516" s="35"/>
      <c r="C516" s="35">
        <v>1184</v>
      </c>
      <c r="D516" s="36">
        <v>1184</v>
      </c>
      <c r="E516" s="36">
        <v>1184</v>
      </c>
      <c r="F516" s="36"/>
      <c r="G516" s="36">
        <v>1182</v>
      </c>
      <c r="H516" s="36">
        <v>1182</v>
      </c>
      <c r="I516" s="36"/>
      <c r="J516" s="36">
        <v>1182</v>
      </c>
      <c r="K516" s="36">
        <v>1182</v>
      </c>
      <c r="L516" s="36">
        <v>1182</v>
      </c>
      <c r="M516" s="36">
        <v>1182</v>
      </c>
    </row>
    <row r="517" spans="1:13" ht="24.75" x14ac:dyDescent="0.6">
      <c r="A517" s="113">
        <v>5</v>
      </c>
      <c r="B517" s="35"/>
      <c r="C517" s="35">
        <v>1184</v>
      </c>
      <c r="D517" s="36">
        <v>1184</v>
      </c>
      <c r="E517" s="36">
        <v>1184</v>
      </c>
      <c r="F517" s="36"/>
      <c r="G517" s="36">
        <v>1182</v>
      </c>
      <c r="H517" s="36">
        <v>1182</v>
      </c>
      <c r="I517" s="36">
        <v>1182</v>
      </c>
      <c r="J517" s="36">
        <v>1182</v>
      </c>
      <c r="K517" s="36"/>
      <c r="L517" s="36">
        <v>1182</v>
      </c>
      <c r="M517" s="36">
        <v>1182</v>
      </c>
    </row>
    <row r="518" spans="1:13" ht="24.75" x14ac:dyDescent="0.6">
      <c r="A518" s="113">
        <v>6</v>
      </c>
      <c r="B518" s="35">
        <v>1184</v>
      </c>
      <c r="C518" s="35">
        <v>1184</v>
      </c>
      <c r="D518" s="36">
        <v>1184</v>
      </c>
      <c r="E518" s="36"/>
      <c r="F518" s="36">
        <v>1184</v>
      </c>
      <c r="G518" s="36">
        <v>1182</v>
      </c>
      <c r="H518" s="36">
        <v>1182</v>
      </c>
      <c r="I518" s="36">
        <v>1182</v>
      </c>
      <c r="J518" s="36">
        <v>1182</v>
      </c>
      <c r="K518" s="36"/>
      <c r="L518" s="36">
        <v>1182</v>
      </c>
      <c r="M518" s="36">
        <v>1182</v>
      </c>
    </row>
    <row r="519" spans="1:13" ht="24.75" x14ac:dyDescent="0.6">
      <c r="A519" s="113">
        <v>7</v>
      </c>
      <c r="B519" s="35">
        <v>1184</v>
      </c>
      <c r="C519" s="35">
        <v>1184</v>
      </c>
      <c r="D519" s="36">
        <v>1184</v>
      </c>
      <c r="E519" s="36"/>
      <c r="F519" s="36">
        <v>1184</v>
      </c>
      <c r="G519" s="36">
        <v>1182</v>
      </c>
      <c r="H519" s="36">
        <v>1182</v>
      </c>
      <c r="I519" s="36">
        <v>1182</v>
      </c>
      <c r="J519" s="36"/>
      <c r="K519" s="36">
        <v>1182</v>
      </c>
      <c r="L519" s="36">
        <v>1182</v>
      </c>
      <c r="M519" s="36"/>
    </row>
    <row r="520" spans="1:13" ht="24.75" x14ac:dyDescent="0.6">
      <c r="A520" s="113">
        <v>8</v>
      </c>
      <c r="B520" s="35">
        <v>1184</v>
      </c>
      <c r="C520" s="35">
        <v>1184</v>
      </c>
      <c r="D520" s="36">
        <v>1184</v>
      </c>
      <c r="E520" s="36">
        <v>1184</v>
      </c>
      <c r="F520" s="36">
        <v>1184</v>
      </c>
      <c r="G520" s="36"/>
      <c r="H520" s="36"/>
      <c r="I520" s="36">
        <v>1182</v>
      </c>
      <c r="J520" s="36"/>
      <c r="K520" s="36">
        <v>1182</v>
      </c>
      <c r="L520" s="36">
        <v>1182</v>
      </c>
      <c r="M520" s="36"/>
    </row>
    <row r="521" spans="1:13" ht="24.75" x14ac:dyDescent="0.6">
      <c r="A521" s="113">
        <v>9</v>
      </c>
      <c r="B521" s="35">
        <v>1184</v>
      </c>
      <c r="C521" s="35"/>
      <c r="D521" s="36"/>
      <c r="E521" s="36">
        <v>1184</v>
      </c>
      <c r="F521" s="36">
        <v>1184</v>
      </c>
      <c r="G521" s="36"/>
      <c r="H521" s="36"/>
      <c r="I521" s="36">
        <v>1182</v>
      </c>
      <c r="J521" s="36">
        <v>1182</v>
      </c>
      <c r="K521" s="36">
        <v>1182</v>
      </c>
      <c r="L521" s="36"/>
      <c r="M521" s="36">
        <v>1182</v>
      </c>
    </row>
    <row r="522" spans="1:13" ht="24.75" x14ac:dyDescent="0.6">
      <c r="A522" s="113">
        <v>10</v>
      </c>
      <c r="B522" s="35">
        <v>1184</v>
      </c>
      <c r="C522" s="35"/>
      <c r="D522" s="36"/>
      <c r="E522" s="36">
        <v>1184</v>
      </c>
      <c r="F522" s="36">
        <v>1184</v>
      </c>
      <c r="G522" s="36">
        <v>1182</v>
      </c>
      <c r="H522" s="36">
        <v>1182</v>
      </c>
      <c r="I522" s="36"/>
      <c r="J522" s="36">
        <v>1182</v>
      </c>
      <c r="K522" s="36">
        <v>1182</v>
      </c>
      <c r="L522" s="36"/>
      <c r="M522" s="36">
        <v>1182</v>
      </c>
    </row>
    <row r="523" spans="1:13" ht="24.75" x14ac:dyDescent="0.6">
      <c r="A523" s="113">
        <v>11</v>
      </c>
      <c r="B523" s="35"/>
      <c r="C523" s="35">
        <v>1184</v>
      </c>
      <c r="D523" s="36">
        <v>1184</v>
      </c>
      <c r="E523" s="36">
        <v>1184</v>
      </c>
      <c r="F523" s="36"/>
      <c r="G523" s="36">
        <v>1182</v>
      </c>
      <c r="H523" s="36">
        <v>1182</v>
      </c>
      <c r="I523" s="36"/>
      <c r="J523" s="36">
        <v>1182</v>
      </c>
      <c r="K523" s="36">
        <v>1182</v>
      </c>
      <c r="L523" s="36">
        <v>1182</v>
      </c>
      <c r="M523" s="36">
        <v>1182</v>
      </c>
    </row>
    <row r="524" spans="1:13" ht="24.75" x14ac:dyDescent="0.6">
      <c r="A524" s="113">
        <v>12</v>
      </c>
      <c r="B524" s="35"/>
      <c r="C524" s="35">
        <v>1184</v>
      </c>
      <c r="D524" s="36">
        <v>1184</v>
      </c>
      <c r="E524" s="36"/>
      <c r="F524" s="36"/>
      <c r="G524" s="36">
        <v>1182</v>
      </c>
      <c r="H524" s="36">
        <v>1182</v>
      </c>
      <c r="I524" s="36">
        <v>1182</v>
      </c>
      <c r="J524" s="36">
        <v>1182</v>
      </c>
      <c r="K524" s="36"/>
      <c r="L524" s="36">
        <v>1182</v>
      </c>
      <c r="M524" s="36">
        <v>1182</v>
      </c>
    </row>
    <row r="525" spans="1:13" ht="24.75" x14ac:dyDescent="0.6">
      <c r="A525" s="113">
        <v>13</v>
      </c>
      <c r="B525" s="35">
        <v>1184</v>
      </c>
      <c r="C525" s="35">
        <v>1184</v>
      </c>
      <c r="D525" s="36">
        <v>1184</v>
      </c>
      <c r="E525" s="36"/>
      <c r="F525" s="36"/>
      <c r="G525" s="36">
        <v>1182</v>
      </c>
      <c r="H525" s="36">
        <v>1182</v>
      </c>
      <c r="I525" s="36">
        <v>1182</v>
      </c>
      <c r="J525" s="36">
        <v>1182</v>
      </c>
      <c r="K525" s="36"/>
      <c r="L525" s="36">
        <v>1182</v>
      </c>
      <c r="M525" s="36">
        <v>1182</v>
      </c>
    </row>
    <row r="526" spans="1:13" ht="24.75" x14ac:dyDescent="0.6">
      <c r="A526" s="113">
        <v>14</v>
      </c>
      <c r="B526" s="35">
        <v>1184</v>
      </c>
      <c r="C526" s="35">
        <v>1184</v>
      </c>
      <c r="D526" s="36">
        <v>1184</v>
      </c>
      <c r="E526" s="36"/>
      <c r="F526" s="36">
        <v>1184</v>
      </c>
      <c r="G526" s="36">
        <v>1182</v>
      </c>
      <c r="H526" s="36">
        <v>1182</v>
      </c>
      <c r="I526" s="36">
        <v>1182</v>
      </c>
      <c r="J526" s="36"/>
      <c r="K526" s="36">
        <v>1182</v>
      </c>
      <c r="L526" s="36">
        <v>1182</v>
      </c>
      <c r="M526" s="36"/>
    </row>
    <row r="527" spans="1:13" ht="24.75" x14ac:dyDescent="0.6">
      <c r="A527" s="113">
        <v>15</v>
      </c>
      <c r="B527" s="35">
        <v>1184</v>
      </c>
      <c r="C527" s="35">
        <v>1184</v>
      </c>
      <c r="D527" s="36">
        <v>1184</v>
      </c>
      <c r="E527" s="36">
        <v>1184</v>
      </c>
      <c r="F527" s="36">
        <v>1184</v>
      </c>
      <c r="G527" s="36"/>
      <c r="H527" s="36"/>
      <c r="I527" s="36">
        <v>1182</v>
      </c>
      <c r="J527" s="36"/>
      <c r="K527" s="36">
        <v>1182</v>
      </c>
      <c r="L527" s="36">
        <v>1182</v>
      </c>
      <c r="M527" s="36"/>
    </row>
    <row r="528" spans="1:13" ht="24.75" x14ac:dyDescent="0.6">
      <c r="A528" s="113">
        <v>16</v>
      </c>
      <c r="B528" s="35">
        <v>1184</v>
      </c>
      <c r="C528" s="35"/>
      <c r="D528" s="36"/>
      <c r="E528" s="36">
        <v>1184</v>
      </c>
      <c r="F528" s="36">
        <v>1184</v>
      </c>
      <c r="G528" s="36"/>
      <c r="H528" s="36"/>
      <c r="I528" s="36">
        <v>1182</v>
      </c>
      <c r="J528" s="36">
        <v>1182</v>
      </c>
      <c r="K528" s="36">
        <v>1182</v>
      </c>
      <c r="L528" s="36"/>
      <c r="M528" s="36">
        <v>1182</v>
      </c>
    </row>
    <row r="529" spans="1:13" ht="24.75" x14ac:dyDescent="0.6">
      <c r="A529" s="113">
        <v>17</v>
      </c>
      <c r="B529" s="35">
        <v>1184</v>
      </c>
      <c r="C529" s="35"/>
      <c r="D529" s="36"/>
      <c r="E529" s="36">
        <v>1184</v>
      </c>
      <c r="F529" s="36">
        <v>1184</v>
      </c>
      <c r="G529" s="36"/>
      <c r="H529" s="36"/>
      <c r="I529" s="36"/>
      <c r="J529" s="36">
        <v>1182</v>
      </c>
      <c r="K529" s="36">
        <v>1182</v>
      </c>
      <c r="L529" s="36"/>
      <c r="M529" s="36">
        <v>1182</v>
      </c>
    </row>
    <row r="530" spans="1:13" ht="24.75" x14ac:dyDescent="0.6">
      <c r="A530" s="113">
        <v>18</v>
      </c>
      <c r="B530" s="35"/>
      <c r="C530" s="35">
        <v>1184</v>
      </c>
      <c r="D530" s="36">
        <v>1184</v>
      </c>
      <c r="E530" s="36">
        <v>1184</v>
      </c>
      <c r="F530" s="36"/>
      <c r="G530" s="36"/>
      <c r="H530" s="36"/>
      <c r="I530" s="36"/>
      <c r="J530" s="36">
        <v>1182</v>
      </c>
      <c r="K530" s="36">
        <v>1182</v>
      </c>
      <c r="L530" s="36">
        <v>1182</v>
      </c>
      <c r="M530" s="36">
        <v>1182</v>
      </c>
    </row>
    <row r="531" spans="1:13" ht="24.75" x14ac:dyDescent="0.6">
      <c r="A531" s="113">
        <v>19</v>
      </c>
      <c r="B531" s="35"/>
      <c r="C531" s="35">
        <v>1184</v>
      </c>
      <c r="D531" s="36">
        <v>1184</v>
      </c>
      <c r="E531" s="36">
        <v>1184</v>
      </c>
      <c r="F531" s="36"/>
      <c r="G531" s="36"/>
      <c r="H531" s="36"/>
      <c r="I531" s="36">
        <v>1182</v>
      </c>
      <c r="J531" s="36">
        <v>1182</v>
      </c>
      <c r="K531" s="36"/>
      <c r="L531" s="36">
        <v>1182</v>
      </c>
      <c r="M531" s="36">
        <v>1182</v>
      </c>
    </row>
    <row r="532" spans="1:13" ht="24.75" x14ac:dyDescent="0.6">
      <c r="A532" s="113">
        <v>20</v>
      </c>
      <c r="B532" s="35">
        <v>1184</v>
      </c>
      <c r="C532" s="35">
        <v>1184</v>
      </c>
      <c r="D532" s="36">
        <v>1184</v>
      </c>
      <c r="E532" s="36"/>
      <c r="F532" s="36">
        <v>1184</v>
      </c>
      <c r="G532" s="36">
        <v>1182</v>
      </c>
      <c r="H532" s="36">
        <v>1182</v>
      </c>
      <c r="I532" s="36">
        <v>1182</v>
      </c>
      <c r="J532" s="36"/>
      <c r="K532" s="36"/>
      <c r="L532" s="36">
        <v>1182</v>
      </c>
      <c r="M532" s="36">
        <v>1182</v>
      </c>
    </row>
    <row r="533" spans="1:13" ht="24.75" x14ac:dyDescent="0.6">
      <c r="A533" s="113">
        <v>21</v>
      </c>
      <c r="B533" s="35">
        <v>1184</v>
      </c>
      <c r="C533" s="35">
        <v>1184</v>
      </c>
      <c r="D533" s="36"/>
      <c r="E533" s="36"/>
      <c r="F533" s="36">
        <v>1184</v>
      </c>
      <c r="G533" s="36">
        <v>1182</v>
      </c>
      <c r="H533" s="36">
        <v>1182</v>
      </c>
      <c r="I533" s="36"/>
      <c r="J533" s="36"/>
      <c r="K533" s="36">
        <v>1182</v>
      </c>
      <c r="L533" s="36">
        <v>1182</v>
      </c>
      <c r="M533" s="36"/>
    </row>
    <row r="534" spans="1:13" ht="24.75" x14ac:dyDescent="0.6">
      <c r="A534" s="113">
        <v>22</v>
      </c>
      <c r="B534" s="35">
        <v>1184</v>
      </c>
      <c r="C534" s="35">
        <v>1184</v>
      </c>
      <c r="D534" s="36"/>
      <c r="E534" s="36">
        <v>1184</v>
      </c>
      <c r="F534" s="36">
        <v>1184</v>
      </c>
      <c r="G534" s="36"/>
      <c r="H534" s="36"/>
      <c r="I534" s="36"/>
      <c r="J534" s="36"/>
      <c r="K534" s="36">
        <v>1182</v>
      </c>
      <c r="L534" s="36">
        <v>1182</v>
      </c>
      <c r="M534" s="36"/>
    </row>
    <row r="535" spans="1:13" ht="24.75" x14ac:dyDescent="0.6">
      <c r="A535" s="113">
        <v>23</v>
      </c>
      <c r="B535" s="35">
        <v>1184</v>
      </c>
      <c r="C535" s="35"/>
      <c r="D535" s="36"/>
      <c r="E535" s="36">
        <v>1184</v>
      </c>
      <c r="F535" s="36">
        <v>1184</v>
      </c>
      <c r="G535" s="36"/>
      <c r="H535" s="36"/>
      <c r="I535" s="36"/>
      <c r="J535" s="36">
        <v>1182</v>
      </c>
      <c r="K535" s="36">
        <v>1182</v>
      </c>
      <c r="L535" s="36"/>
      <c r="M535" s="36">
        <v>1182</v>
      </c>
    </row>
    <row r="536" spans="1:13" ht="24.75" x14ac:dyDescent="0.6">
      <c r="A536" s="113">
        <v>24</v>
      </c>
      <c r="B536" s="35">
        <v>1184</v>
      </c>
      <c r="C536" s="35"/>
      <c r="D536" s="36"/>
      <c r="E536" s="36">
        <v>1184</v>
      </c>
      <c r="F536" s="36">
        <v>1182</v>
      </c>
      <c r="G536" s="36">
        <v>1182</v>
      </c>
      <c r="H536" s="36">
        <v>1182</v>
      </c>
      <c r="I536" s="36"/>
      <c r="J536" s="36">
        <v>1182</v>
      </c>
      <c r="K536" s="36">
        <v>1182</v>
      </c>
      <c r="L536" s="36"/>
      <c r="M536" s="36">
        <v>1182</v>
      </c>
    </row>
    <row r="537" spans="1:13" ht="24.75" x14ac:dyDescent="0.6">
      <c r="A537" s="113">
        <v>25</v>
      </c>
      <c r="B537" s="35"/>
      <c r="C537" s="35">
        <v>1184</v>
      </c>
      <c r="D537" s="36">
        <v>1184</v>
      </c>
      <c r="E537" s="36">
        <v>1184</v>
      </c>
      <c r="F537" s="36"/>
      <c r="G537" s="36">
        <v>1182</v>
      </c>
      <c r="H537" s="36">
        <v>1182</v>
      </c>
      <c r="I537" s="36"/>
      <c r="J537" s="36">
        <v>1182</v>
      </c>
      <c r="K537" s="36">
        <v>1182</v>
      </c>
      <c r="L537" s="36">
        <v>1182</v>
      </c>
      <c r="M537" s="36">
        <v>1182</v>
      </c>
    </row>
    <row r="538" spans="1:13" ht="24.75" x14ac:dyDescent="0.6">
      <c r="A538" s="113">
        <v>26</v>
      </c>
      <c r="B538" s="35"/>
      <c r="C538" s="35">
        <v>1184</v>
      </c>
      <c r="D538" s="36">
        <v>1184</v>
      </c>
      <c r="E538" s="36">
        <v>1184</v>
      </c>
      <c r="F538" s="36"/>
      <c r="G538" s="36">
        <v>1182</v>
      </c>
      <c r="H538" s="36">
        <v>1182</v>
      </c>
      <c r="I538" s="36"/>
      <c r="J538" s="36">
        <v>1182</v>
      </c>
      <c r="K538" s="36"/>
      <c r="L538" s="36">
        <v>1182</v>
      </c>
      <c r="M538" s="36">
        <v>1182</v>
      </c>
    </row>
    <row r="539" spans="1:13" ht="24.75" x14ac:dyDescent="0.6">
      <c r="A539" s="113">
        <v>27</v>
      </c>
      <c r="B539" s="35">
        <v>1184</v>
      </c>
      <c r="C539" s="35">
        <v>1184</v>
      </c>
      <c r="D539" s="36">
        <v>1184</v>
      </c>
      <c r="E539" s="36"/>
      <c r="F539" s="36">
        <v>1182</v>
      </c>
      <c r="G539" s="36">
        <v>1182</v>
      </c>
      <c r="H539" s="36">
        <v>1182</v>
      </c>
      <c r="I539" s="36">
        <v>1182</v>
      </c>
      <c r="J539" s="36">
        <v>1182</v>
      </c>
      <c r="K539" s="36"/>
      <c r="L539" s="36">
        <v>1182</v>
      </c>
      <c r="M539" s="36">
        <v>1182</v>
      </c>
    </row>
    <row r="540" spans="1:13" ht="24.75" x14ac:dyDescent="0.6">
      <c r="A540" s="113">
        <v>28</v>
      </c>
      <c r="B540" s="35">
        <v>1184</v>
      </c>
      <c r="C540" s="35">
        <v>1184</v>
      </c>
      <c r="D540" s="36">
        <v>1184</v>
      </c>
      <c r="E540" s="36"/>
      <c r="F540" s="36">
        <v>1182</v>
      </c>
      <c r="G540" s="36">
        <v>1182</v>
      </c>
      <c r="H540" s="36">
        <v>1182</v>
      </c>
      <c r="I540" s="36">
        <v>1182</v>
      </c>
      <c r="J540" s="36"/>
      <c r="K540" s="36">
        <v>1182</v>
      </c>
      <c r="L540" s="36">
        <v>1182</v>
      </c>
      <c r="M540" s="36"/>
    </row>
    <row r="541" spans="1:13" ht="24.75" x14ac:dyDescent="0.6">
      <c r="A541" s="113">
        <v>29</v>
      </c>
      <c r="B541" s="35">
        <v>1184</v>
      </c>
      <c r="C541" s="35">
        <v>1184</v>
      </c>
      <c r="D541" s="36">
        <v>1184</v>
      </c>
      <c r="E541" s="36">
        <v>1184</v>
      </c>
      <c r="F541" s="36">
        <v>1182</v>
      </c>
      <c r="G541" s="36"/>
      <c r="H541" s="36"/>
      <c r="I541" s="36">
        <v>1182</v>
      </c>
      <c r="J541" s="36"/>
      <c r="K541" s="36">
        <v>1182</v>
      </c>
      <c r="L541" s="36">
        <v>1182</v>
      </c>
      <c r="M541" s="36"/>
    </row>
    <row r="542" spans="1:13" ht="24.75" x14ac:dyDescent="0.6">
      <c r="A542" s="113">
        <v>30</v>
      </c>
      <c r="B542" s="35">
        <v>1184</v>
      </c>
      <c r="C542" s="35"/>
      <c r="D542" s="36"/>
      <c r="E542" s="36">
        <v>1184</v>
      </c>
      <c r="F542" s="36">
        <v>1182</v>
      </c>
      <c r="G542" s="36"/>
      <c r="H542" s="36"/>
      <c r="I542" s="36">
        <v>1182</v>
      </c>
      <c r="J542" s="36">
        <v>1182</v>
      </c>
      <c r="K542" s="36">
        <v>1182</v>
      </c>
      <c r="L542" s="36"/>
      <c r="M542" s="36">
        <v>1182</v>
      </c>
    </row>
    <row r="543" spans="1:13" ht="25.5" thickBot="1" x14ac:dyDescent="0.65">
      <c r="A543" s="113">
        <v>31</v>
      </c>
      <c r="B543" s="35">
        <v>1184</v>
      </c>
      <c r="C543" s="35"/>
      <c r="D543" s="36"/>
      <c r="E543" s="36"/>
      <c r="F543" s="36">
        <v>1182</v>
      </c>
      <c r="G543" s="36">
        <f>AVERAGE(G513:G542)</f>
        <v>1182</v>
      </c>
      <c r="H543" s="36">
        <f>AVERAGE(H513:H542)</f>
        <v>1182</v>
      </c>
      <c r="I543" s="36"/>
      <c r="J543" s="36">
        <f>AVERAGE(J513:J542)</f>
        <v>1182</v>
      </c>
      <c r="K543" s="36">
        <v>1182</v>
      </c>
      <c r="L543" s="36">
        <v>1182</v>
      </c>
      <c r="M543" s="36">
        <v>1182</v>
      </c>
    </row>
    <row r="544" spans="1:13" ht="23.25" customHeight="1" thickBot="1" x14ac:dyDescent="0.7">
      <c r="A544" s="195" t="s">
        <v>15</v>
      </c>
      <c r="B544" s="197">
        <f>AVERAGE(B513:B543)</f>
        <v>1184</v>
      </c>
      <c r="C544" s="197">
        <f t="shared" ref="C544:G544" si="52">AVERAGE(C513:C543)</f>
        <v>1184</v>
      </c>
      <c r="D544" s="197">
        <f t="shared" si="52"/>
        <v>1184</v>
      </c>
      <c r="E544" s="197">
        <f t="shared" si="52"/>
        <v>1184</v>
      </c>
      <c r="F544" s="197">
        <f t="shared" si="52"/>
        <v>1183.4285714285713</v>
      </c>
      <c r="G544" s="197">
        <f t="shared" si="52"/>
        <v>1182</v>
      </c>
      <c r="H544" s="197">
        <f t="shared" ref="H544" si="53">AVERAGE(H513:H543)</f>
        <v>1182</v>
      </c>
      <c r="I544" s="197">
        <f t="shared" ref="I544" si="54">AVERAGE(I513:I543)</f>
        <v>1182</v>
      </c>
      <c r="J544" s="197">
        <f t="shared" ref="J544" si="55">AVERAGE(J513:J543)</f>
        <v>1182</v>
      </c>
      <c r="K544" s="197">
        <f t="shared" ref="K544" si="56">AVERAGE(K513:K543)</f>
        <v>1182</v>
      </c>
      <c r="L544" s="197">
        <f t="shared" ref="L544" si="57">AVERAGE(L513:L543)</f>
        <v>1182</v>
      </c>
      <c r="M544" s="197">
        <f t="shared" ref="M544" si="58">AVERAGE(M513:M543)</f>
        <v>1182</v>
      </c>
    </row>
    <row r="545" spans="1:22" s="23" customFormat="1" ht="25.5" thickBot="1" x14ac:dyDescent="0.7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20"/>
      <c r="L545" s="20"/>
      <c r="M545" s="20"/>
      <c r="N545" s="21"/>
      <c r="O545" s="22"/>
      <c r="P545" s="22"/>
      <c r="Q545" s="22"/>
      <c r="R545" s="22"/>
      <c r="S545" s="22"/>
      <c r="T545" s="22"/>
      <c r="U545" s="22"/>
      <c r="V545" s="22"/>
    </row>
    <row r="546" spans="1:22" ht="25.5" thickBot="1" x14ac:dyDescent="0.7">
      <c r="A546" s="64" t="s">
        <v>61</v>
      </c>
      <c r="B546" s="29" t="s">
        <v>3</v>
      </c>
      <c r="C546" s="29" t="s">
        <v>4</v>
      </c>
      <c r="D546" s="29" t="s">
        <v>5</v>
      </c>
      <c r="E546" s="29" t="s">
        <v>6</v>
      </c>
      <c r="F546" s="29" t="s">
        <v>7</v>
      </c>
      <c r="G546" s="29" t="s">
        <v>41</v>
      </c>
      <c r="H546" s="29" t="s">
        <v>42</v>
      </c>
      <c r="I546" s="29" t="s">
        <v>10</v>
      </c>
      <c r="J546" s="29" t="s">
        <v>11</v>
      </c>
      <c r="K546" s="29" t="s">
        <v>12</v>
      </c>
      <c r="L546" s="29" t="s">
        <v>21</v>
      </c>
      <c r="M546" s="29" t="s">
        <v>14</v>
      </c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24.75" x14ac:dyDescent="0.6">
      <c r="A547" s="112">
        <v>1</v>
      </c>
      <c r="B547" s="35"/>
      <c r="C547" s="35"/>
      <c r="D547" s="36"/>
      <c r="E547" s="36">
        <v>1182</v>
      </c>
      <c r="F547" s="36"/>
      <c r="G547" s="36"/>
      <c r="H547" s="36">
        <v>1182</v>
      </c>
      <c r="I547" s="36">
        <v>1182</v>
      </c>
      <c r="J547" s="36">
        <v>1182</v>
      </c>
      <c r="K547" s="36">
        <v>1182</v>
      </c>
      <c r="L547" s="36"/>
      <c r="M547" s="36">
        <v>1182</v>
      </c>
    </row>
    <row r="548" spans="1:22" ht="24.75" x14ac:dyDescent="0.6">
      <c r="A548" s="113">
        <v>2</v>
      </c>
      <c r="B548" s="35">
        <v>1182</v>
      </c>
      <c r="C548" s="35"/>
      <c r="D548" s="36"/>
      <c r="E548" s="36">
        <v>1182</v>
      </c>
      <c r="F548" s="36">
        <v>1182</v>
      </c>
      <c r="G548" s="36">
        <v>1182</v>
      </c>
      <c r="H548" s="36">
        <v>1182</v>
      </c>
      <c r="I548" s="36"/>
      <c r="J548" s="36">
        <v>1182</v>
      </c>
      <c r="K548" s="36">
        <v>1182</v>
      </c>
      <c r="L548" s="36"/>
      <c r="M548" s="36">
        <v>1182</v>
      </c>
    </row>
    <row r="549" spans="1:22" ht="24.75" x14ac:dyDescent="0.6">
      <c r="A549" s="113">
        <v>3</v>
      </c>
      <c r="B549" s="35">
        <v>1182</v>
      </c>
      <c r="C549" s="35">
        <v>1182</v>
      </c>
      <c r="D549" s="36">
        <v>1182</v>
      </c>
      <c r="E549" s="36">
        <v>1182</v>
      </c>
      <c r="F549" s="36"/>
      <c r="G549" s="36">
        <v>1182</v>
      </c>
      <c r="H549" s="36">
        <v>1182</v>
      </c>
      <c r="I549" s="36"/>
      <c r="J549" s="36">
        <v>1182</v>
      </c>
      <c r="K549" s="36"/>
      <c r="L549" s="36">
        <v>1182</v>
      </c>
      <c r="M549" s="36">
        <v>1182</v>
      </c>
    </row>
    <row r="550" spans="1:22" ht="24.75" x14ac:dyDescent="0.6">
      <c r="A550" s="113">
        <v>4</v>
      </c>
      <c r="B550" s="35"/>
      <c r="C550" s="35">
        <v>1182</v>
      </c>
      <c r="D550" s="36">
        <v>1182</v>
      </c>
      <c r="E550" s="36">
        <v>1182</v>
      </c>
      <c r="F550" s="36"/>
      <c r="G550" s="36"/>
      <c r="H550" s="36">
        <v>1182</v>
      </c>
      <c r="I550" s="36">
        <v>1182</v>
      </c>
      <c r="J550" s="36">
        <v>1182</v>
      </c>
      <c r="K550" s="36"/>
      <c r="L550" s="36">
        <v>1182</v>
      </c>
      <c r="M550" s="36">
        <v>1182</v>
      </c>
    </row>
    <row r="551" spans="1:22" ht="24.75" x14ac:dyDescent="0.6">
      <c r="A551" s="113">
        <v>5</v>
      </c>
      <c r="B551" s="35"/>
      <c r="C551" s="35">
        <v>1182</v>
      </c>
      <c r="D551" s="36">
        <v>1182</v>
      </c>
      <c r="E551" s="36"/>
      <c r="F551" s="36">
        <v>1182</v>
      </c>
      <c r="G551" s="36"/>
      <c r="H551" s="36"/>
      <c r="I551" s="36">
        <v>1182</v>
      </c>
      <c r="J551" s="36">
        <v>1182</v>
      </c>
      <c r="K551" s="36"/>
      <c r="L551" s="36">
        <v>1182</v>
      </c>
      <c r="M551" s="36">
        <v>1182</v>
      </c>
    </row>
    <row r="552" spans="1:22" ht="24.75" x14ac:dyDescent="0.6">
      <c r="A552" s="113">
        <v>6</v>
      </c>
      <c r="B552" s="35"/>
      <c r="C552" s="35">
        <v>1182</v>
      </c>
      <c r="D552" s="36">
        <v>1182</v>
      </c>
      <c r="E552" s="36"/>
      <c r="F552" s="36">
        <v>1182</v>
      </c>
      <c r="G552" s="36"/>
      <c r="H552" s="36"/>
      <c r="I552" s="36">
        <v>1182</v>
      </c>
      <c r="J552" s="36"/>
      <c r="K552" s="36">
        <v>1182</v>
      </c>
      <c r="L552" s="36">
        <v>1182</v>
      </c>
      <c r="M552" s="36"/>
    </row>
    <row r="553" spans="1:22" ht="24.75" x14ac:dyDescent="0.6">
      <c r="A553" s="113">
        <v>7</v>
      </c>
      <c r="B553" s="35">
        <v>1182</v>
      </c>
      <c r="C553" s="35">
        <v>1182</v>
      </c>
      <c r="D553" s="36">
        <v>1182</v>
      </c>
      <c r="E553" s="36">
        <v>1182</v>
      </c>
      <c r="F553" s="36">
        <v>1182</v>
      </c>
      <c r="G553" s="36"/>
      <c r="H553" s="36">
        <v>1182</v>
      </c>
      <c r="I553" s="36">
        <v>1182</v>
      </c>
      <c r="J553" s="36"/>
      <c r="K553" s="36">
        <v>1182</v>
      </c>
      <c r="L553" s="36">
        <v>1182</v>
      </c>
      <c r="M553" s="36"/>
    </row>
    <row r="554" spans="1:22" ht="24.75" x14ac:dyDescent="0.6">
      <c r="A554" s="113">
        <v>8</v>
      </c>
      <c r="B554" s="35">
        <v>1182</v>
      </c>
      <c r="C554" s="35"/>
      <c r="D554" s="36"/>
      <c r="E554" s="36">
        <v>1182</v>
      </c>
      <c r="F554" s="36">
        <v>1182</v>
      </c>
      <c r="G554" s="36"/>
      <c r="H554" s="36">
        <v>1182</v>
      </c>
      <c r="I554" s="36">
        <v>1182</v>
      </c>
      <c r="J554" s="36">
        <v>1182</v>
      </c>
      <c r="K554" s="36">
        <v>1182</v>
      </c>
      <c r="L554" s="36"/>
      <c r="M554" s="36">
        <v>1182</v>
      </c>
    </row>
    <row r="555" spans="1:22" ht="24.75" x14ac:dyDescent="0.6">
      <c r="A555" s="113">
        <v>9</v>
      </c>
      <c r="B555" s="35">
        <v>1182</v>
      </c>
      <c r="C555" s="35"/>
      <c r="D555" s="36"/>
      <c r="E555" s="36">
        <v>1182</v>
      </c>
      <c r="F555" s="36">
        <v>1182</v>
      </c>
      <c r="G555" s="36">
        <v>1182</v>
      </c>
      <c r="H555" s="36">
        <v>1182</v>
      </c>
      <c r="I555" s="36"/>
      <c r="J555" s="36">
        <v>1182</v>
      </c>
      <c r="K555" s="36">
        <v>1182</v>
      </c>
      <c r="L555" s="36"/>
      <c r="M555" s="36">
        <v>1182</v>
      </c>
    </row>
    <row r="556" spans="1:22" ht="24.75" x14ac:dyDescent="0.6">
      <c r="A556" s="113">
        <v>10</v>
      </c>
      <c r="B556" s="35">
        <v>1182</v>
      </c>
      <c r="C556" s="35">
        <v>1182</v>
      </c>
      <c r="D556" s="36">
        <v>1182</v>
      </c>
      <c r="E556" s="36">
        <v>1182</v>
      </c>
      <c r="F556" s="36"/>
      <c r="G556" s="36">
        <v>1182</v>
      </c>
      <c r="H556" s="36">
        <v>1182</v>
      </c>
      <c r="I556" s="36"/>
      <c r="J556" s="36"/>
      <c r="K556" s="36">
        <v>1182</v>
      </c>
      <c r="L556" s="36">
        <v>1182</v>
      </c>
      <c r="M556" s="36"/>
    </row>
    <row r="557" spans="1:22" ht="24.75" x14ac:dyDescent="0.6">
      <c r="A557" s="113">
        <v>11</v>
      </c>
      <c r="B557" s="35"/>
      <c r="C557" s="35">
        <v>1182</v>
      </c>
      <c r="D557" s="36">
        <v>1182</v>
      </c>
      <c r="E557" s="36">
        <v>1182</v>
      </c>
      <c r="F557" s="36"/>
      <c r="G557" s="36">
        <v>1182</v>
      </c>
      <c r="H557" s="36">
        <v>1182</v>
      </c>
      <c r="I557" s="36"/>
      <c r="J557" s="36">
        <v>1182</v>
      </c>
      <c r="K557" s="36"/>
      <c r="L557" s="36">
        <v>1182</v>
      </c>
      <c r="M557" s="36">
        <v>1182</v>
      </c>
    </row>
    <row r="558" spans="1:22" ht="24.75" x14ac:dyDescent="0.6">
      <c r="A558" s="113">
        <v>12</v>
      </c>
      <c r="B558" s="35"/>
      <c r="C558" s="35">
        <v>1182</v>
      </c>
      <c r="D558" s="36">
        <v>1182</v>
      </c>
      <c r="E558" s="36"/>
      <c r="F558" s="36">
        <v>1182</v>
      </c>
      <c r="G558" s="36">
        <v>1182</v>
      </c>
      <c r="H558" s="36"/>
      <c r="I558" s="36"/>
      <c r="J558" s="36">
        <v>1182</v>
      </c>
      <c r="K558" s="36"/>
      <c r="L558" s="36">
        <v>1182</v>
      </c>
      <c r="M558" s="36">
        <v>1182</v>
      </c>
    </row>
    <row r="559" spans="1:22" ht="24.75" x14ac:dyDescent="0.6">
      <c r="A559" s="113">
        <v>13</v>
      </c>
      <c r="B559" s="35">
        <v>1182</v>
      </c>
      <c r="C559" s="35">
        <v>1182</v>
      </c>
      <c r="D559" s="36">
        <v>1182</v>
      </c>
      <c r="E559" s="36"/>
      <c r="F559" s="36">
        <v>1182</v>
      </c>
      <c r="G559" s="36">
        <v>1182</v>
      </c>
      <c r="H559" s="36"/>
      <c r="I559" s="36"/>
      <c r="J559" s="36"/>
      <c r="K559" s="36">
        <v>1182</v>
      </c>
      <c r="L559" s="36">
        <v>1182</v>
      </c>
      <c r="M559" s="36"/>
    </row>
    <row r="560" spans="1:22" ht="24.75" x14ac:dyDescent="0.6">
      <c r="A560" s="113">
        <v>14</v>
      </c>
      <c r="B560" s="35">
        <v>1182</v>
      </c>
      <c r="C560" s="35">
        <v>1182</v>
      </c>
      <c r="D560" s="36">
        <v>1182</v>
      </c>
      <c r="E560" s="36">
        <v>1182</v>
      </c>
      <c r="F560" s="36">
        <v>1182</v>
      </c>
      <c r="G560" s="36"/>
      <c r="H560" s="36"/>
      <c r="I560" s="36"/>
      <c r="J560" s="36"/>
      <c r="K560" s="36">
        <v>1182</v>
      </c>
      <c r="L560" s="36">
        <v>1182</v>
      </c>
      <c r="M560" s="36"/>
    </row>
    <row r="561" spans="1:13" ht="24.75" x14ac:dyDescent="0.6">
      <c r="A561" s="113">
        <v>15</v>
      </c>
      <c r="B561" s="35">
        <v>1182</v>
      </c>
      <c r="C561" s="35"/>
      <c r="D561" s="36"/>
      <c r="E561" s="36">
        <v>1182</v>
      </c>
      <c r="F561" s="36">
        <v>1182</v>
      </c>
      <c r="G561" s="36"/>
      <c r="H561" s="36">
        <v>1182</v>
      </c>
      <c r="I561" s="36"/>
      <c r="J561" s="36">
        <v>1182</v>
      </c>
      <c r="K561" s="36">
        <v>1182</v>
      </c>
      <c r="L561" s="36"/>
      <c r="M561" s="36">
        <v>1182</v>
      </c>
    </row>
    <row r="562" spans="1:13" ht="24.75" x14ac:dyDescent="0.6">
      <c r="A562" s="113">
        <v>16</v>
      </c>
      <c r="B562" s="35">
        <v>1182</v>
      </c>
      <c r="C562" s="35"/>
      <c r="D562" s="36"/>
      <c r="E562" s="36">
        <v>1182</v>
      </c>
      <c r="F562" s="36">
        <v>1182</v>
      </c>
      <c r="G562" s="36">
        <v>1182</v>
      </c>
      <c r="H562" s="36">
        <v>1182</v>
      </c>
      <c r="I562" s="36"/>
      <c r="J562" s="36">
        <v>1182</v>
      </c>
      <c r="K562" s="36">
        <v>1182</v>
      </c>
      <c r="L562" s="36"/>
      <c r="M562" s="36">
        <v>1182</v>
      </c>
    </row>
    <row r="563" spans="1:13" ht="24.75" x14ac:dyDescent="0.6">
      <c r="A563" s="113">
        <v>17</v>
      </c>
      <c r="B563" s="35">
        <v>1182</v>
      </c>
      <c r="C563" s="35">
        <v>1182</v>
      </c>
      <c r="D563" s="36">
        <v>1182</v>
      </c>
      <c r="E563" s="36">
        <v>1182</v>
      </c>
      <c r="F563" s="36"/>
      <c r="G563" s="36">
        <v>1182</v>
      </c>
      <c r="H563" s="36">
        <v>1182</v>
      </c>
      <c r="I563" s="36"/>
      <c r="J563" s="36">
        <v>1182</v>
      </c>
      <c r="K563" s="36">
        <v>1182</v>
      </c>
      <c r="L563" s="36">
        <v>1182</v>
      </c>
      <c r="M563" s="36">
        <v>1182</v>
      </c>
    </row>
    <row r="564" spans="1:13" ht="24.75" x14ac:dyDescent="0.6">
      <c r="A564" s="113">
        <v>18</v>
      </c>
      <c r="B564" s="35"/>
      <c r="C564" s="35">
        <v>1182</v>
      </c>
      <c r="D564" s="36">
        <v>1182</v>
      </c>
      <c r="E564" s="36">
        <v>1182</v>
      </c>
      <c r="F564" s="36"/>
      <c r="G564" s="36">
        <v>1182</v>
      </c>
      <c r="H564" s="36">
        <v>1182</v>
      </c>
      <c r="I564" s="36">
        <v>1182</v>
      </c>
      <c r="J564" s="36">
        <v>1182</v>
      </c>
      <c r="K564" s="36"/>
      <c r="L564" s="36">
        <v>1182</v>
      </c>
      <c r="M564" s="36">
        <v>1182</v>
      </c>
    </row>
    <row r="565" spans="1:13" ht="24.75" x14ac:dyDescent="0.6">
      <c r="A565" s="113">
        <v>19</v>
      </c>
      <c r="B565" s="35"/>
      <c r="C565" s="35">
        <v>1182</v>
      </c>
      <c r="D565" s="36">
        <v>1182</v>
      </c>
      <c r="E565" s="36"/>
      <c r="F565" s="36">
        <v>1182</v>
      </c>
      <c r="G565" s="36">
        <v>1182</v>
      </c>
      <c r="H565" s="36"/>
      <c r="I565" s="36">
        <v>1182</v>
      </c>
      <c r="J565" s="36">
        <v>1182</v>
      </c>
      <c r="K565" s="36"/>
      <c r="L565" s="36">
        <v>1182</v>
      </c>
      <c r="M565" s="36">
        <v>1182</v>
      </c>
    </row>
    <row r="566" spans="1:13" ht="24.75" x14ac:dyDescent="0.6">
      <c r="A566" s="113">
        <v>20</v>
      </c>
      <c r="B566" s="35">
        <v>1182</v>
      </c>
      <c r="C566" s="35">
        <v>1182</v>
      </c>
      <c r="D566" s="36">
        <v>1182</v>
      </c>
      <c r="E566" s="36"/>
      <c r="F566" s="36">
        <v>1182</v>
      </c>
      <c r="G566" s="36">
        <v>1182</v>
      </c>
      <c r="H566" s="36"/>
      <c r="I566" s="36">
        <v>1182</v>
      </c>
      <c r="J566" s="36"/>
      <c r="K566" s="36">
        <v>1182</v>
      </c>
      <c r="L566" s="36">
        <v>1182</v>
      </c>
      <c r="M566" s="36"/>
    </row>
    <row r="567" spans="1:13" ht="24.75" x14ac:dyDescent="0.6">
      <c r="A567" s="113">
        <v>21</v>
      </c>
      <c r="B567" s="35">
        <v>1182</v>
      </c>
      <c r="C567" s="35">
        <v>1182</v>
      </c>
      <c r="D567" s="36"/>
      <c r="E567" s="36">
        <v>1182</v>
      </c>
      <c r="F567" s="36">
        <v>1182</v>
      </c>
      <c r="G567" s="36"/>
      <c r="H567" s="36">
        <v>1182</v>
      </c>
      <c r="I567" s="36">
        <v>1182</v>
      </c>
      <c r="J567" s="36"/>
      <c r="K567" s="36">
        <v>1182</v>
      </c>
      <c r="L567" s="36">
        <v>1182</v>
      </c>
      <c r="M567" s="36"/>
    </row>
    <row r="568" spans="1:13" ht="24.75" x14ac:dyDescent="0.6">
      <c r="A568" s="113">
        <v>22</v>
      </c>
      <c r="B568" s="35">
        <v>1182</v>
      </c>
      <c r="C568" s="35"/>
      <c r="D568" s="36"/>
      <c r="E568" s="36">
        <v>1182</v>
      </c>
      <c r="F568" s="36">
        <v>1182</v>
      </c>
      <c r="G568" s="36"/>
      <c r="H568" s="36">
        <v>1182</v>
      </c>
      <c r="I568" s="36">
        <v>1182</v>
      </c>
      <c r="J568" s="36">
        <v>1182</v>
      </c>
      <c r="K568" s="36">
        <v>1182</v>
      </c>
      <c r="L568" s="36"/>
      <c r="M568" s="36">
        <v>1182</v>
      </c>
    </row>
    <row r="569" spans="1:13" ht="24.75" x14ac:dyDescent="0.6">
      <c r="A569" s="113">
        <v>23</v>
      </c>
      <c r="B569" s="35">
        <v>1182</v>
      </c>
      <c r="C569" s="35"/>
      <c r="D569" s="36"/>
      <c r="E569" s="36">
        <v>1182</v>
      </c>
      <c r="F569" s="36">
        <v>1182</v>
      </c>
      <c r="G569" s="36">
        <v>1182</v>
      </c>
      <c r="H569" s="36">
        <v>1182</v>
      </c>
      <c r="I569" s="36"/>
      <c r="J569" s="36">
        <v>1182</v>
      </c>
      <c r="K569" s="36">
        <v>1182</v>
      </c>
      <c r="L569" s="36"/>
      <c r="M569" s="36">
        <v>1182</v>
      </c>
    </row>
    <row r="570" spans="1:13" ht="24.75" x14ac:dyDescent="0.6">
      <c r="A570" s="113">
        <v>24</v>
      </c>
      <c r="B570" s="35">
        <v>1182</v>
      </c>
      <c r="C570" s="35">
        <v>1182</v>
      </c>
      <c r="D570" s="36">
        <v>1182</v>
      </c>
      <c r="E570" s="36">
        <v>1182</v>
      </c>
      <c r="F570" s="36"/>
      <c r="G570" s="36">
        <v>1182</v>
      </c>
      <c r="H570" s="36">
        <v>1182</v>
      </c>
      <c r="I570" s="36"/>
      <c r="J570" s="36">
        <v>1182</v>
      </c>
      <c r="K570" s="36">
        <v>1182</v>
      </c>
      <c r="L570" s="36">
        <v>1182</v>
      </c>
      <c r="M570" s="36">
        <v>1182</v>
      </c>
    </row>
    <row r="571" spans="1:13" ht="24.75" x14ac:dyDescent="0.6">
      <c r="A571" s="113">
        <v>25</v>
      </c>
      <c r="B571" s="35"/>
      <c r="C571" s="35">
        <v>1182</v>
      </c>
      <c r="D571" s="36">
        <v>1182</v>
      </c>
      <c r="E571" s="36">
        <v>1182</v>
      </c>
      <c r="F571" s="36"/>
      <c r="G571" s="36">
        <v>1182</v>
      </c>
      <c r="H571" s="36">
        <v>1182</v>
      </c>
      <c r="I571" s="36">
        <v>1182</v>
      </c>
      <c r="J571" s="36">
        <v>1182</v>
      </c>
      <c r="K571" s="36"/>
      <c r="L571" s="36">
        <v>1182</v>
      </c>
      <c r="M571" s="36">
        <v>1182</v>
      </c>
    </row>
    <row r="572" spans="1:13" ht="24.75" x14ac:dyDescent="0.6">
      <c r="A572" s="113">
        <v>26</v>
      </c>
      <c r="B572" s="35"/>
      <c r="C572" s="35">
        <v>1182</v>
      </c>
      <c r="D572" s="36">
        <v>1182</v>
      </c>
      <c r="E572" s="36"/>
      <c r="F572" s="36">
        <v>1182</v>
      </c>
      <c r="G572" s="36">
        <v>1182</v>
      </c>
      <c r="H572" s="36"/>
      <c r="I572" s="36">
        <v>1182</v>
      </c>
      <c r="J572" s="36">
        <v>1182</v>
      </c>
      <c r="K572" s="36"/>
      <c r="L572" s="36">
        <v>1182</v>
      </c>
      <c r="M572" s="36">
        <v>1182</v>
      </c>
    </row>
    <row r="573" spans="1:13" ht="24.75" x14ac:dyDescent="0.6">
      <c r="A573" s="113">
        <v>27</v>
      </c>
      <c r="B573" s="35">
        <v>1182</v>
      </c>
      <c r="C573" s="35">
        <v>1182</v>
      </c>
      <c r="D573" s="36">
        <v>1182</v>
      </c>
      <c r="E573" s="36"/>
      <c r="F573" s="36">
        <v>1182</v>
      </c>
      <c r="G573" s="36">
        <v>1182</v>
      </c>
      <c r="H573" s="36"/>
      <c r="I573" s="36">
        <v>1182</v>
      </c>
      <c r="J573" s="36"/>
      <c r="K573" s="36">
        <v>1182</v>
      </c>
      <c r="L573" s="36">
        <v>1182</v>
      </c>
      <c r="M573" s="36"/>
    </row>
    <row r="574" spans="1:13" ht="24.75" x14ac:dyDescent="0.6">
      <c r="A574" s="113">
        <v>28</v>
      </c>
      <c r="B574" s="35">
        <v>1182</v>
      </c>
      <c r="C574" s="35">
        <v>1182</v>
      </c>
      <c r="D574" s="36">
        <v>1182</v>
      </c>
      <c r="E574" s="36">
        <v>1182</v>
      </c>
      <c r="F574" s="36"/>
      <c r="G574" s="36"/>
      <c r="H574" s="36">
        <v>1182</v>
      </c>
      <c r="I574" s="36">
        <v>1182</v>
      </c>
      <c r="J574" s="36"/>
      <c r="K574" s="36">
        <v>1182</v>
      </c>
      <c r="L574" s="36">
        <v>1182</v>
      </c>
      <c r="M574" s="36"/>
    </row>
    <row r="575" spans="1:13" ht="24.75" x14ac:dyDescent="0.6">
      <c r="A575" s="113">
        <v>29</v>
      </c>
      <c r="B575" s="35">
        <v>1182</v>
      </c>
      <c r="C575" s="35"/>
      <c r="D575" s="36"/>
      <c r="E575" s="36">
        <v>1182</v>
      </c>
      <c r="F575" s="36">
        <v>1182</v>
      </c>
      <c r="G575" s="36"/>
      <c r="H575" s="36">
        <v>1182</v>
      </c>
      <c r="I575" s="36">
        <v>1182</v>
      </c>
      <c r="J575" s="36">
        <v>1182</v>
      </c>
      <c r="K575" s="36">
        <v>1182</v>
      </c>
      <c r="L575" s="36"/>
      <c r="M575" s="36">
        <v>1182</v>
      </c>
    </row>
    <row r="576" spans="1:13" ht="24.75" x14ac:dyDescent="0.6">
      <c r="A576" s="113">
        <v>30</v>
      </c>
      <c r="B576" s="35">
        <v>1182</v>
      </c>
      <c r="C576" s="35"/>
      <c r="D576" s="36"/>
      <c r="E576" s="36">
        <v>1182</v>
      </c>
      <c r="F576" s="36">
        <v>1182</v>
      </c>
      <c r="G576" s="36">
        <v>1182</v>
      </c>
      <c r="H576" s="36">
        <v>1182</v>
      </c>
      <c r="I576" s="36"/>
      <c r="J576" s="36">
        <v>1182</v>
      </c>
      <c r="K576" s="36">
        <v>1182</v>
      </c>
      <c r="L576" s="36"/>
      <c r="M576" s="36">
        <v>1182</v>
      </c>
    </row>
    <row r="577" spans="1:22" ht="25.5" thickBot="1" x14ac:dyDescent="0.65">
      <c r="A577" s="113">
        <v>31</v>
      </c>
      <c r="B577" s="35">
        <v>1182</v>
      </c>
      <c r="C577" s="35"/>
      <c r="D577" s="36">
        <v>1182</v>
      </c>
      <c r="E577" s="36"/>
      <c r="F577" s="36"/>
      <c r="G577" s="36"/>
      <c r="H577" s="36">
        <v>1182</v>
      </c>
      <c r="I577" s="36"/>
      <c r="J577" s="36"/>
      <c r="K577" s="36">
        <v>1182</v>
      </c>
      <c r="L577" s="36"/>
      <c r="M577" s="36">
        <v>1182</v>
      </c>
    </row>
    <row r="578" spans="1:22" ht="23.25" customHeight="1" thickBot="1" x14ac:dyDescent="0.7">
      <c r="A578" s="195" t="s">
        <v>15</v>
      </c>
      <c r="B578" s="197">
        <f>AVERAGE(B547:B577)</f>
        <v>1182</v>
      </c>
      <c r="C578" s="197">
        <f t="shared" ref="C578:M578" si="59">AVERAGE(C547:C577)</f>
        <v>1182</v>
      </c>
      <c r="D578" s="197">
        <f t="shared" si="59"/>
        <v>1182</v>
      </c>
      <c r="E578" s="197">
        <f t="shared" si="59"/>
        <v>1182</v>
      </c>
      <c r="F578" s="197">
        <f t="shared" si="59"/>
        <v>1182</v>
      </c>
      <c r="G578" s="197">
        <f t="shared" si="59"/>
        <v>1182</v>
      </c>
      <c r="H578" s="197">
        <f t="shared" si="59"/>
        <v>1182</v>
      </c>
      <c r="I578" s="197">
        <f t="shared" si="59"/>
        <v>1182</v>
      </c>
      <c r="J578" s="197">
        <f t="shared" si="59"/>
        <v>1182</v>
      </c>
      <c r="K578" s="197">
        <f t="shared" si="59"/>
        <v>1182</v>
      </c>
      <c r="L578" s="197">
        <f t="shared" si="59"/>
        <v>1182</v>
      </c>
      <c r="M578" s="197">
        <f t="shared" si="59"/>
        <v>1182</v>
      </c>
    </row>
    <row r="579" spans="1:22" ht="15.75" thickBot="1" x14ac:dyDescent="0.3">
      <c r="A579"/>
    </row>
    <row r="580" spans="1:22" ht="25.5" thickBot="1" x14ac:dyDescent="0.7">
      <c r="A580" s="64" t="s">
        <v>62</v>
      </c>
      <c r="B580" s="29" t="s">
        <v>3</v>
      </c>
      <c r="C580" s="29" t="s">
        <v>4</v>
      </c>
      <c r="D580" s="29" t="s">
        <v>38</v>
      </c>
      <c r="E580" s="29" t="s">
        <v>6</v>
      </c>
      <c r="F580" s="29" t="s">
        <v>7</v>
      </c>
      <c r="G580" s="29" t="s">
        <v>41</v>
      </c>
      <c r="H580" s="29" t="s">
        <v>42</v>
      </c>
      <c r="I580" s="29" t="s">
        <v>10</v>
      </c>
      <c r="J580" s="29" t="s">
        <v>11</v>
      </c>
      <c r="K580" s="29" t="s">
        <v>12</v>
      </c>
      <c r="L580" s="29" t="s">
        <v>21</v>
      </c>
      <c r="M580" s="29" t="s">
        <v>14</v>
      </c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24.75" x14ac:dyDescent="0.6">
      <c r="A581" s="112">
        <v>1</v>
      </c>
      <c r="B581" s="35"/>
      <c r="C581" s="35"/>
      <c r="D581" s="36">
        <v>1182</v>
      </c>
      <c r="E581" s="36"/>
      <c r="F581" s="36"/>
      <c r="G581" s="36"/>
      <c r="H581" s="36">
        <v>1182</v>
      </c>
      <c r="I581" s="36"/>
      <c r="J581" s="36">
        <v>1182</v>
      </c>
      <c r="K581" s="36">
        <v>1182</v>
      </c>
      <c r="L581" s="36">
        <v>1182</v>
      </c>
      <c r="M581" s="36">
        <v>1182</v>
      </c>
    </row>
    <row r="582" spans="1:22" ht="24.75" x14ac:dyDescent="0.6">
      <c r="A582" s="113">
        <v>2</v>
      </c>
      <c r="B582" s="35">
        <v>1182</v>
      </c>
      <c r="C582" s="35">
        <v>1182</v>
      </c>
      <c r="D582" s="36">
        <v>1182</v>
      </c>
      <c r="E582" s="36"/>
      <c r="F582" s="36"/>
      <c r="G582" s="36"/>
      <c r="H582" s="36">
        <v>1182</v>
      </c>
      <c r="I582" s="36"/>
      <c r="J582" s="36">
        <v>1182</v>
      </c>
      <c r="K582" s="36"/>
      <c r="L582" s="36">
        <v>1182</v>
      </c>
      <c r="M582" s="36">
        <v>1182</v>
      </c>
    </row>
    <row r="583" spans="1:22" ht="24.75" x14ac:dyDescent="0.6">
      <c r="A583" s="113">
        <v>3</v>
      </c>
      <c r="B583" s="35"/>
      <c r="C583" s="35">
        <v>1182</v>
      </c>
      <c r="D583" s="36">
        <v>1182</v>
      </c>
      <c r="E583" s="36"/>
      <c r="F583" s="36">
        <v>1182</v>
      </c>
      <c r="G583" s="36"/>
      <c r="H583" s="36"/>
      <c r="I583" s="36"/>
      <c r="J583" s="36">
        <v>1182</v>
      </c>
      <c r="K583" s="36"/>
      <c r="L583" s="36">
        <v>1182</v>
      </c>
      <c r="M583" s="36">
        <v>1182</v>
      </c>
    </row>
    <row r="584" spans="1:22" ht="24.75" x14ac:dyDescent="0.6">
      <c r="A584" s="113">
        <v>4</v>
      </c>
      <c r="B584" s="35"/>
      <c r="C584" s="35">
        <v>1182</v>
      </c>
      <c r="D584" s="36">
        <v>1182</v>
      </c>
      <c r="E584" s="36"/>
      <c r="F584" s="36">
        <v>1182</v>
      </c>
      <c r="G584" s="36"/>
      <c r="H584" s="36"/>
      <c r="I584" s="36"/>
      <c r="J584" s="36"/>
      <c r="K584" s="36">
        <v>1182</v>
      </c>
      <c r="L584" s="36">
        <v>1182</v>
      </c>
      <c r="M584" s="36"/>
    </row>
    <row r="585" spans="1:22" ht="24.75" x14ac:dyDescent="0.6">
      <c r="A585" s="113">
        <v>5</v>
      </c>
      <c r="B585" s="35">
        <v>1182</v>
      </c>
      <c r="C585" s="35">
        <v>1182</v>
      </c>
      <c r="D585" s="36">
        <v>1182</v>
      </c>
      <c r="E585" s="36"/>
      <c r="F585" s="36">
        <v>1182</v>
      </c>
      <c r="G585" s="36"/>
      <c r="H585" s="36">
        <v>1182</v>
      </c>
      <c r="I585" s="36"/>
      <c r="J585" s="36"/>
      <c r="K585" s="36">
        <v>1182</v>
      </c>
      <c r="L585" s="36">
        <v>1182</v>
      </c>
      <c r="M585" s="36"/>
    </row>
    <row r="586" spans="1:22" ht="24.75" x14ac:dyDescent="0.6">
      <c r="A586" s="113">
        <v>6</v>
      </c>
      <c r="B586" s="35"/>
      <c r="C586" s="35">
        <v>1182</v>
      </c>
      <c r="D586" s="36"/>
      <c r="E586" s="36"/>
      <c r="F586" s="36">
        <v>1182</v>
      </c>
      <c r="G586" s="36"/>
      <c r="H586" s="36">
        <v>1182</v>
      </c>
      <c r="I586" s="36"/>
      <c r="J586" s="36">
        <v>1182</v>
      </c>
      <c r="K586" s="36">
        <v>1182</v>
      </c>
      <c r="L586" s="36"/>
      <c r="M586" s="36">
        <v>1182</v>
      </c>
    </row>
    <row r="587" spans="1:22" ht="24.75" x14ac:dyDescent="0.6">
      <c r="A587" s="113">
        <v>7</v>
      </c>
      <c r="B587" s="35">
        <v>1182</v>
      </c>
      <c r="C587" s="35"/>
      <c r="D587" s="36"/>
      <c r="E587" s="36"/>
      <c r="F587" s="36">
        <v>1182</v>
      </c>
      <c r="G587" s="36"/>
      <c r="H587" s="36">
        <v>1182</v>
      </c>
      <c r="I587" s="36"/>
      <c r="J587" s="36">
        <v>1182</v>
      </c>
      <c r="K587" s="36">
        <v>1182</v>
      </c>
      <c r="L587" s="36"/>
      <c r="M587" s="36">
        <v>1182</v>
      </c>
    </row>
    <row r="588" spans="1:22" ht="24.75" x14ac:dyDescent="0.6">
      <c r="A588" s="113">
        <v>8</v>
      </c>
      <c r="B588" s="35">
        <v>1182</v>
      </c>
      <c r="C588" s="35"/>
      <c r="D588" s="36">
        <v>1182</v>
      </c>
      <c r="E588" s="36"/>
      <c r="F588" s="36"/>
      <c r="G588" s="36"/>
      <c r="H588" s="36">
        <v>1182</v>
      </c>
      <c r="I588" s="36"/>
      <c r="J588" s="36">
        <v>1182</v>
      </c>
      <c r="K588" s="36"/>
      <c r="L588" s="36">
        <v>1182</v>
      </c>
      <c r="M588" s="36">
        <v>1182</v>
      </c>
    </row>
    <row r="589" spans="1:22" ht="24.75" x14ac:dyDescent="0.6">
      <c r="A589" s="113">
        <v>9</v>
      </c>
      <c r="B589" s="35">
        <v>1182</v>
      </c>
      <c r="C589" s="35">
        <v>1182</v>
      </c>
      <c r="D589" s="36">
        <v>1182</v>
      </c>
      <c r="E589" s="36"/>
      <c r="F589" s="36"/>
      <c r="G589" s="36"/>
      <c r="H589" s="36">
        <v>1182</v>
      </c>
      <c r="I589" s="36">
        <v>1182</v>
      </c>
      <c r="J589" s="36">
        <v>1182</v>
      </c>
      <c r="K589" s="36"/>
      <c r="L589" s="36">
        <v>1182</v>
      </c>
      <c r="M589" s="36">
        <v>1182</v>
      </c>
    </row>
    <row r="590" spans="1:22" ht="24.75" x14ac:dyDescent="0.6">
      <c r="A590" s="113">
        <v>10</v>
      </c>
      <c r="B590" s="35"/>
      <c r="C590" s="35">
        <v>1182</v>
      </c>
      <c r="D590" s="36">
        <v>1182</v>
      </c>
      <c r="E590" s="36"/>
      <c r="F590" s="36">
        <v>1182</v>
      </c>
      <c r="G590" s="36"/>
      <c r="H590" s="36"/>
      <c r="I590" s="36">
        <v>1182</v>
      </c>
      <c r="J590" s="36">
        <v>1182</v>
      </c>
      <c r="K590" s="36"/>
      <c r="L590" s="36">
        <v>1182</v>
      </c>
      <c r="M590" s="36"/>
    </row>
    <row r="591" spans="1:22" ht="24.75" x14ac:dyDescent="0.6">
      <c r="A591" s="113">
        <v>11</v>
      </c>
      <c r="B591" s="35"/>
      <c r="C591" s="35">
        <v>1182</v>
      </c>
      <c r="D591" s="36">
        <v>1182</v>
      </c>
      <c r="E591" s="36"/>
      <c r="F591" s="36">
        <v>1182</v>
      </c>
      <c r="G591" s="36"/>
      <c r="H591" s="36"/>
      <c r="I591" s="36">
        <v>1182</v>
      </c>
      <c r="J591" s="36"/>
      <c r="K591" s="36">
        <v>1182</v>
      </c>
      <c r="L591" s="36">
        <v>1182</v>
      </c>
      <c r="M591" s="36"/>
    </row>
    <row r="592" spans="1:22" ht="24.75" x14ac:dyDescent="0.6">
      <c r="A592" s="113">
        <v>12</v>
      </c>
      <c r="B592" s="35">
        <v>1182</v>
      </c>
      <c r="C592" s="35">
        <v>1182</v>
      </c>
      <c r="D592" s="36">
        <v>1182</v>
      </c>
      <c r="E592" s="36"/>
      <c r="F592" s="36">
        <v>1182</v>
      </c>
      <c r="G592" s="36"/>
      <c r="H592" s="36">
        <v>1182</v>
      </c>
      <c r="I592" s="36">
        <v>1182</v>
      </c>
      <c r="J592" s="36"/>
      <c r="K592" s="36">
        <v>1182</v>
      </c>
      <c r="L592" s="36">
        <v>1182</v>
      </c>
      <c r="M592" s="36"/>
    </row>
    <row r="593" spans="1:13" ht="24.75" x14ac:dyDescent="0.6">
      <c r="A593" s="113">
        <v>13</v>
      </c>
      <c r="B593" s="35">
        <v>1182</v>
      </c>
      <c r="C593" s="35">
        <v>1182</v>
      </c>
      <c r="D593" s="36"/>
      <c r="E593" s="36"/>
      <c r="F593" s="36">
        <v>1182</v>
      </c>
      <c r="G593" s="36"/>
      <c r="H593" s="36">
        <v>1182</v>
      </c>
      <c r="I593" s="36">
        <v>1182</v>
      </c>
      <c r="J593" s="36">
        <v>1182</v>
      </c>
      <c r="K593" s="36">
        <v>1182</v>
      </c>
      <c r="L593" s="36"/>
      <c r="M593" s="36">
        <v>1182</v>
      </c>
    </row>
    <row r="594" spans="1:13" ht="24.75" x14ac:dyDescent="0.6">
      <c r="A594" s="113">
        <v>14</v>
      </c>
      <c r="B594" s="35">
        <v>1182</v>
      </c>
      <c r="C594" s="35"/>
      <c r="D594" s="36"/>
      <c r="E594" s="36"/>
      <c r="F594" s="36">
        <v>1182</v>
      </c>
      <c r="G594" s="36">
        <v>1182</v>
      </c>
      <c r="H594" s="36"/>
      <c r="I594" s="36"/>
      <c r="J594" s="36">
        <v>1182</v>
      </c>
      <c r="K594" s="36">
        <v>1182</v>
      </c>
      <c r="L594" s="36"/>
      <c r="M594" s="36">
        <v>1182</v>
      </c>
    </row>
    <row r="595" spans="1:13" ht="24.75" x14ac:dyDescent="0.6">
      <c r="A595" s="113">
        <v>15</v>
      </c>
      <c r="B595" s="35">
        <v>1182</v>
      </c>
      <c r="C595" s="35"/>
      <c r="D595" s="36">
        <v>1182</v>
      </c>
      <c r="E595" s="36"/>
      <c r="F595" s="36"/>
      <c r="G595" s="36">
        <v>1182</v>
      </c>
      <c r="H595" s="36">
        <v>1182</v>
      </c>
      <c r="I595" s="36"/>
      <c r="J595" s="36">
        <v>1182</v>
      </c>
      <c r="K595" s="36">
        <v>1182</v>
      </c>
      <c r="L595" s="36">
        <v>1182</v>
      </c>
      <c r="M595" s="36">
        <v>1182</v>
      </c>
    </row>
    <row r="596" spans="1:13" ht="24.75" x14ac:dyDescent="0.6">
      <c r="A596" s="113">
        <v>16</v>
      </c>
      <c r="B596" s="35">
        <v>1182</v>
      </c>
      <c r="C596" s="35">
        <v>1182</v>
      </c>
      <c r="D596" s="36">
        <v>1182</v>
      </c>
      <c r="E596" s="36"/>
      <c r="F596" s="36"/>
      <c r="G596" s="36">
        <v>1182</v>
      </c>
      <c r="H596" s="36">
        <v>1182</v>
      </c>
      <c r="I596" s="36">
        <v>1182</v>
      </c>
      <c r="J596" s="36">
        <v>1182</v>
      </c>
      <c r="K596" s="36"/>
      <c r="L596" s="36">
        <v>1182</v>
      </c>
      <c r="M596" s="36">
        <v>1182</v>
      </c>
    </row>
    <row r="597" spans="1:13" ht="24.75" x14ac:dyDescent="0.6">
      <c r="A597" s="113">
        <v>17</v>
      </c>
      <c r="B597" s="35"/>
      <c r="C597" s="35">
        <v>1182</v>
      </c>
      <c r="D597" s="36">
        <v>1182</v>
      </c>
      <c r="E597" s="36"/>
      <c r="F597" s="36">
        <v>1182</v>
      </c>
      <c r="G597" s="36">
        <v>1182</v>
      </c>
      <c r="H597" s="36"/>
      <c r="I597" s="36">
        <v>1182</v>
      </c>
      <c r="J597" s="36">
        <v>1182</v>
      </c>
      <c r="K597" s="36"/>
      <c r="L597" s="36">
        <v>1182</v>
      </c>
      <c r="M597" s="36">
        <v>1182</v>
      </c>
    </row>
    <row r="598" spans="1:13" ht="24.75" x14ac:dyDescent="0.6">
      <c r="A598" s="113">
        <v>18</v>
      </c>
      <c r="B598" s="35"/>
      <c r="C598" s="35">
        <v>1182</v>
      </c>
      <c r="D598" s="36">
        <v>1182</v>
      </c>
      <c r="E598" s="36"/>
      <c r="F598" s="36">
        <v>1182</v>
      </c>
      <c r="G598" s="36"/>
      <c r="H598" s="36"/>
      <c r="I598" s="36">
        <v>1182</v>
      </c>
      <c r="J598" s="36"/>
      <c r="K598" s="36">
        <v>1182</v>
      </c>
      <c r="L598" s="36">
        <v>1182</v>
      </c>
      <c r="M598" s="36"/>
    </row>
    <row r="599" spans="1:13" ht="24.75" x14ac:dyDescent="0.6">
      <c r="A599" s="113">
        <v>19</v>
      </c>
      <c r="B599" s="35">
        <v>1182</v>
      </c>
      <c r="C599" s="35">
        <v>1182</v>
      </c>
      <c r="D599" s="36">
        <v>1182</v>
      </c>
      <c r="E599" s="36"/>
      <c r="F599" s="36">
        <v>1182</v>
      </c>
      <c r="G599" s="36"/>
      <c r="H599" s="36">
        <v>1182</v>
      </c>
      <c r="I599" s="36">
        <v>1182</v>
      </c>
      <c r="J599" s="36"/>
      <c r="K599" s="36">
        <v>1182</v>
      </c>
      <c r="L599" s="36">
        <v>1182</v>
      </c>
      <c r="M599" s="36"/>
    </row>
    <row r="600" spans="1:13" ht="24.75" x14ac:dyDescent="0.6">
      <c r="A600" s="113">
        <v>20</v>
      </c>
      <c r="B600" s="35">
        <v>1182</v>
      </c>
      <c r="C600" s="35">
        <v>1182</v>
      </c>
      <c r="D600" s="36"/>
      <c r="E600" s="36"/>
      <c r="F600" s="36">
        <v>1182</v>
      </c>
      <c r="G600" s="36"/>
      <c r="H600" s="36">
        <v>1182</v>
      </c>
      <c r="I600" s="36"/>
      <c r="J600" s="36">
        <v>1182</v>
      </c>
      <c r="K600" s="36">
        <v>1182</v>
      </c>
      <c r="L600" s="36"/>
      <c r="M600" s="36">
        <v>1450</v>
      </c>
    </row>
    <row r="601" spans="1:13" ht="24.75" x14ac:dyDescent="0.6">
      <c r="A601" s="113">
        <v>21</v>
      </c>
      <c r="B601" s="35">
        <v>1182</v>
      </c>
      <c r="C601" s="35"/>
      <c r="D601" s="36"/>
      <c r="E601" s="36">
        <v>1182</v>
      </c>
      <c r="F601" s="36">
        <v>1182</v>
      </c>
      <c r="G601" s="36">
        <v>1182</v>
      </c>
      <c r="H601" s="36">
        <v>1182</v>
      </c>
      <c r="I601" s="36"/>
      <c r="J601" s="36">
        <v>1182</v>
      </c>
      <c r="K601" s="36">
        <v>1182</v>
      </c>
      <c r="L601" s="36"/>
      <c r="M601" s="36">
        <v>1450</v>
      </c>
    </row>
    <row r="602" spans="1:13" ht="24.75" x14ac:dyDescent="0.6">
      <c r="A602" s="113">
        <v>22</v>
      </c>
      <c r="B602" s="35">
        <v>1182</v>
      </c>
      <c r="C602" s="35"/>
      <c r="D602" s="36">
        <v>1182</v>
      </c>
      <c r="E602" s="36">
        <v>1182</v>
      </c>
      <c r="F602" s="36"/>
      <c r="G602" s="36">
        <v>1182</v>
      </c>
      <c r="H602" s="36">
        <v>1182</v>
      </c>
      <c r="I602" s="36"/>
      <c r="J602" s="36">
        <v>1182</v>
      </c>
      <c r="K602" s="36">
        <v>1182</v>
      </c>
      <c r="L602" s="36">
        <v>1182</v>
      </c>
      <c r="M602" s="36">
        <v>1450</v>
      </c>
    </row>
    <row r="603" spans="1:13" ht="24.75" x14ac:dyDescent="0.6">
      <c r="A603" s="113">
        <v>23</v>
      </c>
      <c r="B603" s="35">
        <v>1182</v>
      </c>
      <c r="C603" s="35">
        <v>1182</v>
      </c>
      <c r="D603" s="36">
        <v>1182</v>
      </c>
      <c r="E603" s="36">
        <v>1182</v>
      </c>
      <c r="F603" s="36"/>
      <c r="G603" s="36">
        <v>1182</v>
      </c>
      <c r="H603" s="36">
        <v>1182</v>
      </c>
      <c r="I603" s="36">
        <v>1182</v>
      </c>
      <c r="J603" s="36">
        <v>1182</v>
      </c>
      <c r="K603" s="36"/>
      <c r="L603" s="36">
        <v>1182</v>
      </c>
      <c r="M603" s="36">
        <v>1450</v>
      </c>
    </row>
    <row r="604" spans="1:13" ht="24.75" x14ac:dyDescent="0.6">
      <c r="A604" s="113">
        <v>24</v>
      </c>
      <c r="B604" s="35"/>
      <c r="C604" s="35">
        <v>1182</v>
      </c>
      <c r="D604" s="36">
        <v>1182</v>
      </c>
      <c r="E604" s="36"/>
      <c r="F604" s="36"/>
      <c r="G604" s="36">
        <v>1182</v>
      </c>
      <c r="H604" s="36"/>
      <c r="I604" s="36">
        <v>1182</v>
      </c>
      <c r="J604" s="36">
        <v>1182</v>
      </c>
      <c r="K604" s="36"/>
      <c r="L604" s="36">
        <v>1182</v>
      </c>
      <c r="M604" s="36">
        <v>1450</v>
      </c>
    </row>
    <row r="605" spans="1:13" ht="24.75" x14ac:dyDescent="0.6">
      <c r="A605" s="113">
        <v>25</v>
      </c>
      <c r="B605" s="35"/>
      <c r="C605" s="35">
        <v>1182</v>
      </c>
      <c r="D605" s="36"/>
      <c r="E605" s="36"/>
      <c r="F605" s="36"/>
      <c r="G605" s="36">
        <v>1182</v>
      </c>
      <c r="H605" s="36"/>
      <c r="I605" s="36">
        <v>1182</v>
      </c>
      <c r="J605" s="36"/>
      <c r="K605" s="36">
        <v>1182</v>
      </c>
      <c r="L605" s="36">
        <v>1182</v>
      </c>
      <c r="M605" s="36"/>
    </row>
    <row r="606" spans="1:13" ht="24.75" x14ac:dyDescent="0.6">
      <c r="A606" s="113">
        <v>26</v>
      </c>
      <c r="B606" s="35">
        <v>1182</v>
      </c>
      <c r="C606" s="35">
        <v>1182</v>
      </c>
      <c r="D606" s="36"/>
      <c r="E606" s="36">
        <v>1182</v>
      </c>
      <c r="F606" s="36"/>
      <c r="G606" s="36"/>
      <c r="H606" s="36">
        <v>1182</v>
      </c>
      <c r="I606" s="36">
        <v>1182</v>
      </c>
      <c r="J606" s="36"/>
      <c r="K606" s="36">
        <v>1182</v>
      </c>
      <c r="L606" s="36">
        <v>1182</v>
      </c>
      <c r="M606" s="36"/>
    </row>
    <row r="607" spans="1:13" ht="24.75" x14ac:dyDescent="0.6">
      <c r="A607" s="113">
        <v>27</v>
      </c>
      <c r="B607" s="35">
        <v>1182</v>
      </c>
      <c r="C607" s="35">
        <v>1182</v>
      </c>
      <c r="D607" s="36"/>
      <c r="E607" s="36">
        <v>1182</v>
      </c>
      <c r="F607" s="36"/>
      <c r="G607" s="36"/>
      <c r="H607" s="36">
        <v>1182</v>
      </c>
      <c r="I607" s="36">
        <v>1182</v>
      </c>
      <c r="J607" s="36">
        <v>1182</v>
      </c>
      <c r="K607" s="36">
        <v>1182</v>
      </c>
      <c r="L607" s="36"/>
      <c r="M607" s="36">
        <v>1450</v>
      </c>
    </row>
    <row r="608" spans="1:13" ht="24.75" x14ac:dyDescent="0.6">
      <c r="A608" s="113">
        <v>28</v>
      </c>
      <c r="B608" s="35">
        <v>1182</v>
      </c>
      <c r="C608" s="35"/>
      <c r="D608" s="36"/>
      <c r="E608" s="36">
        <v>1182</v>
      </c>
      <c r="F608" s="36"/>
      <c r="G608" s="36">
        <v>1182</v>
      </c>
      <c r="H608" s="36">
        <v>1182</v>
      </c>
      <c r="I608" s="36"/>
      <c r="J608" s="36">
        <v>1182</v>
      </c>
      <c r="K608" s="36">
        <v>1182</v>
      </c>
      <c r="L608" s="36"/>
      <c r="M608" s="36">
        <v>1450</v>
      </c>
    </row>
    <row r="609" spans="1:22" ht="24.75" x14ac:dyDescent="0.6">
      <c r="A609" s="113">
        <v>29</v>
      </c>
      <c r="B609" s="35">
        <v>1182</v>
      </c>
      <c r="C609" s="35"/>
      <c r="D609" s="36"/>
      <c r="E609" s="36">
        <v>1182</v>
      </c>
      <c r="F609" s="36"/>
      <c r="G609" s="36">
        <v>1182</v>
      </c>
      <c r="H609" s="36">
        <v>1182</v>
      </c>
      <c r="I609" s="36"/>
      <c r="J609" s="36">
        <v>1182</v>
      </c>
      <c r="K609" s="36"/>
      <c r="L609" s="36">
        <v>1182</v>
      </c>
      <c r="M609" s="36">
        <v>1450</v>
      </c>
    </row>
    <row r="610" spans="1:22" ht="24.75" x14ac:dyDescent="0.6">
      <c r="A610" s="113">
        <v>30</v>
      </c>
      <c r="B610" s="35">
        <v>1182</v>
      </c>
      <c r="C610" s="35"/>
      <c r="D610" s="36"/>
      <c r="E610" s="36">
        <v>1182</v>
      </c>
      <c r="F610" s="36"/>
      <c r="G610" s="36">
        <v>1182</v>
      </c>
      <c r="H610" s="36">
        <v>1182</v>
      </c>
      <c r="I610" s="36"/>
      <c r="J610" s="36">
        <v>1182</v>
      </c>
      <c r="K610" s="36"/>
      <c r="L610" s="36">
        <v>1182</v>
      </c>
      <c r="M610" s="36">
        <v>1450</v>
      </c>
    </row>
    <row r="611" spans="1:22" ht="25.5" thickBot="1" x14ac:dyDescent="0.65">
      <c r="A611" s="114">
        <v>31</v>
      </c>
      <c r="B611" s="37"/>
      <c r="C611" s="37"/>
      <c r="D611" s="36"/>
      <c r="E611" s="36"/>
      <c r="F611" s="36"/>
      <c r="G611" s="36"/>
      <c r="H611" s="36"/>
      <c r="I611" s="36">
        <v>1182</v>
      </c>
      <c r="J611" s="36"/>
      <c r="K611" s="36"/>
      <c r="L611" s="36"/>
      <c r="M611" s="36">
        <v>1450</v>
      </c>
    </row>
    <row r="612" spans="1:22" ht="23.25" customHeight="1" thickBot="1" x14ac:dyDescent="0.7">
      <c r="A612" s="195" t="s">
        <v>15</v>
      </c>
      <c r="B612" s="197">
        <f>AVERAGE(B581:B611)</f>
        <v>1182</v>
      </c>
      <c r="C612" s="197">
        <f>AVERAGE(C581:C611)</f>
        <v>1182</v>
      </c>
      <c r="D612" s="197">
        <f t="shared" ref="D612:M612" si="60">AVERAGE(D581:D611)</f>
        <v>1182</v>
      </c>
      <c r="E612" s="197">
        <f t="shared" si="60"/>
        <v>1182</v>
      </c>
      <c r="F612" s="197">
        <f t="shared" si="60"/>
        <v>1182</v>
      </c>
      <c r="G612" s="197">
        <f t="shared" si="60"/>
        <v>1182</v>
      </c>
      <c r="H612" s="197">
        <f t="shared" si="60"/>
        <v>1182</v>
      </c>
      <c r="I612" s="197">
        <f t="shared" si="60"/>
        <v>1182</v>
      </c>
      <c r="J612" s="197">
        <f t="shared" si="60"/>
        <v>1182</v>
      </c>
      <c r="K612" s="197">
        <f t="shared" si="60"/>
        <v>1182</v>
      </c>
      <c r="L612" s="197">
        <f t="shared" si="60"/>
        <v>1182</v>
      </c>
      <c r="M612" s="197">
        <f t="shared" si="60"/>
        <v>1303.8181818181818</v>
      </c>
    </row>
    <row r="613" spans="1:22" x14ac:dyDescent="0.25">
      <c r="A613"/>
    </row>
    <row r="614" spans="1:22" ht="25.5" thickBot="1" x14ac:dyDescent="0.7">
      <c r="A614" s="117" t="s">
        <v>63</v>
      </c>
      <c r="B614" s="118" t="s">
        <v>3</v>
      </c>
      <c r="C614" s="118" t="s">
        <v>4</v>
      </c>
      <c r="D614" s="118" t="s">
        <v>5</v>
      </c>
      <c r="E614" s="118" t="s">
        <v>6</v>
      </c>
      <c r="F614" s="118" t="s">
        <v>7</v>
      </c>
      <c r="G614" s="118" t="s">
        <v>41</v>
      </c>
      <c r="H614" s="118" t="s">
        <v>42</v>
      </c>
      <c r="I614" s="118" t="s">
        <v>10</v>
      </c>
      <c r="J614" s="118" t="s">
        <v>11</v>
      </c>
      <c r="K614" s="118" t="s">
        <v>12</v>
      </c>
      <c r="L614" s="118" t="s">
        <v>21</v>
      </c>
      <c r="M614" s="118" t="s">
        <v>14</v>
      </c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24.75" x14ac:dyDescent="0.6">
      <c r="A615" s="112">
        <v>1</v>
      </c>
      <c r="B615" s="35"/>
      <c r="C615" s="35">
        <v>1450</v>
      </c>
      <c r="D615" s="36">
        <v>1450</v>
      </c>
      <c r="E615" s="36"/>
      <c r="F615" s="36"/>
      <c r="G615" s="36">
        <v>1450</v>
      </c>
      <c r="H615" s="36"/>
      <c r="I615" s="36">
        <v>1450</v>
      </c>
      <c r="J615" s="36">
        <v>1450</v>
      </c>
      <c r="K615" s="36"/>
      <c r="L615" s="36">
        <v>1450</v>
      </c>
      <c r="M615" s="36">
        <v>1450</v>
      </c>
    </row>
    <row r="616" spans="1:22" ht="24.75" x14ac:dyDescent="0.6">
      <c r="A616" s="113">
        <v>2</v>
      </c>
      <c r="B616" s="35"/>
      <c r="C616" s="35">
        <v>1450</v>
      </c>
      <c r="D616" s="36">
        <v>1450</v>
      </c>
      <c r="E616" s="36"/>
      <c r="F616" s="36">
        <v>1450</v>
      </c>
      <c r="G616" s="36">
        <v>1450</v>
      </c>
      <c r="H616" s="36"/>
      <c r="I616" s="36">
        <v>1450</v>
      </c>
      <c r="J616" s="36">
        <v>1450</v>
      </c>
      <c r="K616" s="36"/>
      <c r="L616" s="36">
        <v>1450</v>
      </c>
      <c r="M616" s="36">
        <v>1450</v>
      </c>
    </row>
    <row r="617" spans="1:22" ht="24.75" x14ac:dyDescent="0.6">
      <c r="A617" s="113">
        <v>3</v>
      </c>
      <c r="B617" s="35"/>
      <c r="C617" s="35">
        <v>1450</v>
      </c>
      <c r="D617" s="36">
        <v>1450</v>
      </c>
      <c r="E617" s="36"/>
      <c r="F617" s="36">
        <v>1450</v>
      </c>
      <c r="G617" s="36">
        <v>1450</v>
      </c>
      <c r="H617" s="36"/>
      <c r="I617" s="36">
        <v>1450</v>
      </c>
      <c r="J617" s="36"/>
      <c r="K617" s="36"/>
      <c r="L617" s="36">
        <v>1450</v>
      </c>
      <c r="M617" s="36"/>
    </row>
    <row r="618" spans="1:22" ht="24.75" x14ac:dyDescent="0.6">
      <c r="A618" s="113">
        <v>4</v>
      </c>
      <c r="B618" s="35">
        <v>1450</v>
      </c>
      <c r="C618" s="35">
        <v>1450</v>
      </c>
      <c r="D618" s="36">
        <v>1450</v>
      </c>
      <c r="E618" s="36"/>
      <c r="F618" s="36">
        <v>1450</v>
      </c>
      <c r="G618" s="36"/>
      <c r="H618" s="36">
        <v>1450</v>
      </c>
      <c r="I618" s="36">
        <v>1450</v>
      </c>
      <c r="J618" s="36"/>
      <c r="K618" s="36">
        <v>1450</v>
      </c>
      <c r="L618" s="36">
        <v>1450</v>
      </c>
      <c r="M618" s="36"/>
    </row>
    <row r="619" spans="1:22" ht="24.75" x14ac:dyDescent="0.6">
      <c r="A619" s="113">
        <v>5</v>
      </c>
      <c r="B619" s="35">
        <v>1450</v>
      </c>
      <c r="C619" s="35"/>
      <c r="D619" s="36"/>
      <c r="E619" s="36"/>
      <c r="F619" s="36">
        <v>1450</v>
      </c>
      <c r="G619" s="36"/>
      <c r="H619" s="36">
        <v>1450</v>
      </c>
      <c r="I619" s="36">
        <v>1450</v>
      </c>
      <c r="J619" s="36">
        <v>1450</v>
      </c>
      <c r="K619" s="36">
        <v>1450</v>
      </c>
      <c r="L619" s="36"/>
      <c r="M619" s="36">
        <v>1450</v>
      </c>
    </row>
    <row r="620" spans="1:22" ht="24.75" x14ac:dyDescent="0.6">
      <c r="A620" s="113">
        <v>6</v>
      </c>
      <c r="B620" s="35"/>
      <c r="C620" s="35"/>
      <c r="D620" s="36"/>
      <c r="E620" s="36">
        <v>1450</v>
      </c>
      <c r="F620" s="36">
        <v>1450</v>
      </c>
      <c r="G620" s="36">
        <v>1450</v>
      </c>
      <c r="H620" s="36">
        <v>1450</v>
      </c>
      <c r="I620" s="36"/>
      <c r="J620" s="36">
        <v>1450</v>
      </c>
      <c r="K620" s="36">
        <v>1450</v>
      </c>
      <c r="L620" s="36"/>
      <c r="M620" s="36">
        <v>1450</v>
      </c>
    </row>
    <row r="621" spans="1:22" ht="24.75" x14ac:dyDescent="0.6">
      <c r="A621" s="113">
        <v>7</v>
      </c>
      <c r="B621" s="35">
        <v>1450</v>
      </c>
      <c r="C621" s="35">
        <v>1450</v>
      </c>
      <c r="D621" s="36"/>
      <c r="E621" s="36">
        <v>1450</v>
      </c>
      <c r="F621" s="36"/>
      <c r="G621" s="36">
        <v>1450</v>
      </c>
      <c r="H621" s="36">
        <v>1450</v>
      </c>
      <c r="I621" s="36"/>
      <c r="J621" s="36">
        <v>1450</v>
      </c>
      <c r="K621" s="36">
        <v>1450</v>
      </c>
      <c r="L621" s="36">
        <v>1450</v>
      </c>
      <c r="M621" s="36">
        <v>1450</v>
      </c>
    </row>
    <row r="622" spans="1:22" ht="24.75" x14ac:dyDescent="0.6">
      <c r="A622" s="113">
        <v>8</v>
      </c>
      <c r="B622" s="35"/>
      <c r="C622" s="35">
        <v>1450</v>
      </c>
      <c r="D622" s="36">
        <v>1450</v>
      </c>
      <c r="E622" s="36">
        <v>1450</v>
      </c>
      <c r="F622" s="36"/>
      <c r="G622" s="36">
        <v>1450</v>
      </c>
      <c r="H622" s="36">
        <v>1450</v>
      </c>
      <c r="I622" s="36">
        <v>1450</v>
      </c>
      <c r="J622" s="36">
        <v>1450</v>
      </c>
      <c r="K622" s="36"/>
      <c r="L622" s="36">
        <v>1450</v>
      </c>
      <c r="M622" s="36">
        <v>1450</v>
      </c>
    </row>
    <row r="623" spans="1:22" ht="24.75" x14ac:dyDescent="0.6">
      <c r="A623" s="113">
        <v>9</v>
      </c>
      <c r="B623" s="35"/>
      <c r="C623" s="35">
        <v>1450</v>
      </c>
      <c r="D623" s="36">
        <v>1450</v>
      </c>
      <c r="E623" s="36"/>
      <c r="F623" s="36">
        <v>1450</v>
      </c>
      <c r="G623" s="36">
        <v>1450</v>
      </c>
      <c r="H623" s="36"/>
      <c r="I623" s="36"/>
      <c r="J623" s="36">
        <v>1450</v>
      </c>
      <c r="K623" s="36"/>
      <c r="L623" s="36">
        <v>1450</v>
      </c>
      <c r="M623" s="36">
        <v>1450</v>
      </c>
    </row>
    <row r="624" spans="1:22" ht="24.75" x14ac:dyDescent="0.6">
      <c r="A624" s="113">
        <v>10</v>
      </c>
      <c r="B624" s="35">
        <v>1450</v>
      </c>
      <c r="C624" s="35">
        <v>1450</v>
      </c>
      <c r="D624" s="36">
        <v>1450</v>
      </c>
      <c r="E624" s="36"/>
      <c r="F624" s="36">
        <v>1450</v>
      </c>
      <c r="G624" s="36">
        <v>1450</v>
      </c>
      <c r="H624" s="36"/>
      <c r="I624" s="36">
        <v>1450</v>
      </c>
      <c r="J624" s="36"/>
      <c r="K624" s="36"/>
      <c r="L624" s="36">
        <v>1450</v>
      </c>
      <c r="M624" s="36"/>
    </row>
    <row r="625" spans="1:13" ht="24.75" x14ac:dyDescent="0.6">
      <c r="A625" s="113">
        <v>11</v>
      </c>
      <c r="B625" s="35">
        <v>1450</v>
      </c>
      <c r="C625" s="35">
        <v>1450</v>
      </c>
      <c r="D625" s="36">
        <v>1450</v>
      </c>
      <c r="E625" s="36">
        <v>1450</v>
      </c>
      <c r="F625" s="36">
        <v>1450</v>
      </c>
      <c r="G625" s="36"/>
      <c r="H625" s="36">
        <v>1450</v>
      </c>
      <c r="I625" s="36">
        <v>1450</v>
      </c>
      <c r="J625" s="36"/>
      <c r="K625" s="36">
        <v>1450</v>
      </c>
      <c r="L625" s="36">
        <v>1450</v>
      </c>
      <c r="M625" s="36"/>
    </row>
    <row r="626" spans="1:13" ht="24.75" x14ac:dyDescent="0.6">
      <c r="A626" s="113">
        <v>12</v>
      </c>
      <c r="B626" s="35">
        <v>1450</v>
      </c>
      <c r="C626" s="35"/>
      <c r="D626" s="36"/>
      <c r="E626" s="36">
        <v>1450</v>
      </c>
      <c r="F626" s="36"/>
      <c r="G626" s="36"/>
      <c r="H626" s="36">
        <v>1450</v>
      </c>
      <c r="I626" s="36">
        <v>1450</v>
      </c>
      <c r="J626" s="36">
        <v>1450</v>
      </c>
      <c r="K626" s="36">
        <v>1450</v>
      </c>
      <c r="L626" s="36"/>
      <c r="M626" s="36">
        <v>1450</v>
      </c>
    </row>
    <row r="627" spans="1:13" ht="24.75" x14ac:dyDescent="0.6">
      <c r="A627" s="113">
        <v>13</v>
      </c>
      <c r="B627" s="35">
        <v>1450</v>
      </c>
      <c r="C627" s="35"/>
      <c r="D627" s="36"/>
      <c r="E627" s="36">
        <v>1450</v>
      </c>
      <c r="F627" s="36"/>
      <c r="G627" s="36">
        <v>1450</v>
      </c>
      <c r="H627" s="36">
        <v>1450</v>
      </c>
      <c r="I627" s="36"/>
      <c r="J627" s="36">
        <v>1450</v>
      </c>
      <c r="K627" s="36">
        <v>1450</v>
      </c>
      <c r="L627" s="36"/>
      <c r="M627" s="36">
        <v>1450</v>
      </c>
    </row>
    <row r="628" spans="1:13" ht="24.75" x14ac:dyDescent="0.6">
      <c r="A628" s="113">
        <v>14</v>
      </c>
      <c r="B628" s="35">
        <v>1450</v>
      </c>
      <c r="C628" s="35">
        <v>1450</v>
      </c>
      <c r="D628" s="36"/>
      <c r="E628" s="36">
        <v>1450</v>
      </c>
      <c r="F628" s="36"/>
      <c r="G628" s="36">
        <v>1450</v>
      </c>
      <c r="H628" s="36"/>
      <c r="I628" s="36"/>
      <c r="J628" s="36">
        <v>1450</v>
      </c>
      <c r="K628" s="36">
        <v>1450</v>
      </c>
      <c r="L628" s="36">
        <v>1450</v>
      </c>
      <c r="M628" s="36">
        <v>1450</v>
      </c>
    </row>
    <row r="629" spans="1:13" ht="24.75" x14ac:dyDescent="0.6">
      <c r="A629" s="113">
        <v>15</v>
      </c>
      <c r="B629" s="35"/>
      <c r="C629" s="35">
        <v>1450</v>
      </c>
      <c r="D629" s="36">
        <v>1450</v>
      </c>
      <c r="E629" s="36">
        <v>1450</v>
      </c>
      <c r="F629" s="36"/>
      <c r="G629" s="36">
        <v>1450</v>
      </c>
      <c r="H629" s="36">
        <v>1450</v>
      </c>
      <c r="I629" s="36">
        <v>1450</v>
      </c>
      <c r="J629" s="36">
        <v>1450</v>
      </c>
      <c r="K629" s="36"/>
      <c r="L629" s="36">
        <v>1450</v>
      </c>
      <c r="M629" s="36">
        <v>1450</v>
      </c>
    </row>
    <row r="630" spans="1:13" ht="24.75" x14ac:dyDescent="0.6">
      <c r="A630" s="113">
        <v>16</v>
      </c>
      <c r="B630" s="35"/>
      <c r="C630" s="35">
        <v>1450</v>
      </c>
      <c r="D630" s="36">
        <v>1450</v>
      </c>
      <c r="E630" s="36"/>
      <c r="F630" s="36"/>
      <c r="G630" s="36">
        <v>1450</v>
      </c>
      <c r="H630" s="36"/>
      <c r="I630" s="36">
        <v>1450</v>
      </c>
      <c r="J630" s="36">
        <v>1450</v>
      </c>
      <c r="K630" s="36"/>
      <c r="L630" s="36">
        <v>1450</v>
      </c>
      <c r="M630" s="36">
        <v>1450</v>
      </c>
    </row>
    <row r="631" spans="1:13" ht="24.75" x14ac:dyDescent="0.6">
      <c r="A631" s="113">
        <v>17</v>
      </c>
      <c r="B631" s="35">
        <v>1450</v>
      </c>
      <c r="C631" s="35">
        <v>1450</v>
      </c>
      <c r="D631" s="36">
        <v>1450</v>
      </c>
      <c r="E631" s="36"/>
      <c r="F631" s="36"/>
      <c r="G631" s="36">
        <v>1450</v>
      </c>
      <c r="H631" s="36"/>
      <c r="I631" s="36">
        <v>1450</v>
      </c>
      <c r="J631" s="36"/>
      <c r="K631" s="36">
        <v>1450</v>
      </c>
      <c r="L631" s="36">
        <v>1450</v>
      </c>
      <c r="M631" s="36"/>
    </row>
    <row r="632" spans="1:13" ht="24.75" x14ac:dyDescent="0.6">
      <c r="A632" s="113">
        <v>18</v>
      </c>
      <c r="B632" s="35">
        <v>1450</v>
      </c>
      <c r="C632" s="35">
        <v>1450</v>
      </c>
      <c r="D632" s="36">
        <v>1450</v>
      </c>
      <c r="E632" s="36">
        <v>1450</v>
      </c>
      <c r="F632" s="36"/>
      <c r="G632" s="36"/>
      <c r="H632" s="36"/>
      <c r="I632" s="36">
        <v>1450</v>
      </c>
      <c r="J632" s="36"/>
      <c r="K632" s="36"/>
      <c r="L632" s="36">
        <v>1450</v>
      </c>
      <c r="M632" s="36"/>
    </row>
    <row r="633" spans="1:13" ht="24.75" x14ac:dyDescent="0.6">
      <c r="A633" s="113">
        <v>19</v>
      </c>
      <c r="B633" s="35">
        <v>1450</v>
      </c>
      <c r="C633" s="35"/>
      <c r="D633" s="36"/>
      <c r="E633" s="36">
        <v>1450</v>
      </c>
      <c r="F633" s="36"/>
      <c r="G633" s="36"/>
      <c r="H633" s="36"/>
      <c r="I633" s="36"/>
      <c r="J633" s="36">
        <v>1450</v>
      </c>
      <c r="K633" s="36">
        <v>1450</v>
      </c>
      <c r="L633" s="36"/>
      <c r="M633" s="36">
        <v>1450</v>
      </c>
    </row>
    <row r="634" spans="1:13" ht="24.75" x14ac:dyDescent="0.6">
      <c r="A634" s="113">
        <v>20</v>
      </c>
      <c r="B634" s="35">
        <v>1450</v>
      </c>
      <c r="C634" s="35"/>
      <c r="D634" s="36"/>
      <c r="E634" s="36">
        <v>1450</v>
      </c>
      <c r="F634" s="36"/>
      <c r="G634" s="36">
        <v>1450</v>
      </c>
      <c r="H634" s="36"/>
      <c r="I634" s="36"/>
      <c r="J634" s="36">
        <v>1450</v>
      </c>
      <c r="K634" s="36">
        <v>1450</v>
      </c>
      <c r="L634" s="36"/>
      <c r="M634" s="36">
        <v>1450</v>
      </c>
    </row>
    <row r="635" spans="1:13" ht="24.75" x14ac:dyDescent="0.6">
      <c r="A635" s="113">
        <v>21</v>
      </c>
      <c r="B635" s="35">
        <v>1450</v>
      </c>
      <c r="C635" s="35">
        <v>1450</v>
      </c>
      <c r="D635" s="36"/>
      <c r="E635" s="36">
        <v>1450</v>
      </c>
      <c r="F635" s="36"/>
      <c r="G635" s="36">
        <v>1450</v>
      </c>
      <c r="H635" s="36"/>
      <c r="I635" s="36"/>
      <c r="J635" s="36">
        <v>1450</v>
      </c>
      <c r="K635" s="36">
        <v>1450</v>
      </c>
      <c r="L635" s="36">
        <v>1450</v>
      </c>
      <c r="M635" s="36">
        <v>1450</v>
      </c>
    </row>
    <row r="636" spans="1:13" ht="24.75" x14ac:dyDescent="0.6">
      <c r="A636" s="113">
        <v>22</v>
      </c>
      <c r="B636" s="35"/>
      <c r="C636" s="35">
        <v>1450</v>
      </c>
      <c r="D636" s="36">
        <v>1450</v>
      </c>
      <c r="E636" s="36">
        <v>1450</v>
      </c>
      <c r="F636" s="36"/>
      <c r="G636" s="36">
        <v>1450</v>
      </c>
      <c r="H636" s="36"/>
      <c r="I636" s="36">
        <v>1450</v>
      </c>
      <c r="J636" s="36">
        <v>1450</v>
      </c>
      <c r="K636" s="36"/>
      <c r="L636" s="36">
        <v>1450</v>
      </c>
      <c r="M636" s="36">
        <v>1450</v>
      </c>
    </row>
    <row r="637" spans="1:13" ht="24.75" x14ac:dyDescent="0.6">
      <c r="A637" s="113">
        <v>23</v>
      </c>
      <c r="B637" s="35"/>
      <c r="C637" s="35">
        <v>1450</v>
      </c>
      <c r="D637" s="36">
        <v>1450</v>
      </c>
      <c r="E637" s="36"/>
      <c r="F637" s="36">
        <v>1450</v>
      </c>
      <c r="G637" s="36">
        <v>1450</v>
      </c>
      <c r="H637" s="36"/>
      <c r="I637" s="36">
        <v>1450</v>
      </c>
      <c r="J637" s="36">
        <v>1450</v>
      </c>
      <c r="K637" s="36"/>
      <c r="L637" s="36">
        <v>1450</v>
      </c>
      <c r="M637" s="36">
        <v>1450</v>
      </c>
    </row>
    <row r="638" spans="1:13" ht="24.75" x14ac:dyDescent="0.6">
      <c r="A638" s="113">
        <v>24</v>
      </c>
      <c r="B638" s="35">
        <v>1450</v>
      </c>
      <c r="C638" s="35">
        <v>1450</v>
      </c>
      <c r="D638" s="36">
        <v>1450</v>
      </c>
      <c r="E638" s="36"/>
      <c r="F638" s="36">
        <v>1450</v>
      </c>
      <c r="G638" s="36">
        <v>1450</v>
      </c>
      <c r="H638" s="36"/>
      <c r="I638" s="36">
        <v>1450</v>
      </c>
      <c r="J638" s="36"/>
      <c r="K638" s="36">
        <v>1450</v>
      </c>
      <c r="L638" s="36">
        <v>1450</v>
      </c>
      <c r="M638" s="36"/>
    </row>
    <row r="639" spans="1:13" ht="24.75" x14ac:dyDescent="0.6">
      <c r="A639" s="113">
        <v>25</v>
      </c>
      <c r="B639" s="35">
        <v>1450</v>
      </c>
      <c r="C639" s="35">
        <v>1450</v>
      </c>
      <c r="D639" s="36">
        <v>1450</v>
      </c>
      <c r="E639" s="36">
        <v>1450</v>
      </c>
      <c r="F639" s="36">
        <v>1450</v>
      </c>
      <c r="G639" s="36"/>
      <c r="H639" s="36">
        <v>1450</v>
      </c>
      <c r="I639" s="36">
        <v>1450</v>
      </c>
      <c r="J639" s="36"/>
      <c r="K639" s="36">
        <v>1450</v>
      </c>
      <c r="L639" s="36">
        <v>1450</v>
      </c>
      <c r="M639" s="36"/>
    </row>
    <row r="640" spans="1:13" ht="24.75" x14ac:dyDescent="0.6">
      <c r="A640" s="113">
        <v>26</v>
      </c>
      <c r="B640" s="35">
        <v>1450</v>
      </c>
      <c r="C640" s="35"/>
      <c r="D640" s="36"/>
      <c r="E640" s="36">
        <v>1450</v>
      </c>
      <c r="F640" s="36">
        <v>1450</v>
      </c>
      <c r="G640" s="36"/>
      <c r="H640" s="36">
        <v>1450</v>
      </c>
      <c r="I640" s="36">
        <v>1450</v>
      </c>
      <c r="J640" s="36">
        <v>1450</v>
      </c>
      <c r="K640" s="36">
        <v>1450</v>
      </c>
      <c r="L640" s="36"/>
      <c r="M640" s="36"/>
    </row>
    <row r="641" spans="1:22" ht="24.75" x14ac:dyDescent="0.6">
      <c r="A641" s="113">
        <v>27</v>
      </c>
      <c r="B641" s="35">
        <v>1450</v>
      </c>
      <c r="C641" s="35"/>
      <c r="D641" s="36"/>
      <c r="E641" s="36">
        <v>1450</v>
      </c>
      <c r="F641" s="36">
        <v>1450</v>
      </c>
      <c r="G641" s="36">
        <v>1450</v>
      </c>
      <c r="H641" s="36">
        <v>1450</v>
      </c>
      <c r="I641" s="36"/>
      <c r="J641" s="36">
        <v>1450</v>
      </c>
      <c r="K641" s="36">
        <v>1450</v>
      </c>
      <c r="L641" s="36"/>
      <c r="M641" s="36">
        <v>1450</v>
      </c>
    </row>
    <row r="642" spans="1:22" ht="24.75" x14ac:dyDescent="0.6">
      <c r="A642" s="113">
        <v>28</v>
      </c>
      <c r="B642" s="35">
        <v>1450</v>
      </c>
      <c r="C642" s="35"/>
      <c r="D642" s="36">
        <v>1450</v>
      </c>
      <c r="E642" s="36">
        <v>1450</v>
      </c>
      <c r="F642" s="36"/>
      <c r="G642" s="36">
        <v>1450</v>
      </c>
      <c r="H642" s="36">
        <v>1450</v>
      </c>
      <c r="I642" s="36"/>
      <c r="J642" s="36"/>
      <c r="K642" s="36">
        <v>1450</v>
      </c>
      <c r="L642" s="36">
        <v>1450</v>
      </c>
      <c r="M642" s="36">
        <v>1450</v>
      </c>
    </row>
    <row r="643" spans="1:22" ht="24.75" x14ac:dyDescent="0.6">
      <c r="A643" s="113">
        <v>29</v>
      </c>
      <c r="B643" s="35"/>
      <c r="C643" s="35"/>
      <c r="D643" s="36">
        <v>1450</v>
      </c>
      <c r="E643" s="36">
        <v>1450</v>
      </c>
      <c r="F643" s="36"/>
      <c r="G643" s="36">
        <v>1450</v>
      </c>
      <c r="H643" s="36">
        <v>1450</v>
      </c>
      <c r="I643" s="36">
        <v>1450</v>
      </c>
      <c r="J643" s="36">
        <v>1450</v>
      </c>
      <c r="K643" s="36"/>
      <c r="L643" s="36">
        <v>1450</v>
      </c>
      <c r="M643" s="36">
        <v>1450</v>
      </c>
    </row>
    <row r="644" spans="1:22" ht="24.75" x14ac:dyDescent="0.6">
      <c r="A644" s="113">
        <v>30</v>
      </c>
      <c r="B644" s="35"/>
      <c r="C644" s="35"/>
      <c r="D644" s="36">
        <v>1450</v>
      </c>
      <c r="E644" s="36"/>
      <c r="F644" s="36">
        <v>1450</v>
      </c>
      <c r="G644" s="36">
        <v>1450</v>
      </c>
      <c r="H644" s="36"/>
      <c r="I644" s="36">
        <v>1450</v>
      </c>
      <c r="J644" s="36">
        <v>1450</v>
      </c>
      <c r="K644" s="36"/>
      <c r="L644" s="36">
        <v>1450</v>
      </c>
      <c r="M644" s="36">
        <v>1450</v>
      </c>
    </row>
    <row r="645" spans="1:22" ht="25.5" thickBot="1" x14ac:dyDescent="0.65">
      <c r="A645" s="113">
        <v>31</v>
      </c>
      <c r="B645" s="35">
        <v>1450</v>
      </c>
      <c r="C645" s="35"/>
      <c r="D645" s="36">
        <v>1450</v>
      </c>
      <c r="E645" s="36"/>
      <c r="F645" s="36">
        <v>1450</v>
      </c>
      <c r="G645" s="36"/>
      <c r="H645" s="36"/>
      <c r="I645" s="36">
        <v>1450</v>
      </c>
      <c r="J645" s="36"/>
      <c r="K645" s="36">
        <v>1450</v>
      </c>
      <c r="L645" s="36"/>
      <c r="M645" s="36"/>
    </row>
    <row r="646" spans="1:22" ht="23.25" customHeight="1" thickBot="1" x14ac:dyDescent="0.7">
      <c r="A646" s="195" t="s">
        <v>15</v>
      </c>
      <c r="B646" s="197">
        <f>AVERAGE(B615:B645)</f>
        <v>1450</v>
      </c>
      <c r="C646" s="197">
        <f t="shared" ref="C646:M646" si="61">AVERAGE(C615:C645)</f>
        <v>1450</v>
      </c>
      <c r="D646" s="197">
        <f t="shared" si="61"/>
        <v>1450</v>
      </c>
      <c r="E646" s="197">
        <f t="shared" si="61"/>
        <v>1450</v>
      </c>
      <c r="F646" s="197">
        <f t="shared" si="61"/>
        <v>1450</v>
      </c>
      <c r="G646" s="197">
        <f t="shared" si="61"/>
        <v>1450</v>
      </c>
      <c r="H646" s="197">
        <f t="shared" si="61"/>
        <v>1450</v>
      </c>
      <c r="I646" s="197">
        <f t="shared" si="61"/>
        <v>1450</v>
      </c>
      <c r="J646" s="197">
        <f t="shared" si="61"/>
        <v>1450</v>
      </c>
      <c r="K646" s="197">
        <f t="shared" si="61"/>
        <v>1450</v>
      </c>
      <c r="L646" s="197">
        <f t="shared" si="61"/>
        <v>1450</v>
      </c>
      <c r="M646" s="197">
        <f t="shared" si="61"/>
        <v>1450</v>
      </c>
    </row>
    <row r="647" spans="1:22" ht="12" hidden="1" customHeight="1" x14ac:dyDescent="0.25">
      <c r="A647" s="215"/>
      <c r="B647" s="215"/>
      <c r="C647" s="215"/>
      <c r="D647" s="215"/>
      <c r="E647" s="215"/>
      <c r="F647" s="215"/>
      <c r="G647" s="215"/>
      <c r="H647" s="215"/>
      <c r="I647" s="215"/>
      <c r="J647" s="215"/>
      <c r="K647" s="215"/>
      <c r="L647" s="215"/>
      <c r="M647" s="215"/>
    </row>
    <row r="648" spans="1:22" ht="28.5" customHeight="1" thickBot="1" x14ac:dyDescent="0.8">
      <c r="A648" s="216" t="s">
        <v>82</v>
      </c>
      <c r="B648" s="216"/>
      <c r="C648" s="216"/>
      <c r="D648" s="216"/>
      <c r="E648" s="216"/>
      <c r="F648" s="216"/>
      <c r="G648" s="216"/>
      <c r="H648" s="216"/>
      <c r="I648" s="216"/>
      <c r="J648" s="216"/>
      <c r="K648" s="216"/>
      <c r="L648" s="216"/>
      <c r="M648" s="216"/>
    </row>
    <row r="649" spans="1:22" ht="25.5" thickBot="1" x14ac:dyDescent="0.7">
      <c r="A649" s="64" t="s">
        <v>81</v>
      </c>
      <c r="B649" s="29" t="s">
        <v>3</v>
      </c>
      <c r="C649" s="29" t="s">
        <v>4</v>
      </c>
      <c r="D649" s="29" t="s">
        <v>5</v>
      </c>
      <c r="E649" s="29" t="s">
        <v>6</v>
      </c>
      <c r="F649" s="29" t="s">
        <v>7</v>
      </c>
      <c r="G649" s="29" t="s">
        <v>41</v>
      </c>
      <c r="H649" s="29" t="s">
        <v>42</v>
      </c>
      <c r="I649" s="29" t="s">
        <v>10</v>
      </c>
      <c r="J649" s="29" t="s">
        <v>11</v>
      </c>
      <c r="K649" s="29" t="s">
        <v>12</v>
      </c>
      <c r="L649" s="29" t="s">
        <v>21</v>
      </c>
      <c r="M649" s="29" t="s">
        <v>14</v>
      </c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24.75" x14ac:dyDescent="0.6">
      <c r="A650" s="112">
        <v>1</v>
      </c>
      <c r="B650" s="35"/>
      <c r="C650" s="35">
        <v>1450</v>
      </c>
      <c r="D650" s="36">
        <v>1450</v>
      </c>
      <c r="E650" s="36"/>
      <c r="F650" s="36"/>
      <c r="G650" s="36">
        <v>1450</v>
      </c>
      <c r="H650" s="36"/>
      <c r="I650" s="36">
        <v>1450</v>
      </c>
      <c r="J650" s="36">
        <v>1450</v>
      </c>
      <c r="K650" s="36"/>
      <c r="L650" s="36">
        <v>1450</v>
      </c>
      <c r="M650" s="36">
        <v>1450</v>
      </c>
    </row>
    <row r="651" spans="1:22" ht="24.75" x14ac:dyDescent="0.6">
      <c r="A651" s="113">
        <v>2</v>
      </c>
      <c r="B651" s="35"/>
      <c r="C651" s="35">
        <v>1450</v>
      </c>
      <c r="D651" s="36">
        <v>1450</v>
      </c>
      <c r="E651" s="36"/>
      <c r="F651" s="36"/>
      <c r="G651" s="36">
        <v>1450</v>
      </c>
      <c r="H651" s="36"/>
      <c r="I651" s="36">
        <v>1450</v>
      </c>
      <c r="J651" s="36"/>
      <c r="K651" s="36">
        <v>1450</v>
      </c>
      <c r="L651" s="36">
        <v>1450</v>
      </c>
      <c r="M651" s="36"/>
    </row>
    <row r="652" spans="1:22" ht="24.75" x14ac:dyDescent="0.6">
      <c r="A652" s="113">
        <v>3</v>
      </c>
      <c r="B652" s="35">
        <v>1450</v>
      </c>
      <c r="C652" s="35">
        <v>1450</v>
      </c>
      <c r="D652" s="36">
        <v>1450</v>
      </c>
      <c r="E652" s="36">
        <v>1450</v>
      </c>
      <c r="F652" s="36"/>
      <c r="G652" s="36"/>
      <c r="H652" s="36">
        <v>1450</v>
      </c>
      <c r="I652" s="36">
        <v>1450</v>
      </c>
      <c r="J652" s="36"/>
      <c r="K652" s="36"/>
      <c r="L652" s="36">
        <v>1450</v>
      </c>
      <c r="M652" s="36"/>
    </row>
    <row r="653" spans="1:22" ht="24.75" x14ac:dyDescent="0.6">
      <c r="A653" s="113">
        <v>4</v>
      </c>
      <c r="B653" s="35">
        <v>1450</v>
      </c>
      <c r="C653" s="35"/>
      <c r="D653" s="36"/>
      <c r="E653" s="36">
        <v>1450</v>
      </c>
      <c r="F653" s="36"/>
      <c r="G653" s="36"/>
      <c r="H653" s="36">
        <v>1450</v>
      </c>
      <c r="I653" s="36">
        <v>1450</v>
      </c>
      <c r="J653" s="36">
        <v>1450</v>
      </c>
      <c r="K653" s="36">
        <v>1450</v>
      </c>
      <c r="L653" s="36"/>
      <c r="M653" s="36">
        <v>1450</v>
      </c>
    </row>
    <row r="654" spans="1:22" ht="24.75" x14ac:dyDescent="0.6">
      <c r="A654" s="113">
        <v>5</v>
      </c>
      <c r="B654" s="35">
        <v>1450</v>
      </c>
      <c r="C654" s="35"/>
      <c r="D654" s="36"/>
      <c r="E654" s="36">
        <v>1450</v>
      </c>
      <c r="F654" s="36"/>
      <c r="G654" s="36">
        <v>1450</v>
      </c>
      <c r="H654" s="36">
        <v>1450</v>
      </c>
      <c r="I654" s="36"/>
      <c r="J654" s="36">
        <v>1450</v>
      </c>
      <c r="K654" s="36">
        <v>1450</v>
      </c>
      <c r="L654" s="36"/>
      <c r="M654" s="36">
        <v>1450</v>
      </c>
    </row>
    <row r="655" spans="1:22" ht="24.75" x14ac:dyDescent="0.6">
      <c r="A655" s="113">
        <v>6</v>
      </c>
      <c r="B655" s="35"/>
      <c r="C655" s="35">
        <v>1450</v>
      </c>
      <c r="D655" s="36">
        <v>1450</v>
      </c>
      <c r="E655" s="36">
        <v>1450</v>
      </c>
      <c r="F655" s="36"/>
      <c r="G655" s="36">
        <v>1450</v>
      </c>
      <c r="H655" s="36">
        <v>1450</v>
      </c>
      <c r="I655" s="36"/>
      <c r="J655" s="36">
        <v>1450</v>
      </c>
      <c r="K655" s="36">
        <v>1450</v>
      </c>
      <c r="L655" s="36">
        <v>1450</v>
      </c>
      <c r="M655" s="36">
        <v>1450</v>
      </c>
    </row>
    <row r="656" spans="1:22" ht="24.75" x14ac:dyDescent="0.6">
      <c r="A656" s="113">
        <v>7</v>
      </c>
      <c r="B656" s="35"/>
      <c r="C656" s="35">
        <v>1450</v>
      </c>
      <c r="D656" s="36">
        <v>1450</v>
      </c>
      <c r="E656" s="36">
        <v>1450</v>
      </c>
      <c r="F656" s="36"/>
      <c r="G656" s="36">
        <v>1450</v>
      </c>
      <c r="H656" s="36">
        <v>1450</v>
      </c>
      <c r="I656" s="36">
        <v>1450</v>
      </c>
      <c r="J656" s="36">
        <v>1450</v>
      </c>
      <c r="K656" s="36"/>
      <c r="L656" s="36">
        <v>1450</v>
      </c>
      <c r="M656" s="36">
        <v>1450</v>
      </c>
    </row>
    <row r="657" spans="1:13" ht="24.75" x14ac:dyDescent="0.6">
      <c r="A657" s="113">
        <v>8</v>
      </c>
      <c r="B657" s="35"/>
      <c r="C657" s="35">
        <v>1450</v>
      </c>
      <c r="D657" s="36">
        <v>1450</v>
      </c>
      <c r="E657" s="36"/>
      <c r="F657" s="36">
        <v>1450</v>
      </c>
      <c r="G657" s="36">
        <v>1450</v>
      </c>
      <c r="H657" s="36"/>
      <c r="I657" s="36">
        <v>1450</v>
      </c>
      <c r="J657" s="36">
        <v>1450</v>
      </c>
      <c r="K657" s="36"/>
      <c r="L657" s="36">
        <v>1450</v>
      </c>
      <c r="M657" s="36">
        <v>1450</v>
      </c>
    </row>
    <row r="658" spans="1:13" ht="24.75" x14ac:dyDescent="0.6">
      <c r="A658" s="113">
        <v>9</v>
      </c>
      <c r="B658" s="35">
        <v>1450</v>
      </c>
      <c r="C658" s="35">
        <v>1450</v>
      </c>
      <c r="D658" s="36">
        <v>1450</v>
      </c>
      <c r="E658" s="36"/>
      <c r="F658" s="36">
        <v>1450</v>
      </c>
      <c r="G658" s="36">
        <v>1450</v>
      </c>
      <c r="H658" s="36"/>
      <c r="I658" s="36"/>
      <c r="J658" s="36"/>
      <c r="K658" s="36">
        <v>1450</v>
      </c>
      <c r="L658" s="36">
        <v>1450</v>
      </c>
      <c r="M658" s="36"/>
    </row>
    <row r="659" spans="1:13" ht="24.75" x14ac:dyDescent="0.6">
      <c r="A659" s="113">
        <v>10</v>
      </c>
      <c r="B659" s="35">
        <v>1450</v>
      </c>
      <c r="C659" s="35">
        <v>1450</v>
      </c>
      <c r="D659" s="36">
        <v>1450</v>
      </c>
      <c r="E659" s="36">
        <v>1450</v>
      </c>
      <c r="F659" s="36">
        <v>1450</v>
      </c>
      <c r="G659" s="36"/>
      <c r="H659" s="36"/>
      <c r="I659" s="36">
        <v>1450</v>
      </c>
      <c r="J659" s="36"/>
      <c r="K659" s="36">
        <v>1450</v>
      </c>
      <c r="L659" s="36">
        <v>1450</v>
      </c>
      <c r="M659" s="36"/>
    </row>
    <row r="660" spans="1:13" ht="24.75" x14ac:dyDescent="0.6">
      <c r="A660" s="113">
        <v>11</v>
      </c>
      <c r="B660" s="35">
        <v>1450</v>
      </c>
      <c r="C660" s="35"/>
      <c r="D660" s="36"/>
      <c r="E660" s="36">
        <v>1450</v>
      </c>
      <c r="F660" s="36">
        <v>1450</v>
      </c>
      <c r="G660" s="36"/>
      <c r="H660" s="36"/>
      <c r="I660" s="36">
        <v>1450</v>
      </c>
      <c r="J660" s="36">
        <v>1450</v>
      </c>
      <c r="K660" s="36">
        <v>1450</v>
      </c>
      <c r="L660" s="36"/>
      <c r="M660" s="36">
        <v>1450</v>
      </c>
    </row>
    <row r="661" spans="1:13" ht="24.75" x14ac:dyDescent="0.6">
      <c r="A661" s="113">
        <v>12</v>
      </c>
      <c r="B661" s="35">
        <v>1450</v>
      </c>
      <c r="C661" s="35"/>
      <c r="D661" s="36"/>
      <c r="E661" s="36">
        <v>1450</v>
      </c>
      <c r="F661" s="36">
        <v>1450</v>
      </c>
      <c r="G661" s="36">
        <v>1450</v>
      </c>
      <c r="H661" s="36"/>
      <c r="I661" s="36"/>
      <c r="J661" s="36">
        <v>1450</v>
      </c>
      <c r="K661" s="36">
        <v>1450</v>
      </c>
      <c r="L661" s="36"/>
      <c r="M661" s="36">
        <v>1450</v>
      </c>
    </row>
    <row r="662" spans="1:13" ht="24.75" x14ac:dyDescent="0.6">
      <c r="A662" s="113">
        <v>13</v>
      </c>
      <c r="B662" s="35">
        <v>1450</v>
      </c>
      <c r="C662" s="35">
        <v>1450</v>
      </c>
      <c r="D662" s="36">
        <v>1450</v>
      </c>
      <c r="E662" s="36">
        <v>1450</v>
      </c>
      <c r="F662" s="36"/>
      <c r="G662" s="36">
        <v>1450</v>
      </c>
      <c r="H662" s="36"/>
      <c r="I662" s="36"/>
      <c r="J662" s="36">
        <v>1450</v>
      </c>
      <c r="K662" s="36">
        <v>1450</v>
      </c>
      <c r="L662" s="36">
        <v>1450</v>
      </c>
      <c r="M662" s="36">
        <v>1450</v>
      </c>
    </row>
    <row r="663" spans="1:13" ht="24.75" x14ac:dyDescent="0.6">
      <c r="A663" s="113">
        <v>14</v>
      </c>
      <c r="B663" s="35"/>
      <c r="C663" s="35">
        <v>1450</v>
      </c>
      <c r="D663" s="36">
        <v>1450</v>
      </c>
      <c r="E663" s="36">
        <v>1450</v>
      </c>
      <c r="F663" s="36"/>
      <c r="G663" s="36">
        <v>1450</v>
      </c>
      <c r="H663" s="36"/>
      <c r="I663" s="36">
        <v>1450</v>
      </c>
      <c r="J663" s="36">
        <v>1450</v>
      </c>
      <c r="K663" s="36"/>
      <c r="L663" s="36">
        <v>1450</v>
      </c>
      <c r="M663" s="36">
        <v>1450</v>
      </c>
    </row>
    <row r="664" spans="1:13" ht="24.75" x14ac:dyDescent="0.6">
      <c r="A664" s="113">
        <v>15</v>
      </c>
      <c r="B664" s="35"/>
      <c r="C664" s="35">
        <v>1450</v>
      </c>
      <c r="D664" s="36">
        <v>1450</v>
      </c>
      <c r="E664" s="36"/>
      <c r="F664" s="36">
        <v>1450</v>
      </c>
      <c r="G664" s="36">
        <v>1450</v>
      </c>
      <c r="H664" s="36"/>
      <c r="I664" s="36">
        <v>1450</v>
      </c>
      <c r="J664" s="36">
        <v>1450</v>
      </c>
      <c r="K664" s="36"/>
      <c r="L664" s="36">
        <v>1450</v>
      </c>
      <c r="M664" s="36">
        <v>1450</v>
      </c>
    </row>
    <row r="665" spans="1:13" ht="24.75" x14ac:dyDescent="0.6">
      <c r="A665" s="113">
        <v>16</v>
      </c>
      <c r="B665" s="35">
        <v>1450</v>
      </c>
      <c r="C665" s="35">
        <v>1450</v>
      </c>
      <c r="D665" s="36">
        <v>1450</v>
      </c>
      <c r="E665" s="36"/>
      <c r="F665" s="36">
        <v>1450</v>
      </c>
      <c r="G665" s="36">
        <v>1450</v>
      </c>
      <c r="H665" s="36"/>
      <c r="I665" s="36">
        <v>1450</v>
      </c>
      <c r="J665" s="36"/>
      <c r="K665" s="36">
        <v>1450</v>
      </c>
      <c r="L665" s="36">
        <v>1450</v>
      </c>
      <c r="M665" s="36"/>
    </row>
    <row r="666" spans="1:13" ht="24.75" x14ac:dyDescent="0.6">
      <c r="A666" s="113">
        <v>17</v>
      </c>
      <c r="B666" s="35">
        <v>1450</v>
      </c>
      <c r="C666" s="35">
        <v>1450</v>
      </c>
      <c r="D666" s="36">
        <v>1450</v>
      </c>
      <c r="E666" s="36">
        <v>1450</v>
      </c>
      <c r="F666" s="36">
        <v>1450</v>
      </c>
      <c r="G666" s="36"/>
      <c r="H666" s="36">
        <v>1450</v>
      </c>
      <c r="I666" s="36">
        <v>1450</v>
      </c>
      <c r="J666" s="36"/>
      <c r="K666" s="36">
        <v>1450</v>
      </c>
      <c r="L666" s="36">
        <v>1450</v>
      </c>
      <c r="M666" s="36"/>
    </row>
    <row r="667" spans="1:13" ht="24.75" x14ac:dyDescent="0.6">
      <c r="A667" s="113">
        <v>18</v>
      </c>
      <c r="B667" s="35">
        <v>1450</v>
      </c>
      <c r="C667" s="35"/>
      <c r="D667" s="36"/>
      <c r="E667" s="36">
        <v>1450</v>
      </c>
      <c r="F667" s="36">
        <v>1450</v>
      </c>
      <c r="G667" s="36"/>
      <c r="H667" s="36">
        <v>1450</v>
      </c>
      <c r="I667" s="36">
        <v>1450</v>
      </c>
      <c r="J667" s="36"/>
      <c r="K667" s="36">
        <v>1450</v>
      </c>
      <c r="L667" s="36"/>
      <c r="M667" s="36">
        <v>1450</v>
      </c>
    </row>
    <row r="668" spans="1:13" ht="24.75" x14ac:dyDescent="0.6">
      <c r="A668" s="113">
        <v>19</v>
      </c>
      <c r="B668" s="35">
        <v>1450</v>
      </c>
      <c r="C668" s="35"/>
      <c r="D668" s="36"/>
      <c r="E668" s="36">
        <v>1450</v>
      </c>
      <c r="F668" s="36">
        <v>1450</v>
      </c>
      <c r="G668" s="36">
        <v>1450</v>
      </c>
      <c r="H668" s="36">
        <v>1450</v>
      </c>
      <c r="I668" s="36"/>
      <c r="J668" s="36">
        <v>1450</v>
      </c>
      <c r="K668" s="36">
        <v>1450</v>
      </c>
      <c r="L668" s="36"/>
      <c r="M668" s="36">
        <v>1450</v>
      </c>
    </row>
    <row r="669" spans="1:13" ht="24.75" x14ac:dyDescent="0.6">
      <c r="A669" s="113">
        <v>20</v>
      </c>
      <c r="B669" s="35">
        <v>1450</v>
      </c>
      <c r="C669" s="35">
        <v>1450</v>
      </c>
      <c r="D669" s="36"/>
      <c r="E669" s="36">
        <v>1450</v>
      </c>
      <c r="F669" s="36"/>
      <c r="G669" s="36">
        <v>1450</v>
      </c>
      <c r="H669" s="36">
        <v>1450</v>
      </c>
      <c r="I669" s="36"/>
      <c r="J669" s="36">
        <v>1450</v>
      </c>
      <c r="K669" s="36">
        <v>1450</v>
      </c>
      <c r="L669" s="36">
        <v>1450</v>
      </c>
      <c r="M669" s="36">
        <v>1450</v>
      </c>
    </row>
    <row r="670" spans="1:13" ht="24.75" x14ac:dyDescent="0.6">
      <c r="A670" s="113">
        <v>21</v>
      </c>
      <c r="B670" s="35"/>
      <c r="C670" s="35">
        <v>1450</v>
      </c>
      <c r="D670" s="36"/>
      <c r="E670" s="36">
        <v>1450</v>
      </c>
      <c r="F670" s="36"/>
      <c r="G670" s="36">
        <v>1450</v>
      </c>
      <c r="H670" s="36">
        <v>1450</v>
      </c>
      <c r="I670" s="36">
        <v>1450</v>
      </c>
      <c r="J670" s="36">
        <v>1450</v>
      </c>
      <c r="K670" s="36"/>
      <c r="L670" s="36">
        <v>1450</v>
      </c>
      <c r="M670" s="36">
        <v>1450</v>
      </c>
    </row>
    <row r="671" spans="1:13" ht="24.75" x14ac:dyDescent="0.6">
      <c r="A671" s="113">
        <v>22</v>
      </c>
      <c r="B671" s="35"/>
      <c r="C671" s="35">
        <v>1450</v>
      </c>
      <c r="D671" s="36">
        <v>1450</v>
      </c>
      <c r="E671" s="36"/>
      <c r="F671" s="36">
        <v>1450</v>
      </c>
      <c r="G671" s="36">
        <v>1450</v>
      </c>
      <c r="H671" s="36"/>
      <c r="I671" s="36">
        <v>1450</v>
      </c>
      <c r="J671" s="36">
        <v>1450</v>
      </c>
      <c r="K671" s="36"/>
      <c r="L671" s="36">
        <v>1450</v>
      </c>
      <c r="M671" s="36">
        <v>1450</v>
      </c>
    </row>
    <row r="672" spans="1:13" ht="24.75" x14ac:dyDescent="0.6">
      <c r="A672" s="113">
        <v>23</v>
      </c>
      <c r="B672" s="35">
        <v>1450</v>
      </c>
      <c r="C672" s="35">
        <v>1450</v>
      </c>
      <c r="D672" s="36">
        <v>1450</v>
      </c>
      <c r="E672" s="36"/>
      <c r="F672" s="36"/>
      <c r="G672" s="36">
        <v>1450</v>
      </c>
      <c r="H672" s="36"/>
      <c r="I672" s="36">
        <v>1450</v>
      </c>
      <c r="J672" s="36"/>
      <c r="K672" s="36">
        <v>1450</v>
      </c>
      <c r="L672" s="36">
        <v>1450</v>
      </c>
      <c r="M672" s="36"/>
    </row>
    <row r="673" spans="1:13" ht="24.75" x14ac:dyDescent="0.6">
      <c r="A673" s="113">
        <v>24</v>
      </c>
      <c r="B673" s="35">
        <v>1450</v>
      </c>
      <c r="C673" s="35">
        <v>1450</v>
      </c>
      <c r="D673" s="36">
        <v>1450</v>
      </c>
      <c r="E673" s="36">
        <v>1450</v>
      </c>
      <c r="F673" s="36">
        <v>1450</v>
      </c>
      <c r="G673" s="36"/>
      <c r="H673" s="36">
        <v>1450</v>
      </c>
      <c r="I673" s="36">
        <v>1450</v>
      </c>
      <c r="J673" s="36"/>
      <c r="K673" s="36">
        <v>1450</v>
      </c>
      <c r="L673" s="36">
        <v>1450</v>
      </c>
      <c r="M673" s="36"/>
    </row>
    <row r="674" spans="1:13" ht="24.75" x14ac:dyDescent="0.6">
      <c r="A674" s="113">
        <v>25</v>
      </c>
      <c r="B674" s="35">
        <v>1450</v>
      </c>
      <c r="C674" s="35"/>
      <c r="D674" s="36"/>
      <c r="E674" s="36">
        <v>1450</v>
      </c>
      <c r="F674" s="36">
        <v>1450</v>
      </c>
      <c r="G674" s="36"/>
      <c r="H674" s="36">
        <v>1450</v>
      </c>
      <c r="I674" s="36">
        <v>1450</v>
      </c>
      <c r="J674" s="36">
        <v>1450</v>
      </c>
      <c r="K674" s="36">
        <v>1450</v>
      </c>
      <c r="L674" s="36"/>
      <c r="M674" s="36"/>
    </row>
    <row r="675" spans="1:13" ht="24.75" x14ac:dyDescent="0.6">
      <c r="A675" s="113">
        <v>26</v>
      </c>
      <c r="B675" s="35">
        <v>1450</v>
      </c>
      <c r="C675" s="35"/>
      <c r="D675" s="36"/>
      <c r="E675" s="36">
        <v>1450</v>
      </c>
      <c r="F675" s="36">
        <v>1450</v>
      </c>
      <c r="G675" s="36">
        <v>1450</v>
      </c>
      <c r="H675" s="36">
        <v>1450</v>
      </c>
      <c r="I675" s="36"/>
      <c r="J675" s="36">
        <v>1450</v>
      </c>
      <c r="K675" s="36">
        <v>1450</v>
      </c>
      <c r="L675" s="36"/>
      <c r="M675" s="36">
        <v>1450</v>
      </c>
    </row>
    <row r="676" spans="1:13" ht="24.75" x14ac:dyDescent="0.6">
      <c r="A676" s="113">
        <v>27</v>
      </c>
      <c r="B676" s="35">
        <v>1450</v>
      </c>
      <c r="C676" s="35"/>
      <c r="D676" s="36">
        <v>1450</v>
      </c>
      <c r="E676" s="36">
        <v>1450</v>
      </c>
      <c r="F676" s="36"/>
      <c r="G676" s="36">
        <v>1450</v>
      </c>
      <c r="H676" s="36">
        <v>1450</v>
      </c>
      <c r="I676" s="36"/>
      <c r="J676" s="36">
        <v>1450</v>
      </c>
      <c r="K676" s="36">
        <v>1450</v>
      </c>
      <c r="L676" s="36">
        <v>1450</v>
      </c>
      <c r="M676" s="36">
        <v>1450</v>
      </c>
    </row>
    <row r="677" spans="1:13" ht="24.75" x14ac:dyDescent="0.6">
      <c r="A677" s="113">
        <v>28</v>
      </c>
      <c r="B677" s="35"/>
      <c r="C677" s="35">
        <v>1450</v>
      </c>
      <c r="D677" s="36">
        <v>1450</v>
      </c>
      <c r="E677" s="36">
        <v>1450</v>
      </c>
      <c r="F677" s="36"/>
      <c r="G677" s="36">
        <v>1450</v>
      </c>
      <c r="H677" s="36">
        <v>1450</v>
      </c>
      <c r="I677" s="36">
        <v>1450</v>
      </c>
      <c r="J677" s="36">
        <v>1450</v>
      </c>
      <c r="K677" s="36"/>
      <c r="L677" s="36">
        <v>1450</v>
      </c>
      <c r="M677" s="36">
        <v>1450</v>
      </c>
    </row>
    <row r="678" spans="1:13" ht="24.75" x14ac:dyDescent="0.6">
      <c r="A678" s="113">
        <v>29</v>
      </c>
      <c r="B678" s="35"/>
      <c r="C678" s="35"/>
      <c r="D678" s="36">
        <v>1450</v>
      </c>
      <c r="E678" s="36"/>
      <c r="F678" s="36">
        <v>1450</v>
      </c>
      <c r="G678" s="36">
        <v>1450</v>
      </c>
      <c r="H678" s="36"/>
      <c r="I678" s="36">
        <v>1450</v>
      </c>
      <c r="J678" s="36">
        <v>1450</v>
      </c>
      <c r="K678" s="36"/>
      <c r="L678" s="36">
        <v>1450</v>
      </c>
      <c r="M678" s="36">
        <v>1450</v>
      </c>
    </row>
    <row r="679" spans="1:13" ht="24.75" x14ac:dyDescent="0.6">
      <c r="A679" s="113">
        <v>30</v>
      </c>
      <c r="B679" s="35">
        <v>1450</v>
      </c>
      <c r="C679" s="35"/>
      <c r="D679" s="36">
        <v>1450</v>
      </c>
      <c r="E679" s="36"/>
      <c r="F679" s="36">
        <v>1450</v>
      </c>
      <c r="G679" s="36">
        <v>1450</v>
      </c>
      <c r="H679" s="36"/>
      <c r="I679" s="36"/>
      <c r="J679" s="36"/>
      <c r="K679" s="36">
        <v>1450</v>
      </c>
      <c r="L679" s="36">
        <v>1450</v>
      </c>
      <c r="M679" s="36"/>
    </row>
    <row r="680" spans="1:13" ht="25.5" thickBot="1" x14ac:dyDescent="0.65">
      <c r="A680" s="113">
        <v>31</v>
      </c>
      <c r="B680" s="35">
        <v>1450</v>
      </c>
      <c r="C680" s="35"/>
      <c r="D680" s="36">
        <v>1450</v>
      </c>
      <c r="E680" s="36"/>
      <c r="F680" s="36">
        <v>1450</v>
      </c>
      <c r="G680" s="36"/>
      <c r="H680" s="36"/>
      <c r="I680" s="36">
        <v>1450</v>
      </c>
      <c r="J680" s="36"/>
      <c r="K680" s="36">
        <v>1450</v>
      </c>
      <c r="L680" s="36"/>
      <c r="M680" s="36"/>
    </row>
    <row r="681" spans="1:13" ht="23.25" customHeight="1" thickBot="1" x14ac:dyDescent="0.7">
      <c r="A681" s="195" t="s">
        <v>15</v>
      </c>
      <c r="B681" s="197">
        <f>AVERAGE(B650:B680)</f>
        <v>1450</v>
      </c>
      <c r="C681" s="197">
        <f t="shared" ref="C681:M681" si="62">AVERAGE(C650:C680)</f>
        <v>1450</v>
      </c>
      <c r="D681" s="197">
        <f t="shared" si="62"/>
        <v>1450</v>
      </c>
      <c r="E681" s="197">
        <f t="shared" si="62"/>
        <v>1450</v>
      </c>
      <c r="F681" s="197">
        <f t="shared" si="62"/>
        <v>1450</v>
      </c>
      <c r="G681" s="197">
        <f t="shared" si="62"/>
        <v>1450</v>
      </c>
      <c r="H681" s="197">
        <f t="shared" si="62"/>
        <v>1450</v>
      </c>
      <c r="I681" s="197">
        <f t="shared" si="62"/>
        <v>1450</v>
      </c>
      <c r="J681" s="197">
        <f t="shared" si="62"/>
        <v>1450</v>
      </c>
      <c r="K681" s="197">
        <f t="shared" si="62"/>
        <v>1450</v>
      </c>
      <c r="L681" s="197">
        <f t="shared" si="62"/>
        <v>1450</v>
      </c>
      <c r="M681" s="197">
        <f t="shared" si="62"/>
        <v>1450</v>
      </c>
    </row>
    <row r="682" spans="1:13" ht="30.75" thickBot="1" x14ac:dyDescent="0.8">
      <c r="A682" s="216" t="s">
        <v>82</v>
      </c>
      <c r="B682" s="216"/>
      <c r="C682" s="216"/>
      <c r="D682" s="216"/>
      <c r="E682" s="216"/>
      <c r="F682" s="216"/>
      <c r="G682" s="216"/>
      <c r="H682" s="216"/>
      <c r="I682" s="216"/>
      <c r="J682" s="216"/>
      <c r="K682" s="216"/>
      <c r="L682" s="216"/>
      <c r="M682" s="216"/>
    </row>
    <row r="683" spans="1:13" ht="25.5" thickBot="1" x14ac:dyDescent="0.7">
      <c r="A683" s="64" t="s">
        <v>85</v>
      </c>
      <c r="B683" s="29" t="s">
        <v>3</v>
      </c>
      <c r="C683" s="29" t="s">
        <v>4</v>
      </c>
      <c r="D683" s="29" t="s">
        <v>5</v>
      </c>
      <c r="E683" s="29" t="s">
        <v>6</v>
      </c>
      <c r="F683" s="29" t="s">
        <v>7</v>
      </c>
      <c r="G683" s="29" t="s">
        <v>41</v>
      </c>
      <c r="H683" s="29" t="s">
        <v>42</v>
      </c>
      <c r="I683" s="29" t="s">
        <v>10</v>
      </c>
      <c r="J683" s="29" t="s">
        <v>11</v>
      </c>
      <c r="K683" s="29" t="s">
        <v>12</v>
      </c>
      <c r="L683" s="29" t="s">
        <v>21</v>
      </c>
      <c r="M683" s="29" t="s">
        <v>14</v>
      </c>
    </row>
    <row r="684" spans="1:13" ht="24.75" x14ac:dyDescent="0.6">
      <c r="A684" s="112">
        <v>1</v>
      </c>
      <c r="B684" s="35"/>
      <c r="C684" s="35">
        <v>1450</v>
      </c>
      <c r="D684" s="36">
        <v>1300</v>
      </c>
      <c r="E684" s="36"/>
      <c r="F684" s="36"/>
      <c r="G684" s="36">
        <v>1300</v>
      </c>
      <c r="H684" s="36"/>
      <c r="I684" s="36">
        <v>1300</v>
      </c>
      <c r="J684" s="36"/>
      <c r="K684" s="36">
        <v>1300</v>
      </c>
      <c r="L684" s="36">
        <v>1300</v>
      </c>
      <c r="M684" s="36"/>
    </row>
    <row r="685" spans="1:13" ht="24.75" x14ac:dyDescent="0.6">
      <c r="A685" s="113">
        <v>2</v>
      </c>
      <c r="B685" s="35"/>
      <c r="C685" s="35">
        <v>1450</v>
      </c>
      <c r="D685" s="36">
        <v>1300</v>
      </c>
      <c r="E685" s="36">
        <v>1300</v>
      </c>
      <c r="F685" s="36">
        <v>1300</v>
      </c>
      <c r="G685" s="36"/>
      <c r="H685" s="36"/>
      <c r="I685" s="36">
        <v>1300</v>
      </c>
      <c r="J685" s="36"/>
      <c r="K685" s="36">
        <v>1300</v>
      </c>
      <c r="L685" s="36">
        <v>1300</v>
      </c>
      <c r="M685" s="36"/>
    </row>
    <row r="686" spans="1:13" ht="24.75" x14ac:dyDescent="0.6">
      <c r="A686" s="113">
        <v>3</v>
      </c>
      <c r="B686" s="35"/>
      <c r="C686" s="35"/>
      <c r="D686" s="36"/>
      <c r="E686" s="36">
        <v>1300</v>
      </c>
      <c r="F686" s="36">
        <v>1300</v>
      </c>
      <c r="G686" s="36"/>
      <c r="H686" s="36">
        <v>1300</v>
      </c>
      <c r="I686" s="36">
        <v>1300</v>
      </c>
      <c r="J686" s="36">
        <v>1300</v>
      </c>
      <c r="K686" s="36"/>
      <c r="L686" s="36"/>
      <c r="M686" s="36">
        <v>1300</v>
      </c>
    </row>
    <row r="687" spans="1:13" ht="24.75" x14ac:dyDescent="0.6">
      <c r="A687" s="113">
        <v>4</v>
      </c>
      <c r="B687" s="35">
        <v>1450</v>
      </c>
      <c r="C687" s="35"/>
      <c r="D687" s="36"/>
      <c r="E687" s="36">
        <v>1300</v>
      </c>
      <c r="F687" s="36">
        <v>1300</v>
      </c>
      <c r="G687" s="36">
        <v>1300</v>
      </c>
      <c r="H687" s="36">
        <v>1300</v>
      </c>
      <c r="I687" s="36"/>
      <c r="J687" s="36">
        <v>1300</v>
      </c>
      <c r="K687" s="36">
        <v>1300</v>
      </c>
      <c r="L687" s="36"/>
      <c r="M687" s="36">
        <v>1300</v>
      </c>
    </row>
    <row r="688" spans="1:13" ht="24.75" x14ac:dyDescent="0.6">
      <c r="A688" s="113">
        <v>5</v>
      </c>
      <c r="B688" s="35">
        <v>1450</v>
      </c>
      <c r="C688" s="35">
        <v>1450</v>
      </c>
      <c r="D688" s="36">
        <v>1300</v>
      </c>
      <c r="E688" s="36">
        <v>1300</v>
      </c>
      <c r="F688" s="36"/>
      <c r="G688" s="36">
        <v>1300</v>
      </c>
      <c r="H688" s="36">
        <v>1300</v>
      </c>
      <c r="I688" s="36"/>
      <c r="J688" s="36">
        <v>1300</v>
      </c>
      <c r="K688" s="36">
        <v>1300</v>
      </c>
      <c r="L688" s="36">
        <v>1300</v>
      </c>
      <c r="M688" s="36">
        <v>1300</v>
      </c>
    </row>
    <row r="689" spans="1:13" ht="24.75" x14ac:dyDescent="0.6">
      <c r="A689" s="113">
        <v>6</v>
      </c>
      <c r="B689" s="35"/>
      <c r="C689" s="35">
        <v>1450</v>
      </c>
      <c r="D689" s="36">
        <v>1300</v>
      </c>
      <c r="E689" s="36">
        <v>1300</v>
      </c>
      <c r="F689" s="36"/>
      <c r="G689" s="36">
        <v>1300</v>
      </c>
      <c r="H689" s="36">
        <v>1300</v>
      </c>
      <c r="I689" s="36">
        <v>1300</v>
      </c>
      <c r="J689" s="36"/>
      <c r="K689" s="36"/>
      <c r="L689" s="36">
        <v>1300</v>
      </c>
      <c r="M689" s="36">
        <v>1300</v>
      </c>
    </row>
    <row r="690" spans="1:13" ht="24.75" x14ac:dyDescent="0.6">
      <c r="A690" s="113">
        <v>7</v>
      </c>
      <c r="B690" s="35"/>
      <c r="C690" s="35">
        <v>1450</v>
      </c>
      <c r="D690" s="36">
        <v>1300</v>
      </c>
      <c r="E690" s="36"/>
      <c r="F690" s="36">
        <v>1300</v>
      </c>
      <c r="G690" s="36">
        <v>1300</v>
      </c>
      <c r="H690" s="36"/>
      <c r="I690" s="36">
        <v>1300</v>
      </c>
      <c r="J690" s="36"/>
      <c r="K690" s="36"/>
      <c r="L690" s="36">
        <v>1300</v>
      </c>
      <c r="M690" s="36">
        <v>1300</v>
      </c>
    </row>
    <row r="691" spans="1:13" ht="24.75" x14ac:dyDescent="0.6">
      <c r="A691" s="113">
        <v>8</v>
      </c>
      <c r="B691" s="35">
        <v>1450</v>
      </c>
      <c r="C691" s="35">
        <v>1300</v>
      </c>
      <c r="D691" s="36">
        <v>1300</v>
      </c>
      <c r="E691" s="36"/>
      <c r="F691" s="36">
        <v>1300</v>
      </c>
      <c r="G691" s="36">
        <v>1300</v>
      </c>
      <c r="H691" s="36"/>
      <c r="I691" s="36">
        <v>1300</v>
      </c>
      <c r="J691" s="36"/>
      <c r="K691" s="36">
        <v>1300</v>
      </c>
      <c r="L691" s="36">
        <v>1300</v>
      </c>
      <c r="M691" s="36"/>
    </row>
    <row r="692" spans="1:13" ht="24.75" x14ac:dyDescent="0.6">
      <c r="A692" s="113">
        <v>9</v>
      </c>
      <c r="B692" s="35">
        <v>1450</v>
      </c>
      <c r="C692" s="35">
        <v>1300</v>
      </c>
      <c r="D692" s="36">
        <v>1300</v>
      </c>
      <c r="E692" s="36">
        <v>1300</v>
      </c>
      <c r="F692" s="36">
        <v>1300</v>
      </c>
      <c r="G692" s="36"/>
      <c r="H692" s="36">
        <v>1300</v>
      </c>
      <c r="I692" s="36">
        <v>1300</v>
      </c>
      <c r="J692" s="36"/>
      <c r="K692" s="36">
        <v>1300</v>
      </c>
      <c r="L692" s="36">
        <v>1300</v>
      </c>
      <c r="M692" s="36"/>
    </row>
    <row r="693" spans="1:13" ht="24.75" x14ac:dyDescent="0.6">
      <c r="A693" s="113">
        <v>10</v>
      </c>
      <c r="B693" s="35">
        <v>1450</v>
      </c>
      <c r="C693" s="35"/>
      <c r="D693" s="36"/>
      <c r="E693" s="36">
        <v>1300</v>
      </c>
      <c r="F693" s="36">
        <v>1300</v>
      </c>
      <c r="G693" s="36"/>
      <c r="H693" s="36">
        <v>1300</v>
      </c>
      <c r="I693" s="36">
        <v>1300</v>
      </c>
      <c r="J693" s="36">
        <v>1300</v>
      </c>
      <c r="K693" s="36">
        <v>1300</v>
      </c>
      <c r="L693" s="36"/>
      <c r="M693" s="36"/>
    </row>
    <row r="694" spans="1:13" ht="24.75" x14ac:dyDescent="0.6">
      <c r="A694" s="113">
        <v>11</v>
      </c>
      <c r="B694" s="35">
        <v>1450</v>
      </c>
      <c r="C694" s="35"/>
      <c r="D694" s="36"/>
      <c r="E694" s="36">
        <v>1300</v>
      </c>
      <c r="F694" s="36">
        <v>1300</v>
      </c>
      <c r="G694" s="36">
        <v>1300</v>
      </c>
      <c r="H694" s="36">
        <v>1300</v>
      </c>
      <c r="I694" s="36"/>
      <c r="J694" s="36">
        <v>1300</v>
      </c>
      <c r="K694" s="36">
        <v>1300</v>
      </c>
      <c r="L694" s="36"/>
      <c r="M694" s="36">
        <v>1300</v>
      </c>
    </row>
    <row r="695" spans="1:13" ht="23.25" customHeight="1" x14ac:dyDescent="0.6">
      <c r="A695" s="113">
        <v>12</v>
      </c>
      <c r="B695" s="35">
        <v>1450</v>
      </c>
      <c r="C695" s="35">
        <v>1300</v>
      </c>
      <c r="D695" s="35">
        <v>1300</v>
      </c>
      <c r="E695" s="36">
        <v>1300</v>
      </c>
      <c r="F695" s="36"/>
      <c r="G695" s="36">
        <v>1300</v>
      </c>
      <c r="H695" s="36">
        <v>1300</v>
      </c>
      <c r="I695" s="36"/>
      <c r="J695" s="36">
        <v>1300</v>
      </c>
      <c r="K695" s="36">
        <v>1300</v>
      </c>
      <c r="L695" s="36">
        <v>1300</v>
      </c>
      <c r="M695" s="36">
        <v>1300</v>
      </c>
    </row>
    <row r="696" spans="1:13" ht="24.75" x14ac:dyDescent="0.6">
      <c r="A696" s="113">
        <v>13</v>
      </c>
      <c r="B696" s="35"/>
      <c r="C696" s="35">
        <v>1300</v>
      </c>
      <c r="D696" s="35">
        <v>1300</v>
      </c>
      <c r="E696" s="36"/>
      <c r="F696" s="36"/>
      <c r="G696" s="36">
        <v>1300</v>
      </c>
      <c r="H696" s="36">
        <v>1300</v>
      </c>
      <c r="I696" s="36">
        <v>1300</v>
      </c>
      <c r="J696" s="36">
        <v>1300</v>
      </c>
      <c r="K696" s="36"/>
      <c r="L696" s="36">
        <v>1300</v>
      </c>
      <c r="M696" s="36">
        <v>1300</v>
      </c>
    </row>
    <row r="697" spans="1:13" ht="24.75" x14ac:dyDescent="0.6">
      <c r="A697" s="113">
        <v>14</v>
      </c>
      <c r="B697" s="35"/>
      <c r="C697" s="35">
        <v>1300</v>
      </c>
      <c r="D697" s="35">
        <v>1300</v>
      </c>
      <c r="E697" s="36"/>
      <c r="F697" s="36">
        <v>1300</v>
      </c>
      <c r="G697" s="36">
        <v>1300</v>
      </c>
      <c r="H697" s="36"/>
      <c r="I697" s="36">
        <v>1300</v>
      </c>
      <c r="J697" s="36">
        <v>1300</v>
      </c>
      <c r="K697" s="36"/>
      <c r="L697" s="36">
        <v>1300</v>
      </c>
      <c r="M697" s="36"/>
    </row>
    <row r="698" spans="1:13" ht="24.75" x14ac:dyDescent="0.6">
      <c r="A698" s="113">
        <v>15</v>
      </c>
      <c r="B698" s="35">
        <v>1450</v>
      </c>
      <c r="C698" s="35">
        <v>1300</v>
      </c>
      <c r="D698" s="35">
        <v>1300</v>
      </c>
      <c r="E698" s="36"/>
      <c r="F698" s="36">
        <v>1300</v>
      </c>
      <c r="G698" s="36">
        <v>1300</v>
      </c>
      <c r="H698" s="36"/>
      <c r="I698" s="36">
        <v>1300</v>
      </c>
      <c r="J698" s="36"/>
      <c r="K698" s="36">
        <v>1300</v>
      </c>
      <c r="L698" s="36">
        <v>1300</v>
      </c>
      <c r="M698" s="36"/>
    </row>
    <row r="699" spans="1:13" ht="24.75" x14ac:dyDescent="0.6">
      <c r="A699" s="113">
        <v>16</v>
      </c>
      <c r="B699" s="35">
        <v>1450</v>
      </c>
      <c r="C699" s="35"/>
      <c r="D699" s="35">
        <v>1300</v>
      </c>
      <c r="E699" s="36">
        <v>1300</v>
      </c>
      <c r="F699" s="36">
        <v>1300</v>
      </c>
      <c r="G699" s="36"/>
      <c r="H699" s="36">
        <v>1300</v>
      </c>
      <c r="I699" s="36">
        <v>1300</v>
      </c>
      <c r="J699" s="36"/>
      <c r="K699" s="36">
        <v>1300</v>
      </c>
      <c r="L699" s="36">
        <v>1300</v>
      </c>
      <c r="M699" s="36"/>
    </row>
    <row r="700" spans="1:13" ht="24.75" x14ac:dyDescent="0.6">
      <c r="A700" s="113">
        <v>17</v>
      </c>
      <c r="B700" s="35">
        <v>1450</v>
      </c>
      <c r="C700" s="35"/>
      <c r="D700" s="36"/>
      <c r="E700" s="36">
        <v>1300</v>
      </c>
      <c r="F700" s="36">
        <v>1300</v>
      </c>
      <c r="G700" s="36"/>
      <c r="H700" s="36">
        <v>1300</v>
      </c>
      <c r="I700" s="36">
        <v>1300</v>
      </c>
      <c r="J700" s="36">
        <v>1300</v>
      </c>
      <c r="K700" s="36">
        <v>1300</v>
      </c>
      <c r="L700" s="36"/>
      <c r="M700" s="36"/>
    </row>
    <row r="701" spans="1:13" ht="24.75" x14ac:dyDescent="0.6">
      <c r="A701" s="113">
        <v>18</v>
      </c>
      <c r="B701" s="35">
        <v>1450</v>
      </c>
      <c r="C701" s="35"/>
      <c r="D701" s="36"/>
      <c r="E701" s="36">
        <v>1300</v>
      </c>
      <c r="F701" s="36">
        <v>1300</v>
      </c>
      <c r="G701" s="36">
        <v>1300</v>
      </c>
      <c r="H701" s="36">
        <v>1300</v>
      </c>
      <c r="I701" s="36"/>
      <c r="J701" s="36">
        <v>1300</v>
      </c>
      <c r="K701" s="36">
        <v>1300</v>
      </c>
      <c r="L701" s="36"/>
      <c r="M701" s="36"/>
    </row>
    <row r="702" spans="1:13" ht="24.75" x14ac:dyDescent="0.6">
      <c r="A702" s="113">
        <v>19</v>
      </c>
      <c r="B702" s="35">
        <v>1450</v>
      </c>
      <c r="C702" s="35">
        <v>1300</v>
      </c>
      <c r="D702" s="35">
        <v>1300</v>
      </c>
      <c r="E702" s="36">
        <v>1300</v>
      </c>
      <c r="F702" s="36"/>
      <c r="G702" s="36">
        <v>1300</v>
      </c>
      <c r="H702" s="36"/>
      <c r="I702" s="36"/>
      <c r="J702" s="36">
        <v>1300</v>
      </c>
      <c r="K702" s="36">
        <v>1300</v>
      </c>
      <c r="L702" s="36">
        <v>1300</v>
      </c>
      <c r="M702" s="36"/>
    </row>
    <row r="703" spans="1:13" ht="24.75" x14ac:dyDescent="0.6">
      <c r="A703" s="113">
        <v>20</v>
      </c>
      <c r="B703" s="35"/>
      <c r="C703" s="35">
        <v>1300</v>
      </c>
      <c r="D703" s="35">
        <v>1300</v>
      </c>
      <c r="E703" s="36"/>
      <c r="F703" s="36"/>
      <c r="G703" s="36">
        <v>1300</v>
      </c>
      <c r="H703" s="36">
        <v>1300</v>
      </c>
      <c r="I703" s="36">
        <v>1300</v>
      </c>
      <c r="J703" s="36">
        <v>1300</v>
      </c>
      <c r="K703" s="36"/>
      <c r="L703" s="36">
        <v>1300</v>
      </c>
      <c r="M703" s="36"/>
    </row>
    <row r="704" spans="1:13" ht="24.75" x14ac:dyDescent="0.6">
      <c r="A704" s="113">
        <v>21</v>
      </c>
      <c r="B704" s="35"/>
      <c r="C704" s="35">
        <v>1300</v>
      </c>
      <c r="D704" s="35"/>
      <c r="E704" s="36"/>
      <c r="F704" s="36">
        <v>1300</v>
      </c>
      <c r="G704" s="36">
        <v>1300</v>
      </c>
      <c r="H704" s="36"/>
      <c r="I704" s="36">
        <v>1300</v>
      </c>
      <c r="J704" s="36">
        <v>1300</v>
      </c>
      <c r="K704" s="36"/>
      <c r="L704" s="36">
        <v>1300</v>
      </c>
      <c r="M704" s="36"/>
    </row>
    <row r="705" spans="1:13" ht="24.75" x14ac:dyDescent="0.6">
      <c r="A705" s="113">
        <v>22</v>
      </c>
      <c r="B705" s="35">
        <v>1450</v>
      </c>
      <c r="C705" s="35">
        <v>1300</v>
      </c>
      <c r="D705" s="35">
        <v>1300</v>
      </c>
      <c r="E705" s="36"/>
      <c r="F705" s="36">
        <v>1300</v>
      </c>
      <c r="G705" s="36">
        <v>1300</v>
      </c>
      <c r="H705" s="36"/>
      <c r="I705" s="36">
        <v>1300</v>
      </c>
      <c r="J705" s="36"/>
      <c r="K705" s="36">
        <v>1300</v>
      </c>
      <c r="L705" s="36">
        <v>1300</v>
      </c>
      <c r="M705" s="36"/>
    </row>
    <row r="706" spans="1:13" ht="24.75" x14ac:dyDescent="0.6">
      <c r="A706" s="113">
        <v>23</v>
      </c>
      <c r="B706" s="35">
        <v>1450</v>
      </c>
      <c r="C706" s="35">
        <v>1300</v>
      </c>
      <c r="D706" s="35">
        <v>1300</v>
      </c>
      <c r="E706" s="36"/>
      <c r="F706" s="36">
        <v>1300</v>
      </c>
      <c r="G706" s="36"/>
      <c r="H706" s="36">
        <v>1300</v>
      </c>
      <c r="I706" s="36">
        <v>1300</v>
      </c>
      <c r="J706" s="36"/>
      <c r="K706" s="36">
        <v>1300</v>
      </c>
      <c r="L706" s="36">
        <v>1300</v>
      </c>
      <c r="M706" s="36"/>
    </row>
    <row r="707" spans="1:13" ht="24.75" x14ac:dyDescent="0.6">
      <c r="A707" s="113">
        <v>24</v>
      </c>
      <c r="B707" s="35">
        <v>1450</v>
      </c>
      <c r="C707" s="35"/>
      <c r="D707" s="36"/>
      <c r="E707" s="36"/>
      <c r="F707" s="36">
        <v>1300</v>
      </c>
      <c r="G707" s="36"/>
      <c r="H707" s="36">
        <v>1300</v>
      </c>
      <c r="I707" s="36">
        <v>1300</v>
      </c>
      <c r="J707" s="36">
        <v>1300</v>
      </c>
      <c r="K707" s="36">
        <v>1300</v>
      </c>
      <c r="L707" s="36"/>
      <c r="M707" s="36"/>
    </row>
    <row r="708" spans="1:13" ht="24.75" x14ac:dyDescent="0.6">
      <c r="A708" s="113">
        <v>25</v>
      </c>
      <c r="B708" s="35">
        <v>1450</v>
      </c>
      <c r="C708" s="35"/>
      <c r="D708" s="36"/>
      <c r="E708" s="36">
        <v>1300</v>
      </c>
      <c r="F708" s="36">
        <v>1300</v>
      </c>
      <c r="G708" s="36">
        <v>1300</v>
      </c>
      <c r="H708" s="36">
        <v>1300</v>
      </c>
      <c r="I708" s="36"/>
      <c r="J708" s="36">
        <v>1300</v>
      </c>
      <c r="K708" s="36">
        <v>1300</v>
      </c>
      <c r="L708" s="36"/>
      <c r="M708" s="36"/>
    </row>
    <row r="709" spans="1:13" ht="24.75" x14ac:dyDescent="0.6">
      <c r="A709" s="113">
        <v>26</v>
      </c>
      <c r="B709" s="35">
        <v>1450</v>
      </c>
      <c r="C709" s="35">
        <v>1300</v>
      </c>
      <c r="D709" s="36">
        <v>1300</v>
      </c>
      <c r="E709" s="36">
        <v>1300</v>
      </c>
      <c r="F709" s="36"/>
      <c r="G709" s="36">
        <v>1300</v>
      </c>
      <c r="H709" s="36">
        <v>1300</v>
      </c>
      <c r="I709" s="36"/>
      <c r="J709" s="36">
        <v>1300</v>
      </c>
      <c r="K709" s="36">
        <v>1300</v>
      </c>
      <c r="L709" s="36">
        <v>1300</v>
      </c>
      <c r="M709" s="36"/>
    </row>
    <row r="710" spans="1:13" ht="24.75" x14ac:dyDescent="0.6">
      <c r="A710" s="113">
        <v>27</v>
      </c>
      <c r="B710" s="35"/>
      <c r="C710" s="35">
        <v>1300</v>
      </c>
      <c r="D710" s="36"/>
      <c r="E710" s="36">
        <v>1300</v>
      </c>
      <c r="F710" s="36"/>
      <c r="G710" s="36"/>
      <c r="H710" s="36">
        <v>1300</v>
      </c>
      <c r="I710" s="36">
        <v>1300</v>
      </c>
      <c r="J710" s="36"/>
      <c r="K710" s="36"/>
      <c r="L710" s="36">
        <v>1300</v>
      </c>
      <c r="M710" s="36"/>
    </row>
    <row r="711" spans="1:13" ht="24.75" x14ac:dyDescent="0.6">
      <c r="A711" s="113">
        <v>28</v>
      </c>
      <c r="B711" s="35"/>
      <c r="C711" s="35">
        <v>1300</v>
      </c>
      <c r="D711" s="36">
        <v>1300</v>
      </c>
      <c r="E711" s="36"/>
      <c r="F711" s="36">
        <v>1300</v>
      </c>
      <c r="G711" s="36"/>
      <c r="H711" s="36"/>
      <c r="I711" s="36">
        <v>1300</v>
      </c>
      <c r="J711" s="36">
        <v>1300</v>
      </c>
      <c r="K711" s="36"/>
      <c r="L711" s="36">
        <v>1300</v>
      </c>
      <c r="M711" s="36"/>
    </row>
    <row r="712" spans="1:13" ht="24.75" x14ac:dyDescent="0.6">
      <c r="A712" s="113">
        <v>29</v>
      </c>
      <c r="B712" s="35">
        <v>1450</v>
      </c>
      <c r="C712" s="35"/>
      <c r="D712" s="36">
        <v>1300</v>
      </c>
      <c r="E712" s="36"/>
      <c r="F712" s="36">
        <v>1300</v>
      </c>
      <c r="G712" s="36"/>
      <c r="H712" s="36"/>
      <c r="I712" s="36">
        <v>1300</v>
      </c>
      <c r="J712" s="36"/>
      <c r="K712" s="36">
        <v>1300</v>
      </c>
      <c r="L712" s="36">
        <v>1300</v>
      </c>
      <c r="M712" s="36"/>
    </row>
    <row r="713" spans="1:13" ht="24.75" x14ac:dyDescent="0.6">
      <c r="A713" s="113">
        <v>30</v>
      </c>
      <c r="B713" s="35">
        <v>1450</v>
      </c>
      <c r="C713" s="35"/>
      <c r="D713" s="36">
        <v>1300</v>
      </c>
      <c r="E713" s="36">
        <v>1300</v>
      </c>
      <c r="F713" s="36">
        <v>1300</v>
      </c>
      <c r="G713" s="36"/>
      <c r="H713" s="36"/>
      <c r="I713" s="36">
        <v>1300</v>
      </c>
      <c r="J713" s="36"/>
      <c r="K713" s="36">
        <v>1300</v>
      </c>
      <c r="L713" s="36">
        <v>1300</v>
      </c>
      <c r="M713" s="36"/>
    </row>
    <row r="714" spans="1:13" ht="25.5" thickBot="1" x14ac:dyDescent="0.65">
      <c r="A714" s="113">
        <v>31</v>
      </c>
      <c r="B714" s="35">
        <v>1450</v>
      </c>
      <c r="C714" s="35"/>
      <c r="D714" s="36"/>
      <c r="E714" s="36"/>
      <c r="F714" s="36">
        <v>1300</v>
      </c>
      <c r="G714" s="36"/>
      <c r="H714" s="36">
        <v>1300</v>
      </c>
      <c r="I714" s="36">
        <v>1300</v>
      </c>
      <c r="J714" s="36"/>
      <c r="K714" s="36">
        <v>1300</v>
      </c>
      <c r="L714" s="36"/>
      <c r="M714" s="36"/>
    </row>
    <row r="715" spans="1:13" ht="23.25" customHeight="1" thickBot="1" x14ac:dyDescent="0.7">
      <c r="A715" s="195" t="s">
        <v>15</v>
      </c>
      <c r="B715" s="197">
        <f>AVERAGE(B684:B714)</f>
        <v>1450</v>
      </c>
      <c r="C715" s="197">
        <f t="shared" ref="C715:L715" si="63">AVERAGE(C684:C714)</f>
        <v>1339.4736842105262</v>
      </c>
      <c r="D715" s="197">
        <f t="shared" si="63"/>
        <v>1300</v>
      </c>
      <c r="E715" s="197">
        <f t="shared" si="63"/>
        <v>1300</v>
      </c>
      <c r="F715" s="197">
        <f t="shared" si="63"/>
        <v>1300</v>
      </c>
      <c r="G715" s="197">
        <f t="shared" si="63"/>
        <v>1300</v>
      </c>
      <c r="H715" s="197">
        <f t="shared" si="63"/>
        <v>1300</v>
      </c>
      <c r="I715" s="197">
        <f t="shared" si="63"/>
        <v>1300</v>
      </c>
      <c r="J715" s="197">
        <f t="shared" si="63"/>
        <v>1300</v>
      </c>
      <c r="K715" s="197">
        <f t="shared" si="63"/>
        <v>1300</v>
      </c>
      <c r="L715" s="197">
        <f t="shared" si="63"/>
        <v>1300</v>
      </c>
      <c r="M715" s="197"/>
    </row>
    <row r="716" spans="1:13" x14ac:dyDescent="0.25">
      <c r="A716" s="217" t="s">
        <v>64</v>
      </c>
      <c r="B716" s="217"/>
      <c r="C716" s="217"/>
      <c r="D716" s="217"/>
      <c r="E716" s="97"/>
      <c r="F716" s="97"/>
      <c r="G716" s="97"/>
      <c r="H716" s="97"/>
      <c r="I716" s="218" t="s">
        <v>65</v>
      </c>
      <c r="J716" s="218"/>
      <c r="K716" s="218"/>
      <c r="L716" s="218"/>
      <c r="M716" s="218"/>
    </row>
    <row r="717" spans="1:13" x14ac:dyDescent="0.25">
      <c r="A717"/>
    </row>
    <row r="718" spans="1:13" x14ac:dyDescent="0.25">
      <c r="A718"/>
    </row>
    <row r="719" spans="1:13" x14ac:dyDescent="0.25">
      <c r="A719"/>
    </row>
    <row r="720" spans="1:13" x14ac:dyDescent="0.25">
      <c r="A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</sheetData>
  <mergeCells count="6">
    <mergeCell ref="A1:M1"/>
    <mergeCell ref="A647:M647"/>
    <mergeCell ref="A682:M682"/>
    <mergeCell ref="A716:D716"/>
    <mergeCell ref="I716:M716"/>
    <mergeCell ref="A648:M648"/>
  </mergeCells>
  <printOptions horizontalCentered="1"/>
  <pageMargins left="0" right="0" top="0.75" bottom="0" header="0" footer="0.3"/>
  <pageSetup scale="65" orientation="landscape" r:id="rId1"/>
  <rowBreaks count="3" manualBreakCount="3">
    <brk id="577" max="12" man="1"/>
    <brk id="612" max="16383" man="1"/>
    <brk id="646" max="12" man="1"/>
  </rowBreaks>
  <colBreaks count="1" manualBreakCount="1">
    <brk id="13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45"/>
  <sheetViews>
    <sheetView topLeftCell="B12" zoomScaleNormal="100" workbookViewId="0">
      <selection activeCell="K25" sqref="K25:N25"/>
    </sheetView>
  </sheetViews>
  <sheetFormatPr defaultRowHeight="15" x14ac:dyDescent="0.25"/>
  <cols>
    <col min="1" max="1" width="13.7109375" style="38" customWidth="1"/>
    <col min="2" max="2" width="12.28515625" customWidth="1"/>
    <col min="3" max="3" width="15.140625" customWidth="1"/>
    <col min="4" max="4" width="13" customWidth="1"/>
    <col min="6" max="6" width="11.5703125" customWidth="1"/>
    <col min="7" max="7" width="10.42578125" customWidth="1"/>
    <col min="14" max="14" width="24.7109375" bestFit="1" customWidth="1"/>
    <col min="257" max="257" width="13.7109375" customWidth="1"/>
    <col min="258" max="258" width="12.28515625" customWidth="1"/>
    <col min="259" max="259" width="15.140625" customWidth="1"/>
    <col min="260" max="260" width="13" customWidth="1"/>
    <col min="262" max="262" width="11.5703125" customWidth="1"/>
    <col min="263" max="263" width="10.42578125" customWidth="1"/>
    <col min="270" max="270" width="20.7109375" customWidth="1"/>
    <col min="513" max="513" width="13.7109375" customWidth="1"/>
    <col min="514" max="514" width="12.28515625" customWidth="1"/>
    <col min="515" max="515" width="15.140625" customWidth="1"/>
    <col min="516" max="516" width="13" customWidth="1"/>
    <col min="518" max="518" width="11.5703125" customWidth="1"/>
    <col min="519" max="519" width="10.42578125" customWidth="1"/>
    <col min="526" max="526" width="20.7109375" customWidth="1"/>
    <col min="769" max="769" width="13.7109375" customWidth="1"/>
    <col min="770" max="770" width="12.28515625" customWidth="1"/>
    <col min="771" max="771" width="15.140625" customWidth="1"/>
    <col min="772" max="772" width="13" customWidth="1"/>
    <col min="774" max="774" width="11.5703125" customWidth="1"/>
    <col min="775" max="775" width="10.42578125" customWidth="1"/>
    <col min="782" max="782" width="20.7109375" customWidth="1"/>
    <col min="1025" max="1025" width="13.7109375" customWidth="1"/>
    <col min="1026" max="1026" width="12.28515625" customWidth="1"/>
    <col min="1027" max="1027" width="15.140625" customWidth="1"/>
    <col min="1028" max="1028" width="13" customWidth="1"/>
    <col min="1030" max="1030" width="11.5703125" customWidth="1"/>
    <col min="1031" max="1031" width="10.42578125" customWidth="1"/>
    <col min="1038" max="1038" width="20.7109375" customWidth="1"/>
    <col min="1281" max="1281" width="13.7109375" customWidth="1"/>
    <col min="1282" max="1282" width="12.28515625" customWidth="1"/>
    <col min="1283" max="1283" width="15.140625" customWidth="1"/>
    <col min="1284" max="1284" width="13" customWidth="1"/>
    <col min="1286" max="1286" width="11.5703125" customWidth="1"/>
    <col min="1287" max="1287" width="10.42578125" customWidth="1"/>
    <col min="1294" max="1294" width="20.7109375" customWidth="1"/>
    <col min="1537" max="1537" width="13.7109375" customWidth="1"/>
    <col min="1538" max="1538" width="12.28515625" customWidth="1"/>
    <col min="1539" max="1539" width="15.140625" customWidth="1"/>
    <col min="1540" max="1540" width="13" customWidth="1"/>
    <col min="1542" max="1542" width="11.5703125" customWidth="1"/>
    <col min="1543" max="1543" width="10.42578125" customWidth="1"/>
    <col min="1550" max="1550" width="20.7109375" customWidth="1"/>
    <col min="1793" max="1793" width="13.7109375" customWidth="1"/>
    <col min="1794" max="1794" width="12.28515625" customWidth="1"/>
    <col min="1795" max="1795" width="15.140625" customWidth="1"/>
    <col min="1796" max="1796" width="13" customWidth="1"/>
    <col min="1798" max="1798" width="11.5703125" customWidth="1"/>
    <col min="1799" max="1799" width="10.42578125" customWidth="1"/>
    <col min="1806" max="1806" width="20.7109375" customWidth="1"/>
    <col min="2049" max="2049" width="13.7109375" customWidth="1"/>
    <col min="2050" max="2050" width="12.28515625" customWidth="1"/>
    <col min="2051" max="2051" width="15.140625" customWidth="1"/>
    <col min="2052" max="2052" width="13" customWidth="1"/>
    <col min="2054" max="2054" width="11.5703125" customWidth="1"/>
    <col min="2055" max="2055" width="10.42578125" customWidth="1"/>
    <col min="2062" max="2062" width="20.7109375" customWidth="1"/>
    <col min="2305" max="2305" width="13.7109375" customWidth="1"/>
    <col min="2306" max="2306" width="12.28515625" customWidth="1"/>
    <col min="2307" max="2307" width="15.140625" customWidth="1"/>
    <col min="2308" max="2308" width="13" customWidth="1"/>
    <col min="2310" max="2310" width="11.5703125" customWidth="1"/>
    <col min="2311" max="2311" width="10.42578125" customWidth="1"/>
    <col min="2318" max="2318" width="20.7109375" customWidth="1"/>
    <col min="2561" max="2561" width="13.7109375" customWidth="1"/>
    <col min="2562" max="2562" width="12.28515625" customWidth="1"/>
    <col min="2563" max="2563" width="15.140625" customWidth="1"/>
    <col min="2564" max="2564" width="13" customWidth="1"/>
    <col min="2566" max="2566" width="11.5703125" customWidth="1"/>
    <col min="2567" max="2567" width="10.42578125" customWidth="1"/>
    <col min="2574" max="2574" width="20.7109375" customWidth="1"/>
    <col min="2817" max="2817" width="13.7109375" customWidth="1"/>
    <col min="2818" max="2818" width="12.28515625" customWidth="1"/>
    <col min="2819" max="2819" width="15.140625" customWidth="1"/>
    <col min="2820" max="2820" width="13" customWidth="1"/>
    <col min="2822" max="2822" width="11.5703125" customWidth="1"/>
    <col min="2823" max="2823" width="10.42578125" customWidth="1"/>
    <col min="2830" max="2830" width="20.7109375" customWidth="1"/>
    <col min="3073" max="3073" width="13.7109375" customWidth="1"/>
    <col min="3074" max="3074" width="12.28515625" customWidth="1"/>
    <col min="3075" max="3075" width="15.140625" customWidth="1"/>
    <col min="3076" max="3076" width="13" customWidth="1"/>
    <col min="3078" max="3078" width="11.5703125" customWidth="1"/>
    <col min="3079" max="3079" width="10.42578125" customWidth="1"/>
    <col min="3086" max="3086" width="20.7109375" customWidth="1"/>
    <col min="3329" max="3329" width="13.7109375" customWidth="1"/>
    <col min="3330" max="3330" width="12.28515625" customWidth="1"/>
    <col min="3331" max="3331" width="15.140625" customWidth="1"/>
    <col min="3332" max="3332" width="13" customWidth="1"/>
    <col min="3334" max="3334" width="11.5703125" customWidth="1"/>
    <col min="3335" max="3335" width="10.42578125" customWidth="1"/>
    <col min="3342" max="3342" width="20.7109375" customWidth="1"/>
    <col min="3585" max="3585" width="13.7109375" customWidth="1"/>
    <col min="3586" max="3586" width="12.28515625" customWidth="1"/>
    <col min="3587" max="3587" width="15.140625" customWidth="1"/>
    <col min="3588" max="3588" width="13" customWidth="1"/>
    <col min="3590" max="3590" width="11.5703125" customWidth="1"/>
    <col min="3591" max="3591" width="10.42578125" customWidth="1"/>
    <col min="3598" max="3598" width="20.7109375" customWidth="1"/>
    <col min="3841" max="3841" width="13.7109375" customWidth="1"/>
    <col min="3842" max="3842" width="12.28515625" customWidth="1"/>
    <col min="3843" max="3843" width="15.140625" customWidth="1"/>
    <col min="3844" max="3844" width="13" customWidth="1"/>
    <col min="3846" max="3846" width="11.5703125" customWidth="1"/>
    <col min="3847" max="3847" width="10.42578125" customWidth="1"/>
    <col min="3854" max="3854" width="20.7109375" customWidth="1"/>
    <col min="4097" max="4097" width="13.7109375" customWidth="1"/>
    <col min="4098" max="4098" width="12.28515625" customWidth="1"/>
    <col min="4099" max="4099" width="15.140625" customWidth="1"/>
    <col min="4100" max="4100" width="13" customWidth="1"/>
    <col min="4102" max="4102" width="11.5703125" customWidth="1"/>
    <col min="4103" max="4103" width="10.42578125" customWidth="1"/>
    <col min="4110" max="4110" width="20.7109375" customWidth="1"/>
    <col min="4353" max="4353" width="13.7109375" customWidth="1"/>
    <col min="4354" max="4354" width="12.28515625" customWidth="1"/>
    <col min="4355" max="4355" width="15.140625" customWidth="1"/>
    <col min="4356" max="4356" width="13" customWidth="1"/>
    <col min="4358" max="4358" width="11.5703125" customWidth="1"/>
    <col min="4359" max="4359" width="10.42578125" customWidth="1"/>
    <col min="4366" max="4366" width="20.7109375" customWidth="1"/>
    <col min="4609" max="4609" width="13.7109375" customWidth="1"/>
    <col min="4610" max="4610" width="12.28515625" customWidth="1"/>
    <col min="4611" max="4611" width="15.140625" customWidth="1"/>
    <col min="4612" max="4612" width="13" customWidth="1"/>
    <col min="4614" max="4614" width="11.5703125" customWidth="1"/>
    <col min="4615" max="4615" width="10.42578125" customWidth="1"/>
    <col min="4622" max="4622" width="20.7109375" customWidth="1"/>
    <col min="4865" max="4865" width="13.7109375" customWidth="1"/>
    <col min="4866" max="4866" width="12.28515625" customWidth="1"/>
    <col min="4867" max="4867" width="15.140625" customWidth="1"/>
    <col min="4868" max="4868" width="13" customWidth="1"/>
    <col min="4870" max="4870" width="11.5703125" customWidth="1"/>
    <col min="4871" max="4871" width="10.42578125" customWidth="1"/>
    <col min="4878" max="4878" width="20.7109375" customWidth="1"/>
    <col min="5121" max="5121" width="13.7109375" customWidth="1"/>
    <col min="5122" max="5122" width="12.28515625" customWidth="1"/>
    <col min="5123" max="5123" width="15.140625" customWidth="1"/>
    <col min="5124" max="5124" width="13" customWidth="1"/>
    <col min="5126" max="5126" width="11.5703125" customWidth="1"/>
    <col min="5127" max="5127" width="10.42578125" customWidth="1"/>
    <col min="5134" max="5134" width="20.7109375" customWidth="1"/>
    <col min="5377" max="5377" width="13.7109375" customWidth="1"/>
    <col min="5378" max="5378" width="12.28515625" customWidth="1"/>
    <col min="5379" max="5379" width="15.140625" customWidth="1"/>
    <col min="5380" max="5380" width="13" customWidth="1"/>
    <col min="5382" max="5382" width="11.5703125" customWidth="1"/>
    <col min="5383" max="5383" width="10.42578125" customWidth="1"/>
    <col min="5390" max="5390" width="20.7109375" customWidth="1"/>
    <col min="5633" max="5633" width="13.7109375" customWidth="1"/>
    <col min="5634" max="5634" width="12.28515625" customWidth="1"/>
    <col min="5635" max="5635" width="15.140625" customWidth="1"/>
    <col min="5636" max="5636" width="13" customWidth="1"/>
    <col min="5638" max="5638" width="11.5703125" customWidth="1"/>
    <col min="5639" max="5639" width="10.42578125" customWidth="1"/>
    <col min="5646" max="5646" width="20.7109375" customWidth="1"/>
    <col min="5889" max="5889" width="13.7109375" customWidth="1"/>
    <col min="5890" max="5890" width="12.28515625" customWidth="1"/>
    <col min="5891" max="5891" width="15.140625" customWidth="1"/>
    <col min="5892" max="5892" width="13" customWidth="1"/>
    <col min="5894" max="5894" width="11.5703125" customWidth="1"/>
    <col min="5895" max="5895" width="10.42578125" customWidth="1"/>
    <col min="5902" max="5902" width="20.7109375" customWidth="1"/>
    <col min="6145" max="6145" width="13.7109375" customWidth="1"/>
    <col min="6146" max="6146" width="12.28515625" customWidth="1"/>
    <col min="6147" max="6147" width="15.140625" customWidth="1"/>
    <col min="6148" max="6148" width="13" customWidth="1"/>
    <col min="6150" max="6150" width="11.5703125" customWidth="1"/>
    <col min="6151" max="6151" width="10.42578125" customWidth="1"/>
    <col min="6158" max="6158" width="20.7109375" customWidth="1"/>
    <col min="6401" max="6401" width="13.7109375" customWidth="1"/>
    <col min="6402" max="6402" width="12.28515625" customWidth="1"/>
    <col min="6403" max="6403" width="15.140625" customWidth="1"/>
    <col min="6404" max="6404" width="13" customWidth="1"/>
    <col min="6406" max="6406" width="11.5703125" customWidth="1"/>
    <col min="6407" max="6407" width="10.42578125" customWidth="1"/>
    <col min="6414" max="6414" width="20.7109375" customWidth="1"/>
    <col min="6657" max="6657" width="13.7109375" customWidth="1"/>
    <col min="6658" max="6658" width="12.28515625" customWidth="1"/>
    <col min="6659" max="6659" width="15.140625" customWidth="1"/>
    <col min="6660" max="6660" width="13" customWidth="1"/>
    <col min="6662" max="6662" width="11.5703125" customWidth="1"/>
    <col min="6663" max="6663" width="10.42578125" customWidth="1"/>
    <col min="6670" max="6670" width="20.7109375" customWidth="1"/>
    <col min="6913" max="6913" width="13.7109375" customWidth="1"/>
    <col min="6914" max="6914" width="12.28515625" customWidth="1"/>
    <col min="6915" max="6915" width="15.140625" customWidth="1"/>
    <col min="6916" max="6916" width="13" customWidth="1"/>
    <col min="6918" max="6918" width="11.5703125" customWidth="1"/>
    <col min="6919" max="6919" width="10.42578125" customWidth="1"/>
    <col min="6926" max="6926" width="20.7109375" customWidth="1"/>
    <col min="7169" max="7169" width="13.7109375" customWidth="1"/>
    <col min="7170" max="7170" width="12.28515625" customWidth="1"/>
    <col min="7171" max="7171" width="15.140625" customWidth="1"/>
    <col min="7172" max="7172" width="13" customWidth="1"/>
    <col min="7174" max="7174" width="11.5703125" customWidth="1"/>
    <col min="7175" max="7175" width="10.42578125" customWidth="1"/>
    <col min="7182" max="7182" width="20.7109375" customWidth="1"/>
    <col min="7425" max="7425" width="13.7109375" customWidth="1"/>
    <col min="7426" max="7426" width="12.28515625" customWidth="1"/>
    <col min="7427" max="7427" width="15.140625" customWidth="1"/>
    <col min="7428" max="7428" width="13" customWidth="1"/>
    <col min="7430" max="7430" width="11.5703125" customWidth="1"/>
    <col min="7431" max="7431" width="10.42578125" customWidth="1"/>
    <col min="7438" max="7438" width="20.7109375" customWidth="1"/>
    <col min="7681" max="7681" width="13.7109375" customWidth="1"/>
    <col min="7682" max="7682" width="12.28515625" customWidth="1"/>
    <col min="7683" max="7683" width="15.140625" customWidth="1"/>
    <col min="7684" max="7684" width="13" customWidth="1"/>
    <col min="7686" max="7686" width="11.5703125" customWidth="1"/>
    <col min="7687" max="7687" width="10.42578125" customWidth="1"/>
    <col min="7694" max="7694" width="20.7109375" customWidth="1"/>
    <col min="7937" max="7937" width="13.7109375" customWidth="1"/>
    <col min="7938" max="7938" width="12.28515625" customWidth="1"/>
    <col min="7939" max="7939" width="15.140625" customWidth="1"/>
    <col min="7940" max="7940" width="13" customWidth="1"/>
    <col min="7942" max="7942" width="11.5703125" customWidth="1"/>
    <col min="7943" max="7943" width="10.42578125" customWidth="1"/>
    <col min="7950" max="7950" width="20.7109375" customWidth="1"/>
    <col min="8193" max="8193" width="13.7109375" customWidth="1"/>
    <col min="8194" max="8194" width="12.28515625" customWidth="1"/>
    <col min="8195" max="8195" width="15.140625" customWidth="1"/>
    <col min="8196" max="8196" width="13" customWidth="1"/>
    <col min="8198" max="8198" width="11.5703125" customWidth="1"/>
    <col min="8199" max="8199" width="10.42578125" customWidth="1"/>
    <col min="8206" max="8206" width="20.7109375" customWidth="1"/>
    <col min="8449" max="8449" width="13.7109375" customWidth="1"/>
    <col min="8450" max="8450" width="12.28515625" customWidth="1"/>
    <col min="8451" max="8451" width="15.140625" customWidth="1"/>
    <col min="8452" max="8452" width="13" customWidth="1"/>
    <col min="8454" max="8454" width="11.5703125" customWidth="1"/>
    <col min="8455" max="8455" width="10.42578125" customWidth="1"/>
    <col min="8462" max="8462" width="20.7109375" customWidth="1"/>
    <col min="8705" max="8705" width="13.7109375" customWidth="1"/>
    <col min="8706" max="8706" width="12.28515625" customWidth="1"/>
    <col min="8707" max="8707" width="15.140625" customWidth="1"/>
    <col min="8708" max="8708" width="13" customWidth="1"/>
    <col min="8710" max="8710" width="11.5703125" customWidth="1"/>
    <col min="8711" max="8711" width="10.42578125" customWidth="1"/>
    <col min="8718" max="8718" width="20.7109375" customWidth="1"/>
    <col min="8961" max="8961" width="13.7109375" customWidth="1"/>
    <col min="8962" max="8962" width="12.28515625" customWidth="1"/>
    <col min="8963" max="8963" width="15.140625" customWidth="1"/>
    <col min="8964" max="8964" width="13" customWidth="1"/>
    <col min="8966" max="8966" width="11.5703125" customWidth="1"/>
    <col min="8967" max="8967" width="10.42578125" customWidth="1"/>
    <col min="8974" max="8974" width="20.7109375" customWidth="1"/>
    <col min="9217" max="9217" width="13.7109375" customWidth="1"/>
    <col min="9218" max="9218" width="12.28515625" customWidth="1"/>
    <col min="9219" max="9219" width="15.140625" customWidth="1"/>
    <col min="9220" max="9220" width="13" customWidth="1"/>
    <col min="9222" max="9222" width="11.5703125" customWidth="1"/>
    <col min="9223" max="9223" width="10.42578125" customWidth="1"/>
    <col min="9230" max="9230" width="20.7109375" customWidth="1"/>
    <col min="9473" max="9473" width="13.7109375" customWidth="1"/>
    <col min="9474" max="9474" width="12.28515625" customWidth="1"/>
    <col min="9475" max="9475" width="15.140625" customWidth="1"/>
    <col min="9476" max="9476" width="13" customWidth="1"/>
    <col min="9478" max="9478" width="11.5703125" customWidth="1"/>
    <col min="9479" max="9479" width="10.42578125" customWidth="1"/>
    <col min="9486" max="9486" width="20.7109375" customWidth="1"/>
    <col min="9729" max="9729" width="13.7109375" customWidth="1"/>
    <col min="9730" max="9730" width="12.28515625" customWidth="1"/>
    <col min="9731" max="9731" width="15.140625" customWidth="1"/>
    <col min="9732" max="9732" width="13" customWidth="1"/>
    <col min="9734" max="9734" width="11.5703125" customWidth="1"/>
    <col min="9735" max="9735" width="10.42578125" customWidth="1"/>
    <col min="9742" max="9742" width="20.7109375" customWidth="1"/>
    <col min="9985" max="9985" width="13.7109375" customWidth="1"/>
    <col min="9986" max="9986" width="12.28515625" customWidth="1"/>
    <col min="9987" max="9987" width="15.140625" customWidth="1"/>
    <col min="9988" max="9988" width="13" customWidth="1"/>
    <col min="9990" max="9990" width="11.5703125" customWidth="1"/>
    <col min="9991" max="9991" width="10.42578125" customWidth="1"/>
    <col min="9998" max="9998" width="20.7109375" customWidth="1"/>
    <col min="10241" max="10241" width="13.7109375" customWidth="1"/>
    <col min="10242" max="10242" width="12.28515625" customWidth="1"/>
    <col min="10243" max="10243" width="15.140625" customWidth="1"/>
    <col min="10244" max="10244" width="13" customWidth="1"/>
    <col min="10246" max="10246" width="11.5703125" customWidth="1"/>
    <col min="10247" max="10247" width="10.42578125" customWidth="1"/>
    <col min="10254" max="10254" width="20.7109375" customWidth="1"/>
    <col min="10497" max="10497" width="13.7109375" customWidth="1"/>
    <col min="10498" max="10498" width="12.28515625" customWidth="1"/>
    <col min="10499" max="10499" width="15.140625" customWidth="1"/>
    <col min="10500" max="10500" width="13" customWidth="1"/>
    <col min="10502" max="10502" width="11.5703125" customWidth="1"/>
    <col min="10503" max="10503" width="10.42578125" customWidth="1"/>
    <col min="10510" max="10510" width="20.7109375" customWidth="1"/>
    <col min="10753" max="10753" width="13.7109375" customWidth="1"/>
    <col min="10754" max="10754" width="12.28515625" customWidth="1"/>
    <col min="10755" max="10755" width="15.140625" customWidth="1"/>
    <col min="10756" max="10756" width="13" customWidth="1"/>
    <col min="10758" max="10758" width="11.5703125" customWidth="1"/>
    <col min="10759" max="10759" width="10.42578125" customWidth="1"/>
    <col min="10766" max="10766" width="20.7109375" customWidth="1"/>
    <col min="11009" max="11009" width="13.7109375" customWidth="1"/>
    <col min="11010" max="11010" width="12.28515625" customWidth="1"/>
    <col min="11011" max="11011" width="15.140625" customWidth="1"/>
    <col min="11012" max="11012" width="13" customWidth="1"/>
    <col min="11014" max="11014" width="11.5703125" customWidth="1"/>
    <col min="11015" max="11015" width="10.42578125" customWidth="1"/>
    <col min="11022" max="11022" width="20.7109375" customWidth="1"/>
    <col min="11265" max="11265" width="13.7109375" customWidth="1"/>
    <col min="11266" max="11266" width="12.28515625" customWidth="1"/>
    <col min="11267" max="11267" width="15.140625" customWidth="1"/>
    <col min="11268" max="11268" width="13" customWidth="1"/>
    <col min="11270" max="11270" width="11.5703125" customWidth="1"/>
    <col min="11271" max="11271" width="10.42578125" customWidth="1"/>
    <col min="11278" max="11278" width="20.7109375" customWidth="1"/>
    <col min="11521" max="11521" width="13.7109375" customWidth="1"/>
    <col min="11522" max="11522" width="12.28515625" customWidth="1"/>
    <col min="11523" max="11523" width="15.140625" customWidth="1"/>
    <col min="11524" max="11524" width="13" customWidth="1"/>
    <col min="11526" max="11526" width="11.5703125" customWidth="1"/>
    <col min="11527" max="11527" width="10.42578125" customWidth="1"/>
    <col min="11534" max="11534" width="20.7109375" customWidth="1"/>
    <col min="11777" max="11777" width="13.7109375" customWidth="1"/>
    <col min="11778" max="11778" width="12.28515625" customWidth="1"/>
    <col min="11779" max="11779" width="15.140625" customWidth="1"/>
    <col min="11780" max="11780" width="13" customWidth="1"/>
    <col min="11782" max="11782" width="11.5703125" customWidth="1"/>
    <col min="11783" max="11783" width="10.42578125" customWidth="1"/>
    <col min="11790" max="11790" width="20.7109375" customWidth="1"/>
    <col min="12033" max="12033" width="13.7109375" customWidth="1"/>
    <col min="12034" max="12034" width="12.28515625" customWidth="1"/>
    <col min="12035" max="12035" width="15.140625" customWidth="1"/>
    <col min="12036" max="12036" width="13" customWidth="1"/>
    <col min="12038" max="12038" width="11.5703125" customWidth="1"/>
    <col min="12039" max="12039" width="10.42578125" customWidth="1"/>
    <col min="12046" max="12046" width="20.7109375" customWidth="1"/>
    <col min="12289" max="12289" width="13.7109375" customWidth="1"/>
    <col min="12290" max="12290" width="12.28515625" customWidth="1"/>
    <col min="12291" max="12291" width="15.140625" customWidth="1"/>
    <col min="12292" max="12292" width="13" customWidth="1"/>
    <col min="12294" max="12294" width="11.5703125" customWidth="1"/>
    <col min="12295" max="12295" width="10.42578125" customWidth="1"/>
    <col min="12302" max="12302" width="20.7109375" customWidth="1"/>
    <col min="12545" max="12545" width="13.7109375" customWidth="1"/>
    <col min="12546" max="12546" width="12.28515625" customWidth="1"/>
    <col min="12547" max="12547" width="15.140625" customWidth="1"/>
    <col min="12548" max="12548" width="13" customWidth="1"/>
    <col min="12550" max="12550" width="11.5703125" customWidth="1"/>
    <col min="12551" max="12551" width="10.42578125" customWidth="1"/>
    <col min="12558" max="12558" width="20.7109375" customWidth="1"/>
    <col min="12801" max="12801" width="13.7109375" customWidth="1"/>
    <col min="12802" max="12802" width="12.28515625" customWidth="1"/>
    <col min="12803" max="12803" width="15.140625" customWidth="1"/>
    <col min="12804" max="12804" width="13" customWidth="1"/>
    <col min="12806" max="12806" width="11.5703125" customWidth="1"/>
    <col min="12807" max="12807" width="10.42578125" customWidth="1"/>
    <col min="12814" max="12814" width="20.7109375" customWidth="1"/>
    <col min="13057" max="13057" width="13.7109375" customWidth="1"/>
    <col min="13058" max="13058" width="12.28515625" customWidth="1"/>
    <col min="13059" max="13059" width="15.140625" customWidth="1"/>
    <col min="13060" max="13060" width="13" customWidth="1"/>
    <col min="13062" max="13062" width="11.5703125" customWidth="1"/>
    <col min="13063" max="13063" width="10.42578125" customWidth="1"/>
    <col min="13070" max="13070" width="20.7109375" customWidth="1"/>
    <col min="13313" max="13313" width="13.7109375" customWidth="1"/>
    <col min="13314" max="13314" width="12.28515625" customWidth="1"/>
    <col min="13315" max="13315" width="15.140625" customWidth="1"/>
    <col min="13316" max="13316" width="13" customWidth="1"/>
    <col min="13318" max="13318" width="11.5703125" customWidth="1"/>
    <col min="13319" max="13319" width="10.42578125" customWidth="1"/>
    <col min="13326" max="13326" width="20.7109375" customWidth="1"/>
    <col min="13569" max="13569" width="13.7109375" customWidth="1"/>
    <col min="13570" max="13570" width="12.28515625" customWidth="1"/>
    <col min="13571" max="13571" width="15.140625" customWidth="1"/>
    <col min="13572" max="13572" width="13" customWidth="1"/>
    <col min="13574" max="13574" width="11.5703125" customWidth="1"/>
    <col min="13575" max="13575" width="10.42578125" customWidth="1"/>
    <col min="13582" max="13582" width="20.7109375" customWidth="1"/>
    <col min="13825" max="13825" width="13.7109375" customWidth="1"/>
    <col min="13826" max="13826" width="12.28515625" customWidth="1"/>
    <col min="13827" max="13827" width="15.140625" customWidth="1"/>
    <col min="13828" max="13828" width="13" customWidth="1"/>
    <col min="13830" max="13830" width="11.5703125" customWidth="1"/>
    <col min="13831" max="13831" width="10.42578125" customWidth="1"/>
    <col min="13838" max="13838" width="20.7109375" customWidth="1"/>
    <col min="14081" max="14081" width="13.7109375" customWidth="1"/>
    <col min="14082" max="14082" width="12.28515625" customWidth="1"/>
    <col min="14083" max="14083" width="15.140625" customWidth="1"/>
    <col min="14084" max="14084" width="13" customWidth="1"/>
    <col min="14086" max="14086" width="11.5703125" customWidth="1"/>
    <col min="14087" max="14087" width="10.42578125" customWidth="1"/>
    <col min="14094" max="14094" width="20.7109375" customWidth="1"/>
    <col min="14337" max="14337" width="13.7109375" customWidth="1"/>
    <col min="14338" max="14338" width="12.28515625" customWidth="1"/>
    <col min="14339" max="14339" width="15.140625" customWidth="1"/>
    <col min="14340" max="14340" width="13" customWidth="1"/>
    <col min="14342" max="14342" width="11.5703125" customWidth="1"/>
    <col min="14343" max="14343" width="10.42578125" customWidth="1"/>
    <col min="14350" max="14350" width="20.7109375" customWidth="1"/>
    <col min="14593" max="14593" width="13.7109375" customWidth="1"/>
    <col min="14594" max="14594" width="12.28515625" customWidth="1"/>
    <col min="14595" max="14595" width="15.140625" customWidth="1"/>
    <col min="14596" max="14596" width="13" customWidth="1"/>
    <col min="14598" max="14598" width="11.5703125" customWidth="1"/>
    <col min="14599" max="14599" width="10.42578125" customWidth="1"/>
    <col min="14606" max="14606" width="20.7109375" customWidth="1"/>
    <col min="14849" max="14849" width="13.7109375" customWidth="1"/>
    <col min="14850" max="14850" width="12.28515625" customWidth="1"/>
    <col min="14851" max="14851" width="15.140625" customWidth="1"/>
    <col min="14852" max="14852" width="13" customWidth="1"/>
    <col min="14854" max="14854" width="11.5703125" customWidth="1"/>
    <col min="14855" max="14855" width="10.42578125" customWidth="1"/>
    <col min="14862" max="14862" width="20.7109375" customWidth="1"/>
    <col min="15105" max="15105" width="13.7109375" customWidth="1"/>
    <col min="15106" max="15106" width="12.28515625" customWidth="1"/>
    <col min="15107" max="15107" width="15.140625" customWidth="1"/>
    <col min="15108" max="15108" width="13" customWidth="1"/>
    <col min="15110" max="15110" width="11.5703125" customWidth="1"/>
    <col min="15111" max="15111" width="10.42578125" customWidth="1"/>
    <col min="15118" max="15118" width="20.7109375" customWidth="1"/>
    <col min="15361" max="15361" width="13.7109375" customWidth="1"/>
    <col min="15362" max="15362" width="12.28515625" customWidth="1"/>
    <col min="15363" max="15363" width="15.140625" customWidth="1"/>
    <col min="15364" max="15364" width="13" customWidth="1"/>
    <col min="15366" max="15366" width="11.5703125" customWidth="1"/>
    <col min="15367" max="15367" width="10.42578125" customWidth="1"/>
    <col min="15374" max="15374" width="20.7109375" customWidth="1"/>
    <col min="15617" max="15617" width="13.7109375" customWidth="1"/>
    <col min="15618" max="15618" width="12.28515625" customWidth="1"/>
    <col min="15619" max="15619" width="15.140625" customWidth="1"/>
    <col min="15620" max="15620" width="13" customWidth="1"/>
    <col min="15622" max="15622" width="11.5703125" customWidth="1"/>
    <col min="15623" max="15623" width="10.42578125" customWidth="1"/>
    <col min="15630" max="15630" width="20.7109375" customWidth="1"/>
    <col min="15873" max="15873" width="13.7109375" customWidth="1"/>
    <col min="15874" max="15874" width="12.28515625" customWidth="1"/>
    <col min="15875" max="15875" width="15.140625" customWidth="1"/>
    <col min="15876" max="15876" width="13" customWidth="1"/>
    <col min="15878" max="15878" width="11.5703125" customWidth="1"/>
    <col min="15879" max="15879" width="10.42578125" customWidth="1"/>
    <col min="15886" max="15886" width="20.7109375" customWidth="1"/>
    <col min="16129" max="16129" width="13.7109375" customWidth="1"/>
    <col min="16130" max="16130" width="12.28515625" customWidth="1"/>
    <col min="16131" max="16131" width="15.140625" customWidth="1"/>
    <col min="16132" max="16132" width="13" customWidth="1"/>
    <col min="16134" max="16134" width="11.5703125" customWidth="1"/>
    <col min="16135" max="16135" width="10.42578125" customWidth="1"/>
    <col min="16142" max="16142" width="20.7109375" customWidth="1"/>
  </cols>
  <sheetData>
    <row r="1" spans="1:22" ht="42" customHeight="1" thickBot="1" x14ac:dyDescent="0.3">
      <c r="A1" s="219" t="s">
        <v>66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</row>
    <row r="2" spans="1:22" ht="22.5" customHeight="1" thickBot="1" x14ac:dyDescent="0.3">
      <c r="A2" s="223" t="s">
        <v>83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</row>
    <row r="3" spans="1:22" ht="25.5" thickBot="1" x14ac:dyDescent="0.7">
      <c r="A3" s="64" t="s">
        <v>67</v>
      </c>
      <c r="B3" s="29" t="s">
        <v>3</v>
      </c>
      <c r="C3" s="29" t="s">
        <v>4</v>
      </c>
      <c r="D3" s="29" t="s">
        <v>5</v>
      </c>
      <c r="E3" s="29" t="s">
        <v>6</v>
      </c>
      <c r="F3" s="29" t="s">
        <v>7</v>
      </c>
      <c r="G3" s="29" t="s">
        <v>41</v>
      </c>
      <c r="H3" s="29" t="s">
        <v>42</v>
      </c>
      <c r="I3" s="29" t="s">
        <v>10</v>
      </c>
      <c r="J3" s="29" t="s">
        <v>11</v>
      </c>
      <c r="K3" s="29" t="s">
        <v>12</v>
      </c>
      <c r="L3" s="29" t="s">
        <v>21</v>
      </c>
      <c r="M3" s="65" t="s">
        <v>14</v>
      </c>
      <c r="N3" s="29" t="s">
        <v>68</v>
      </c>
      <c r="O3" s="1"/>
      <c r="P3" s="1"/>
      <c r="Q3" s="1"/>
      <c r="R3" s="1"/>
      <c r="S3" s="1"/>
      <c r="T3" s="1"/>
      <c r="U3" s="1"/>
      <c r="V3" s="1"/>
    </row>
    <row r="4" spans="1:22" ht="24.75" x14ac:dyDescent="0.65">
      <c r="A4" s="39">
        <v>2003</v>
      </c>
      <c r="B4" s="10"/>
      <c r="C4" s="10"/>
      <c r="D4" s="10"/>
      <c r="E4" s="10"/>
      <c r="F4" s="10"/>
      <c r="G4" s="10"/>
      <c r="H4" s="10"/>
      <c r="I4" s="10"/>
      <c r="J4" s="10"/>
      <c r="K4" s="40">
        <v>1948.5714285714287</v>
      </c>
      <c r="L4" s="40">
        <v>1975.2380952380952</v>
      </c>
      <c r="M4" s="41">
        <v>1764.2592592592594</v>
      </c>
      <c r="N4" s="42">
        <f>AVERAGE(B4:M4)</f>
        <v>1896.0229276895943</v>
      </c>
      <c r="O4" s="18"/>
      <c r="P4" s="1"/>
      <c r="Q4" s="1"/>
      <c r="R4" s="1"/>
      <c r="S4" s="1"/>
      <c r="T4" s="1"/>
      <c r="U4" s="1"/>
      <c r="V4" s="1"/>
    </row>
    <row r="5" spans="1:22" ht="21.75" customHeight="1" x14ac:dyDescent="0.65">
      <c r="A5" s="43">
        <v>2004</v>
      </c>
      <c r="B5" s="44">
        <v>1486.8</v>
      </c>
      <c r="C5" s="44">
        <v>1413.0555555555557</v>
      </c>
      <c r="D5" s="44">
        <v>1418.5416666666667</v>
      </c>
      <c r="E5" s="44">
        <v>1440</v>
      </c>
      <c r="F5" s="44">
        <v>1461.2</v>
      </c>
      <c r="G5" s="44">
        <v>1458</v>
      </c>
      <c r="H5" s="44">
        <v>1460</v>
      </c>
      <c r="I5" s="45">
        <v>1460</v>
      </c>
      <c r="J5" s="44">
        <v>1460.5769230769231</v>
      </c>
      <c r="K5" s="44">
        <v>1460</v>
      </c>
      <c r="L5" s="44">
        <v>1460</v>
      </c>
      <c r="M5" s="44">
        <v>1460</v>
      </c>
      <c r="N5" s="46">
        <f>AVERAGE(B5:M5)</f>
        <v>1453.1811787749291</v>
      </c>
      <c r="O5" s="47"/>
    </row>
    <row r="6" spans="1:22" ht="24.75" x14ac:dyDescent="0.65">
      <c r="A6" s="43">
        <v>2005</v>
      </c>
      <c r="B6" s="44">
        <v>1460</v>
      </c>
      <c r="C6" s="44">
        <v>1460</v>
      </c>
      <c r="D6" s="44">
        <v>1460.6818181818182</v>
      </c>
      <c r="E6" s="44">
        <v>1465.2631578947369</v>
      </c>
      <c r="F6" s="44">
        <v>1468.9545454545455</v>
      </c>
      <c r="G6" s="44">
        <v>1465.2857142857142</v>
      </c>
      <c r="H6" s="44">
        <v>1472.4736842105262</v>
      </c>
      <c r="I6" s="44">
        <v>1476.608695652174</v>
      </c>
      <c r="J6" s="44">
        <v>1475.952380952381</v>
      </c>
      <c r="K6" s="44">
        <v>1471.4</v>
      </c>
      <c r="L6" s="44">
        <v>1474.2</v>
      </c>
      <c r="M6" s="44">
        <v>1474.2941176470588</v>
      </c>
      <c r="N6" s="46">
        <f t="shared" ref="N6:N18" si="0">AVERAGE(B6:M6)</f>
        <v>1468.7595095232464</v>
      </c>
    </row>
    <row r="7" spans="1:22" ht="24.75" x14ac:dyDescent="0.65">
      <c r="A7" s="43">
        <v>2006</v>
      </c>
      <c r="B7" s="44">
        <v>1478.6875</v>
      </c>
      <c r="C7" s="44">
        <v>1476.7058823529412</v>
      </c>
      <c r="D7" s="44">
        <v>1476.5</v>
      </c>
      <c r="E7" s="44">
        <v>1477.6315789473683</v>
      </c>
      <c r="F7" s="44">
        <v>1477.2727272727273</v>
      </c>
      <c r="G7" s="44">
        <v>1476.6190476190477</v>
      </c>
      <c r="H7" s="44">
        <v>1476.7272727272727</v>
      </c>
      <c r="I7" s="44">
        <v>1477.0454545454545</v>
      </c>
      <c r="J7" s="44">
        <v>1474.8</v>
      </c>
      <c r="K7" s="44">
        <v>1471.2105263157894</v>
      </c>
      <c r="L7" s="44">
        <v>1453.4736842105262</v>
      </c>
      <c r="M7" s="44">
        <v>1390.5</v>
      </c>
      <c r="N7" s="46">
        <f t="shared" si="0"/>
        <v>1467.264472832594</v>
      </c>
    </row>
    <row r="8" spans="1:22" ht="24.75" x14ac:dyDescent="0.65">
      <c r="A8" s="43">
        <v>2007</v>
      </c>
      <c r="B8" s="44">
        <v>1303.6470588235295</v>
      </c>
      <c r="C8" s="44">
        <v>1285.5</v>
      </c>
      <c r="D8" s="44">
        <v>1277.25</v>
      </c>
      <c r="E8" s="44">
        <v>1271.4285714285713</v>
      </c>
      <c r="F8" s="44">
        <v>1261.6363636363637</v>
      </c>
      <c r="G8" s="44">
        <v>1256.4736842105262</v>
      </c>
      <c r="H8" s="44">
        <v>1248.5652173913043</v>
      </c>
      <c r="I8" s="44">
        <v>1239.6500000000001</v>
      </c>
      <c r="J8" s="44">
        <v>1235.3809523809523</v>
      </c>
      <c r="K8" s="44">
        <v>1232.3</v>
      </c>
      <c r="L8" s="44">
        <v>1226.952380952381</v>
      </c>
      <c r="M8" s="44">
        <v>1216.5294117647059</v>
      </c>
      <c r="N8" s="46">
        <f t="shared" si="0"/>
        <v>1254.6094700490278</v>
      </c>
    </row>
    <row r="9" spans="1:22" ht="24.75" x14ac:dyDescent="0.65">
      <c r="A9" s="43">
        <v>2008</v>
      </c>
      <c r="B9" s="44">
        <v>1213.6666666666667</v>
      </c>
      <c r="C9" s="44">
        <v>1210.2</v>
      </c>
      <c r="D9" s="44">
        <v>1208.45</v>
      </c>
      <c r="E9" s="44">
        <v>1203.4285714285713</v>
      </c>
      <c r="F9" s="44">
        <v>1199.5</v>
      </c>
      <c r="G9" s="44">
        <v>1196.6818181818182</v>
      </c>
      <c r="H9" s="44">
        <v>1193.0952380952381</v>
      </c>
      <c r="I9" s="44">
        <v>1186.952380952381</v>
      </c>
      <c r="J9" s="44">
        <v>1180.3333333333333</v>
      </c>
      <c r="K9" s="44">
        <v>1177.5263157894738</v>
      </c>
      <c r="L9" s="44">
        <v>1174.9047619047619</v>
      </c>
      <c r="M9" s="44">
        <v>1172.1764705882354</v>
      </c>
      <c r="N9" s="46">
        <f t="shared" si="0"/>
        <v>1193.0762964117068</v>
      </c>
    </row>
    <row r="10" spans="1:22" ht="24.75" x14ac:dyDescent="0.65">
      <c r="A10" s="43">
        <v>2009</v>
      </c>
      <c r="B10" s="44">
        <v>1170.4117647058824</v>
      </c>
      <c r="C10" s="44">
        <v>1170</v>
      </c>
      <c r="D10" s="44">
        <v>1170</v>
      </c>
      <c r="E10" s="44">
        <v>1170</v>
      </c>
      <c r="F10" s="44">
        <v>1170</v>
      </c>
      <c r="G10" s="44">
        <v>1170</v>
      </c>
      <c r="H10" s="44">
        <v>1170</v>
      </c>
      <c r="I10" s="44">
        <v>1170</v>
      </c>
      <c r="J10" s="44">
        <v>1170</v>
      </c>
      <c r="K10" s="44">
        <v>1170</v>
      </c>
      <c r="L10" s="44">
        <v>1170</v>
      </c>
      <c r="M10" s="44">
        <v>1170</v>
      </c>
      <c r="N10" s="46">
        <f t="shared" si="0"/>
        <v>1170.0343137254902</v>
      </c>
    </row>
    <row r="11" spans="1:22" ht="24.75" x14ac:dyDescent="0.65">
      <c r="A11" s="43">
        <v>2010</v>
      </c>
      <c r="B11" s="45">
        <v>1170</v>
      </c>
      <c r="C11" s="45">
        <v>1170</v>
      </c>
      <c r="D11" s="45">
        <v>1170</v>
      </c>
      <c r="E11" s="45">
        <v>1170</v>
      </c>
      <c r="F11" s="45">
        <v>1170</v>
      </c>
      <c r="G11" s="45">
        <v>1170</v>
      </c>
      <c r="H11" s="45">
        <v>1170</v>
      </c>
      <c r="I11" s="45">
        <v>1170</v>
      </c>
      <c r="J11" s="45">
        <v>1170</v>
      </c>
      <c r="K11" s="45">
        <v>1170</v>
      </c>
      <c r="L11" s="45">
        <v>1170</v>
      </c>
      <c r="M11" s="45">
        <v>1170</v>
      </c>
      <c r="N11" s="46">
        <f t="shared" si="0"/>
        <v>1170</v>
      </c>
    </row>
    <row r="12" spans="1:22" ht="24.75" x14ac:dyDescent="0.65">
      <c r="A12" s="43">
        <v>2011</v>
      </c>
      <c r="B12" s="45">
        <v>1170</v>
      </c>
      <c r="C12" s="45">
        <v>1170</v>
      </c>
      <c r="D12" s="45">
        <v>1170</v>
      </c>
      <c r="E12" s="45">
        <v>1170</v>
      </c>
      <c r="F12" s="45">
        <v>1170</v>
      </c>
      <c r="G12" s="45">
        <v>1170</v>
      </c>
      <c r="H12" s="45">
        <v>1170</v>
      </c>
      <c r="I12" s="45">
        <v>1170</v>
      </c>
      <c r="J12" s="45">
        <v>1170</v>
      </c>
      <c r="K12" s="45">
        <v>1170</v>
      </c>
      <c r="L12" s="45">
        <v>1170</v>
      </c>
      <c r="M12" s="45">
        <v>1170</v>
      </c>
      <c r="N12" s="46">
        <f t="shared" si="0"/>
        <v>1170</v>
      </c>
    </row>
    <row r="13" spans="1:22" ht="24.75" x14ac:dyDescent="0.65">
      <c r="A13" s="43">
        <v>2012</v>
      </c>
      <c r="B13" s="44">
        <v>1167.9047619047619</v>
      </c>
      <c r="C13" s="45">
        <v>1166</v>
      </c>
      <c r="D13" s="45">
        <v>1166</v>
      </c>
      <c r="E13" s="45">
        <v>1166</v>
      </c>
      <c r="F13" s="45">
        <v>1166</v>
      </c>
      <c r="G13" s="45">
        <v>1166</v>
      </c>
      <c r="H13" s="45">
        <v>1166</v>
      </c>
      <c r="I13" s="45">
        <v>1166</v>
      </c>
      <c r="J13" s="45">
        <v>1166</v>
      </c>
      <c r="K13" s="45">
        <v>1166</v>
      </c>
      <c r="L13" s="45">
        <v>1166</v>
      </c>
      <c r="M13" s="45">
        <v>1166</v>
      </c>
      <c r="N13" s="46">
        <f t="shared" si="0"/>
        <v>1166.1587301587301</v>
      </c>
    </row>
    <row r="14" spans="1:22" ht="24.75" x14ac:dyDescent="0.65">
      <c r="A14" s="43">
        <v>2013</v>
      </c>
      <c r="B14" s="45">
        <v>1166</v>
      </c>
      <c r="C14" s="45">
        <v>1166</v>
      </c>
      <c r="D14" s="45">
        <v>1166</v>
      </c>
      <c r="E14" s="45">
        <v>1166</v>
      </c>
      <c r="F14" s="45">
        <v>1166</v>
      </c>
      <c r="G14" s="45">
        <v>1166</v>
      </c>
      <c r="H14" s="45">
        <v>1166</v>
      </c>
      <c r="I14" s="45">
        <v>1166</v>
      </c>
      <c r="J14" s="45">
        <v>1166</v>
      </c>
      <c r="K14" s="45">
        <v>1166</v>
      </c>
      <c r="L14" s="45">
        <v>1166</v>
      </c>
      <c r="M14" s="45">
        <v>1166</v>
      </c>
      <c r="N14" s="46">
        <f t="shared" si="0"/>
        <v>1166</v>
      </c>
    </row>
    <row r="15" spans="1:22" ht="24.75" x14ac:dyDescent="0.65">
      <c r="A15" s="43">
        <v>2014</v>
      </c>
      <c r="B15" s="45">
        <v>1166</v>
      </c>
      <c r="C15" s="45">
        <v>1166</v>
      </c>
      <c r="D15" s="45">
        <v>1166</v>
      </c>
      <c r="E15" s="45">
        <v>1166</v>
      </c>
      <c r="F15" s="45">
        <v>1166</v>
      </c>
      <c r="G15" s="45">
        <v>1166</v>
      </c>
      <c r="H15" s="45">
        <v>1166</v>
      </c>
      <c r="I15" s="45">
        <v>1166</v>
      </c>
      <c r="J15" s="45">
        <v>1166</v>
      </c>
      <c r="K15" s="45">
        <v>1166</v>
      </c>
      <c r="L15" s="45">
        <v>1166</v>
      </c>
      <c r="M15" s="45">
        <v>1166</v>
      </c>
      <c r="N15" s="46">
        <f t="shared" si="0"/>
        <v>1166</v>
      </c>
    </row>
    <row r="16" spans="1:22" ht="24.75" x14ac:dyDescent="0.65">
      <c r="A16" s="43">
        <v>2015</v>
      </c>
      <c r="B16" s="45">
        <v>1166</v>
      </c>
      <c r="C16" s="45">
        <v>1166</v>
      </c>
      <c r="D16" s="45">
        <v>1166</v>
      </c>
      <c r="E16" s="45">
        <v>1166</v>
      </c>
      <c r="F16" s="45">
        <v>1166</v>
      </c>
      <c r="G16" s="45">
        <v>1166</v>
      </c>
      <c r="H16" s="45">
        <v>1166</v>
      </c>
      <c r="I16" s="45">
        <v>1166</v>
      </c>
      <c r="J16" s="45">
        <v>1166</v>
      </c>
      <c r="K16" s="45">
        <v>1166</v>
      </c>
      <c r="L16" s="45">
        <v>1166</v>
      </c>
      <c r="M16" s="45">
        <v>1182</v>
      </c>
      <c r="N16" s="46">
        <f t="shared" si="0"/>
        <v>1167.3333333333333</v>
      </c>
    </row>
    <row r="17" spans="1:14" ht="24.75" x14ac:dyDescent="0.65">
      <c r="A17" s="43">
        <v>2016</v>
      </c>
      <c r="B17" s="45">
        <v>1182</v>
      </c>
      <c r="C17" s="45">
        <v>1182</v>
      </c>
      <c r="D17" s="45">
        <v>1182</v>
      </c>
      <c r="E17" s="45">
        <v>1182</v>
      </c>
      <c r="F17" s="45">
        <v>1182</v>
      </c>
      <c r="G17" s="45">
        <v>1182</v>
      </c>
      <c r="H17" s="45">
        <v>1182</v>
      </c>
      <c r="I17" s="45">
        <v>1182</v>
      </c>
      <c r="J17" s="45">
        <v>1182</v>
      </c>
      <c r="K17" s="45">
        <v>1182</v>
      </c>
      <c r="L17" s="45">
        <v>1182</v>
      </c>
      <c r="M17" s="45">
        <v>1182</v>
      </c>
      <c r="N17" s="46">
        <f t="shared" si="0"/>
        <v>1182</v>
      </c>
    </row>
    <row r="18" spans="1:14" ht="24.75" x14ac:dyDescent="0.65">
      <c r="A18" s="43">
        <v>2017</v>
      </c>
      <c r="B18" s="45">
        <v>1184</v>
      </c>
      <c r="C18" s="45">
        <v>1184</v>
      </c>
      <c r="D18" s="45">
        <v>1184</v>
      </c>
      <c r="E18" s="45">
        <v>1184</v>
      </c>
      <c r="F18" s="45">
        <v>1184</v>
      </c>
      <c r="G18" s="45">
        <v>1184</v>
      </c>
      <c r="H18" s="45">
        <v>1184</v>
      </c>
      <c r="I18" s="45">
        <v>1184</v>
      </c>
      <c r="J18" s="45">
        <v>1184</v>
      </c>
      <c r="K18" s="45">
        <v>1184</v>
      </c>
      <c r="L18" s="45">
        <v>1184</v>
      </c>
      <c r="M18" s="45">
        <v>1184</v>
      </c>
      <c r="N18" s="46">
        <f t="shared" si="0"/>
        <v>1184</v>
      </c>
    </row>
    <row r="19" spans="1:14" s="48" customFormat="1" ht="24.75" x14ac:dyDescent="0.65">
      <c r="A19" s="43">
        <v>2018</v>
      </c>
      <c r="B19" s="44">
        <v>1184</v>
      </c>
      <c r="C19" s="44">
        <v>1184</v>
      </c>
      <c r="D19" s="44">
        <v>1184</v>
      </c>
      <c r="E19" s="44">
        <v>1184</v>
      </c>
      <c r="F19" s="45">
        <v>1183</v>
      </c>
      <c r="G19" s="45">
        <v>1182</v>
      </c>
      <c r="H19" s="45">
        <v>1182</v>
      </c>
      <c r="I19" s="45">
        <v>1182</v>
      </c>
      <c r="J19" s="45">
        <v>1182</v>
      </c>
      <c r="K19" s="45">
        <v>1182</v>
      </c>
      <c r="L19" s="45">
        <v>1182</v>
      </c>
      <c r="M19" s="45">
        <v>1182</v>
      </c>
      <c r="N19" s="46">
        <f t="shared" ref="N19:N23" si="1">AVERAGE(B19:M19)</f>
        <v>1182.75</v>
      </c>
    </row>
    <row r="20" spans="1:14" s="48" customFormat="1" ht="24.75" x14ac:dyDescent="0.65">
      <c r="A20" s="49">
        <v>2019</v>
      </c>
      <c r="B20" s="44">
        <v>1182</v>
      </c>
      <c r="C20" s="44">
        <v>1182</v>
      </c>
      <c r="D20" s="44">
        <v>1182</v>
      </c>
      <c r="E20" s="44">
        <v>1182</v>
      </c>
      <c r="F20" s="44">
        <v>1182</v>
      </c>
      <c r="G20" s="44">
        <v>1182</v>
      </c>
      <c r="H20" s="44">
        <v>1182</v>
      </c>
      <c r="I20" s="44">
        <v>1182</v>
      </c>
      <c r="J20" s="44">
        <v>1182</v>
      </c>
      <c r="K20" s="44">
        <v>1182</v>
      </c>
      <c r="L20" s="44">
        <v>1182</v>
      </c>
      <c r="M20" s="44">
        <v>1182</v>
      </c>
      <c r="N20" s="46">
        <f t="shared" si="1"/>
        <v>1182</v>
      </c>
    </row>
    <row r="21" spans="1:14" s="48" customFormat="1" ht="21.75" customHeight="1" x14ac:dyDescent="0.65">
      <c r="A21" s="43">
        <v>2020</v>
      </c>
      <c r="B21" s="44">
        <v>1182</v>
      </c>
      <c r="C21" s="44">
        <v>1182</v>
      </c>
      <c r="D21" s="44">
        <v>1182</v>
      </c>
      <c r="E21" s="44">
        <v>1182</v>
      </c>
      <c r="F21" s="45">
        <v>1182</v>
      </c>
      <c r="G21" s="45">
        <v>1182</v>
      </c>
      <c r="H21" s="45">
        <v>1182</v>
      </c>
      <c r="I21" s="45">
        <v>1182</v>
      </c>
      <c r="J21" s="45">
        <v>1182</v>
      </c>
      <c r="K21" s="45">
        <v>1182</v>
      </c>
      <c r="L21" s="45">
        <v>1182</v>
      </c>
      <c r="M21" s="45">
        <v>1304</v>
      </c>
      <c r="N21" s="46">
        <f t="shared" si="1"/>
        <v>1192.1666666666667</v>
      </c>
    </row>
    <row r="22" spans="1:14" s="48" customFormat="1" ht="23.25" customHeight="1" x14ac:dyDescent="0.65">
      <c r="A22" s="49">
        <v>2021</v>
      </c>
      <c r="B22" s="44">
        <v>1450</v>
      </c>
      <c r="C22" s="44">
        <v>1450</v>
      </c>
      <c r="D22" s="44">
        <v>1450</v>
      </c>
      <c r="E22" s="44">
        <v>1450</v>
      </c>
      <c r="F22" s="44">
        <v>1450</v>
      </c>
      <c r="G22" s="44">
        <v>1450</v>
      </c>
      <c r="H22" s="44">
        <v>1450</v>
      </c>
      <c r="I22" s="44">
        <v>1450</v>
      </c>
      <c r="J22" s="44">
        <v>1450</v>
      </c>
      <c r="K22" s="44">
        <v>1450</v>
      </c>
      <c r="L22" s="44">
        <v>1450</v>
      </c>
      <c r="M22" s="44">
        <v>1450</v>
      </c>
      <c r="N22" s="46">
        <f t="shared" si="1"/>
        <v>1450</v>
      </c>
    </row>
    <row r="23" spans="1:14" s="48" customFormat="1" ht="23.25" customHeight="1" x14ac:dyDescent="0.65">
      <c r="A23" s="49">
        <v>2022</v>
      </c>
      <c r="B23" s="44">
        <v>1450</v>
      </c>
      <c r="C23" s="44">
        <v>1450</v>
      </c>
      <c r="D23" s="44">
        <v>1450</v>
      </c>
      <c r="E23" s="44">
        <v>1450</v>
      </c>
      <c r="F23" s="44">
        <v>1450</v>
      </c>
      <c r="G23" s="44">
        <v>1450</v>
      </c>
      <c r="H23" s="44">
        <v>1450</v>
      </c>
      <c r="I23" s="44">
        <v>1450</v>
      </c>
      <c r="J23" s="44">
        <v>1450</v>
      </c>
      <c r="K23" s="44">
        <v>1450</v>
      </c>
      <c r="L23" s="44">
        <v>1450</v>
      </c>
      <c r="M23" s="44">
        <v>1450</v>
      </c>
      <c r="N23" s="46">
        <f t="shared" si="1"/>
        <v>1450</v>
      </c>
    </row>
    <row r="24" spans="1:14" s="48" customFormat="1" ht="23.25" customHeight="1" thickBot="1" x14ac:dyDescent="0.7">
      <c r="A24" s="49">
        <v>2023</v>
      </c>
      <c r="B24" s="44">
        <v>1450</v>
      </c>
      <c r="C24" s="44">
        <v>1339</v>
      </c>
      <c r="D24" s="44">
        <v>1300</v>
      </c>
      <c r="E24" s="44">
        <v>1300</v>
      </c>
      <c r="F24" s="44">
        <v>1300</v>
      </c>
      <c r="G24" s="44">
        <v>1300</v>
      </c>
      <c r="H24" s="99">
        <v>1300</v>
      </c>
      <c r="I24" s="99">
        <v>1300</v>
      </c>
      <c r="J24" s="99">
        <v>1300</v>
      </c>
      <c r="K24" s="99">
        <v>1300</v>
      </c>
      <c r="L24" s="99">
        <v>1300</v>
      </c>
      <c r="M24" s="99">
        <v>1300</v>
      </c>
      <c r="N24" s="46">
        <f>AVERAGE(B24:M24)</f>
        <v>1315.75</v>
      </c>
    </row>
    <row r="25" spans="1:14" ht="15.75" x14ac:dyDescent="0.25">
      <c r="A25" s="220" t="s">
        <v>69</v>
      </c>
      <c r="B25" s="220"/>
      <c r="C25" s="220"/>
      <c r="D25" s="221"/>
      <c r="E25" s="221"/>
      <c r="F25" s="221"/>
      <c r="G25" s="221"/>
      <c r="H25" s="221"/>
      <c r="I25" s="221"/>
      <c r="J25" s="221"/>
      <c r="K25" s="222" t="s">
        <v>70</v>
      </c>
      <c r="L25" s="222"/>
      <c r="M25" s="222"/>
      <c r="N25" s="222"/>
    </row>
    <row r="26" spans="1:14" x14ac:dyDescent="0.25">
      <c r="A26"/>
    </row>
    <row r="27" spans="1:14" x14ac:dyDescent="0.25">
      <c r="A27"/>
    </row>
    <row r="28" spans="1:14" x14ac:dyDescent="0.25">
      <c r="A28"/>
    </row>
    <row r="29" spans="1:14" x14ac:dyDescent="0.25">
      <c r="A29"/>
    </row>
    <row r="30" spans="1:14" x14ac:dyDescent="0.25">
      <c r="A30"/>
    </row>
    <row r="31" spans="1:14" x14ac:dyDescent="0.25">
      <c r="A31"/>
    </row>
    <row r="32" spans="1:14" x14ac:dyDescent="0.25">
      <c r="A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</sheetData>
  <mergeCells count="5">
    <mergeCell ref="A1:N1"/>
    <mergeCell ref="A25:C25"/>
    <mergeCell ref="D25:J25"/>
    <mergeCell ref="K25:N25"/>
    <mergeCell ref="A2:N2"/>
  </mergeCells>
  <pageMargins left="0.7" right="0.7" top="0.75" bottom="0.75" header="0.3" footer="0.3"/>
  <pageSetup scale="70" orientation="landscape" r:id="rId1"/>
  <colBreaks count="1" manualBreakCount="1">
    <brk id="15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616"/>
  <sheetViews>
    <sheetView topLeftCell="P577" zoomScaleNormal="100" workbookViewId="0">
      <selection activeCell="AA612" sqref="AA612"/>
    </sheetView>
  </sheetViews>
  <sheetFormatPr defaultRowHeight="24.75" x14ac:dyDescent="0.65"/>
  <cols>
    <col min="1" max="1" width="13.28515625" style="1" customWidth="1"/>
    <col min="2" max="2" width="12.28515625" style="1" customWidth="1"/>
    <col min="3" max="3" width="10" style="1" bestFit="1" customWidth="1"/>
    <col min="4" max="4" width="11" style="1" customWidth="1"/>
    <col min="5" max="5" width="11.28515625" style="1" customWidth="1"/>
    <col min="6" max="6" width="12.42578125" style="1" bestFit="1" customWidth="1"/>
    <col min="7" max="8" width="10.5703125" style="1" customWidth="1"/>
    <col min="9" max="9" width="11.140625" style="1" customWidth="1"/>
    <col min="10" max="10" width="9.42578125" style="1" bestFit="1" customWidth="1"/>
    <col min="11" max="11" width="9.28515625" style="1" customWidth="1"/>
    <col min="12" max="12" width="9.140625" style="1" customWidth="1"/>
    <col min="13" max="13" width="10.85546875" style="1" customWidth="1"/>
    <col min="14" max="14" width="8.7109375" style="1" bestFit="1" customWidth="1"/>
    <col min="15" max="15" width="9.7109375" style="1" bestFit="1" customWidth="1"/>
    <col min="16" max="16" width="8.7109375" style="1" bestFit="1" customWidth="1"/>
    <col min="17" max="17" width="9.7109375" style="1" bestFit="1" customWidth="1"/>
    <col min="18" max="19" width="9.7109375" style="1" customWidth="1"/>
    <col min="20" max="20" width="8.42578125" style="1" customWidth="1"/>
    <col min="21" max="21" width="9.140625" style="1" customWidth="1"/>
    <col min="22" max="22" width="8" style="1" customWidth="1"/>
    <col min="23" max="23" width="10.28515625" style="1" customWidth="1"/>
    <col min="24" max="24" width="9.85546875" style="1" customWidth="1"/>
    <col min="25" max="25" width="11.5703125" style="1" customWidth="1"/>
    <col min="26" max="26" width="11.42578125" style="1" customWidth="1"/>
    <col min="27" max="27" width="12.7109375" style="1" bestFit="1" customWidth="1"/>
    <col min="28" max="28" width="11.85546875" style="1" bestFit="1" customWidth="1"/>
    <col min="29" max="29" width="9.5703125" style="1" bestFit="1" customWidth="1"/>
    <col min="30" max="256" width="9.140625" style="1"/>
    <col min="257" max="257" width="13.28515625" style="1" customWidth="1"/>
    <col min="258" max="258" width="12.28515625" style="1" customWidth="1"/>
    <col min="259" max="259" width="10" style="1" bestFit="1" customWidth="1"/>
    <col min="260" max="260" width="11" style="1" customWidth="1"/>
    <col min="261" max="261" width="11.28515625" style="1" customWidth="1"/>
    <col min="262" max="262" width="12.42578125" style="1" bestFit="1" customWidth="1"/>
    <col min="263" max="263" width="10.5703125" style="1" customWidth="1"/>
    <col min="264" max="264" width="12.85546875" style="1" customWidth="1"/>
    <col min="265" max="265" width="11.140625" style="1" customWidth="1"/>
    <col min="266" max="266" width="9.42578125" style="1" bestFit="1" customWidth="1"/>
    <col min="267" max="267" width="11.85546875" style="1" customWidth="1"/>
    <col min="268" max="268" width="8.7109375" style="1" bestFit="1" customWidth="1"/>
    <col min="269" max="269" width="10.85546875" style="1" customWidth="1"/>
    <col min="270" max="270" width="8.7109375" style="1" bestFit="1" customWidth="1"/>
    <col min="271" max="271" width="9.7109375" style="1" bestFit="1" customWidth="1"/>
    <col min="272" max="272" width="8.7109375" style="1" bestFit="1" customWidth="1"/>
    <col min="273" max="273" width="9.7109375" style="1" bestFit="1" customWidth="1"/>
    <col min="274" max="275" width="9.7109375" style="1" customWidth="1"/>
    <col min="276" max="276" width="8.42578125" style="1" customWidth="1"/>
    <col min="277" max="277" width="9.140625" style="1" customWidth="1"/>
    <col min="278" max="278" width="8" style="1" customWidth="1"/>
    <col min="279" max="279" width="10.28515625" style="1" customWidth="1"/>
    <col min="280" max="280" width="9.85546875" style="1" customWidth="1"/>
    <col min="281" max="281" width="11.5703125" style="1" customWidth="1"/>
    <col min="282" max="282" width="11.42578125" style="1" customWidth="1"/>
    <col min="283" max="283" width="12.7109375" style="1" bestFit="1" customWidth="1"/>
    <col min="284" max="284" width="11.85546875" style="1" bestFit="1" customWidth="1"/>
    <col min="285" max="512" width="9.140625" style="1"/>
    <col min="513" max="513" width="13.28515625" style="1" customWidth="1"/>
    <col min="514" max="514" width="12.28515625" style="1" customWidth="1"/>
    <col min="515" max="515" width="10" style="1" bestFit="1" customWidth="1"/>
    <col min="516" max="516" width="11" style="1" customWidth="1"/>
    <col min="517" max="517" width="11.28515625" style="1" customWidth="1"/>
    <col min="518" max="518" width="12.42578125" style="1" bestFit="1" customWidth="1"/>
    <col min="519" max="519" width="10.5703125" style="1" customWidth="1"/>
    <col min="520" max="520" width="12.85546875" style="1" customWidth="1"/>
    <col min="521" max="521" width="11.140625" style="1" customWidth="1"/>
    <col min="522" max="522" width="9.42578125" style="1" bestFit="1" customWidth="1"/>
    <col min="523" max="523" width="11.85546875" style="1" customWidth="1"/>
    <col min="524" max="524" width="8.7109375" style="1" bestFit="1" customWidth="1"/>
    <col min="525" max="525" width="10.85546875" style="1" customWidth="1"/>
    <col min="526" max="526" width="8.7109375" style="1" bestFit="1" customWidth="1"/>
    <col min="527" max="527" width="9.7109375" style="1" bestFit="1" customWidth="1"/>
    <col min="528" max="528" width="8.7109375" style="1" bestFit="1" customWidth="1"/>
    <col min="529" max="529" width="9.7109375" style="1" bestFit="1" customWidth="1"/>
    <col min="530" max="531" width="9.7109375" style="1" customWidth="1"/>
    <col min="532" max="532" width="8.42578125" style="1" customWidth="1"/>
    <col min="533" max="533" width="9.140625" style="1" customWidth="1"/>
    <col min="534" max="534" width="8" style="1" customWidth="1"/>
    <col min="535" max="535" width="10.28515625" style="1" customWidth="1"/>
    <col min="536" max="536" width="9.85546875" style="1" customWidth="1"/>
    <col min="537" max="537" width="11.5703125" style="1" customWidth="1"/>
    <col min="538" max="538" width="11.42578125" style="1" customWidth="1"/>
    <col min="539" max="539" width="12.7109375" style="1" bestFit="1" customWidth="1"/>
    <col min="540" max="540" width="11.85546875" style="1" bestFit="1" customWidth="1"/>
    <col min="541" max="768" width="9.140625" style="1"/>
    <col min="769" max="769" width="13.28515625" style="1" customWidth="1"/>
    <col min="770" max="770" width="12.28515625" style="1" customWidth="1"/>
    <col min="771" max="771" width="10" style="1" bestFit="1" customWidth="1"/>
    <col min="772" max="772" width="11" style="1" customWidth="1"/>
    <col min="773" max="773" width="11.28515625" style="1" customWidth="1"/>
    <col min="774" max="774" width="12.42578125" style="1" bestFit="1" customWidth="1"/>
    <col min="775" max="775" width="10.5703125" style="1" customWidth="1"/>
    <col min="776" max="776" width="12.85546875" style="1" customWidth="1"/>
    <col min="777" max="777" width="11.140625" style="1" customWidth="1"/>
    <col min="778" max="778" width="9.42578125" style="1" bestFit="1" customWidth="1"/>
    <col min="779" max="779" width="11.85546875" style="1" customWidth="1"/>
    <col min="780" max="780" width="8.7109375" style="1" bestFit="1" customWidth="1"/>
    <col min="781" max="781" width="10.85546875" style="1" customWidth="1"/>
    <col min="782" max="782" width="8.7109375" style="1" bestFit="1" customWidth="1"/>
    <col min="783" max="783" width="9.7109375" style="1" bestFit="1" customWidth="1"/>
    <col min="784" max="784" width="8.7109375" style="1" bestFit="1" customWidth="1"/>
    <col min="785" max="785" width="9.7109375" style="1" bestFit="1" customWidth="1"/>
    <col min="786" max="787" width="9.7109375" style="1" customWidth="1"/>
    <col min="788" max="788" width="8.42578125" style="1" customWidth="1"/>
    <col min="789" max="789" width="9.140625" style="1" customWidth="1"/>
    <col min="790" max="790" width="8" style="1" customWidth="1"/>
    <col min="791" max="791" width="10.28515625" style="1" customWidth="1"/>
    <col min="792" max="792" width="9.85546875" style="1" customWidth="1"/>
    <col min="793" max="793" width="11.5703125" style="1" customWidth="1"/>
    <col min="794" max="794" width="11.42578125" style="1" customWidth="1"/>
    <col min="795" max="795" width="12.7109375" style="1" bestFit="1" customWidth="1"/>
    <col min="796" max="796" width="11.85546875" style="1" bestFit="1" customWidth="1"/>
    <col min="797" max="1024" width="9.140625" style="1"/>
    <col min="1025" max="1025" width="13.28515625" style="1" customWidth="1"/>
    <col min="1026" max="1026" width="12.28515625" style="1" customWidth="1"/>
    <col min="1027" max="1027" width="10" style="1" bestFit="1" customWidth="1"/>
    <col min="1028" max="1028" width="11" style="1" customWidth="1"/>
    <col min="1029" max="1029" width="11.28515625" style="1" customWidth="1"/>
    <col min="1030" max="1030" width="12.42578125" style="1" bestFit="1" customWidth="1"/>
    <col min="1031" max="1031" width="10.5703125" style="1" customWidth="1"/>
    <col min="1032" max="1032" width="12.85546875" style="1" customWidth="1"/>
    <col min="1033" max="1033" width="11.140625" style="1" customWidth="1"/>
    <col min="1034" max="1034" width="9.42578125" style="1" bestFit="1" customWidth="1"/>
    <col min="1035" max="1035" width="11.85546875" style="1" customWidth="1"/>
    <col min="1036" max="1036" width="8.7109375" style="1" bestFit="1" customWidth="1"/>
    <col min="1037" max="1037" width="10.85546875" style="1" customWidth="1"/>
    <col min="1038" max="1038" width="8.7109375" style="1" bestFit="1" customWidth="1"/>
    <col min="1039" max="1039" width="9.7109375" style="1" bestFit="1" customWidth="1"/>
    <col min="1040" max="1040" width="8.7109375" style="1" bestFit="1" customWidth="1"/>
    <col min="1041" max="1041" width="9.7109375" style="1" bestFit="1" customWidth="1"/>
    <col min="1042" max="1043" width="9.7109375" style="1" customWidth="1"/>
    <col min="1044" max="1044" width="8.42578125" style="1" customWidth="1"/>
    <col min="1045" max="1045" width="9.140625" style="1" customWidth="1"/>
    <col min="1046" max="1046" width="8" style="1" customWidth="1"/>
    <col min="1047" max="1047" width="10.28515625" style="1" customWidth="1"/>
    <col min="1048" max="1048" width="9.85546875" style="1" customWidth="1"/>
    <col min="1049" max="1049" width="11.5703125" style="1" customWidth="1"/>
    <col min="1050" max="1050" width="11.42578125" style="1" customWidth="1"/>
    <col min="1051" max="1051" width="12.7109375" style="1" bestFit="1" customWidth="1"/>
    <col min="1052" max="1052" width="11.85546875" style="1" bestFit="1" customWidth="1"/>
    <col min="1053" max="1280" width="9.140625" style="1"/>
    <col min="1281" max="1281" width="13.28515625" style="1" customWidth="1"/>
    <col min="1282" max="1282" width="12.28515625" style="1" customWidth="1"/>
    <col min="1283" max="1283" width="10" style="1" bestFit="1" customWidth="1"/>
    <col min="1284" max="1284" width="11" style="1" customWidth="1"/>
    <col min="1285" max="1285" width="11.28515625" style="1" customWidth="1"/>
    <col min="1286" max="1286" width="12.42578125" style="1" bestFit="1" customWidth="1"/>
    <col min="1287" max="1287" width="10.5703125" style="1" customWidth="1"/>
    <col min="1288" max="1288" width="12.85546875" style="1" customWidth="1"/>
    <col min="1289" max="1289" width="11.140625" style="1" customWidth="1"/>
    <col min="1290" max="1290" width="9.42578125" style="1" bestFit="1" customWidth="1"/>
    <col min="1291" max="1291" width="11.85546875" style="1" customWidth="1"/>
    <col min="1292" max="1292" width="8.7109375" style="1" bestFit="1" customWidth="1"/>
    <col min="1293" max="1293" width="10.85546875" style="1" customWidth="1"/>
    <col min="1294" max="1294" width="8.7109375" style="1" bestFit="1" customWidth="1"/>
    <col min="1295" max="1295" width="9.7109375" style="1" bestFit="1" customWidth="1"/>
    <col min="1296" max="1296" width="8.7109375" style="1" bestFit="1" customWidth="1"/>
    <col min="1297" max="1297" width="9.7109375" style="1" bestFit="1" customWidth="1"/>
    <col min="1298" max="1299" width="9.7109375" style="1" customWidth="1"/>
    <col min="1300" max="1300" width="8.42578125" style="1" customWidth="1"/>
    <col min="1301" max="1301" width="9.140625" style="1" customWidth="1"/>
    <col min="1302" max="1302" width="8" style="1" customWidth="1"/>
    <col min="1303" max="1303" width="10.28515625" style="1" customWidth="1"/>
    <col min="1304" max="1304" width="9.85546875" style="1" customWidth="1"/>
    <col min="1305" max="1305" width="11.5703125" style="1" customWidth="1"/>
    <col min="1306" max="1306" width="11.42578125" style="1" customWidth="1"/>
    <col min="1307" max="1307" width="12.7109375" style="1" bestFit="1" customWidth="1"/>
    <col min="1308" max="1308" width="11.85546875" style="1" bestFit="1" customWidth="1"/>
    <col min="1309" max="1536" width="9.140625" style="1"/>
    <col min="1537" max="1537" width="13.28515625" style="1" customWidth="1"/>
    <col min="1538" max="1538" width="12.28515625" style="1" customWidth="1"/>
    <col min="1539" max="1539" width="10" style="1" bestFit="1" customWidth="1"/>
    <col min="1540" max="1540" width="11" style="1" customWidth="1"/>
    <col min="1541" max="1541" width="11.28515625" style="1" customWidth="1"/>
    <col min="1542" max="1542" width="12.42578125" style="1" bestFit="1" customWidth="1"/>
    <col min="1543" max="1543" width="10.5703125" style="1" customWidth="1"/>
    <col min="1544" max="1544" width="12.85546875" style="1" customWidth="1"/>
    <col min="1545" max="1545" width="11.140625" style="1" customWidth="1"/>
    <col min="1546" max="1546" width="9.42578125" style="1" bestFit="1" customWidth="1"/>
    <col min="1547" max="1547" width="11.85546875" style="1" customWidth="1"/>
    <col min="1548" max="1548" width="8.7109375" style="1" bestFit="1" customWidth="1"/>
    <col min="1549" max="1549" width="10.85546875" style="1" customWidth="1"/>
    <col min="1550" max="1550" width="8.7109375" style="1" bestFit="1" customWidth="1"/>
    <col min="1551" max="1551" width="9.7109375" style="1" bestFit="1" customWidth="1"/>
    <col min="1552" max="1552" width="8.7109375" style="1" bestFit="1" customWidth="1"/>
    <col min="1553" max="1553" width="9.7109375" style="1" bestFit="1" customWidth="1"/>
    <col min="1554" max="1555" width="9.7109375" style="1" customWidth="1"/>
    <col min="1556" max="1556" width="8.42578125" style="1" customWidth="1"/>
    <col min="1557" max="1557" width="9.140625" style="1" customWidth="1"/>
    <col min="1558" max="1558" width="8" style="1" customWidth="1"/>
    <col min="1559" max="1559" width="10.28515625" style="1" customWidth="1"/>
    <col min="1560" max="1560" width="9.85546875" style="1" customWidth="1"/>
    <col min="1561" max="1561" width="11.5703125" style="1" customWidth="1"/>
    <col min="1562" max="1562" width="11.42578125" style="1" customWidth="1"/>
    <col min="1563" max="1563" width="12.7109375" style="1" bestFit="1" customWidth="1"/>
    <col min="1564" max="1564" width="11.85546875" style="1" bestFit="1" customWidth="1"/>
    <col min="1565" max="1792" width="9.140625" style="1"/>
    <col min="1793" max="1793" width="13.28515625" style="1" customWidth="1"/>
    <col min="1794" max="1794" width="12.28515625" style="1" customWidth="1"/>
    <col min="1795" max="1795" width="10" style="1" bestFit="1" customWidth="1"/>
    <col min="1796" max="1796" width="11" style="1" customWidth="1"/>
    <col min="1797" max="1797" width="11.28515625" style="1" customWidth="1"/>
    <col min="1798" max="1798" width="12.42578125" style="1" bestFit="1" customWidth="1"/>
    <col min="1799" max="1799" width="10.5703125" style="1" customWidth="1"/>
    <col min="1800" max="1800" width="12.85546875" style="1" customWidth="1"/>
    <col min="1801" max="1801" width="11.140625" style="1" customWidth="1"/>
    <col min="1802" max="1802" width="9.42578125" style="1" bestFit="1" customWidth="1"/>
    <col min="1803" max="1803" width="11.85546875" style="1" customWidth="1"/>
    <col min="1804" max="1804" width="8.7109375" style="1" bestFit="1" customWidth="1"/>
    <col min="1805" max="1805" width="10.85546875" style="1" customWidth="1"/>
    <col min="1806" max="1806" width="8.7109375" style="1" bestFit="1" customWidth="1"/>
    <col min="1807" max="1807" width="9.7109375" style="1" bestFit="1" customWidth="1"/>
    <col min="1808" max="1808" width="8.7109375" style="1" bestFit="1" customWidth="1"/>
    <col min="1809" max="1809" width="9.7109375" style="1" bestFit="1" customWidth="1"/>
    <col min="1810" max="1811" width="9.7109375" style="1" customWidth="1"/>
    <col min="1812" max="1812" width="8.42578125" style="1" customWidth="1"/>
    <col min="1813" max="1813" width="9.140625" style="1" customWidth="1"/>
    <col min="1814" max="1814" width="8" style="1" customWidth="1"/>
    <col min="1815" max="1815" width="10.28515625" style="1" customWidth="1"/>
    <col min="1816" max="1816" width="9.85546875" style="1" customWidth="1"/>
    <col min="1817" max="1817" width="11.5703125" style="1" customWidth="1"/>
    <col min="1818" max="1818" width="11.42578125" style="1" customWidth="1"/>
    <col min="1819" max="1819" width="12.7109375" style="1" bestFit="1" customWidth="1"/>
    <col min="1820" max="1820" width="11.85546875" style="1" bestFit="1" customWidth="1"/>
    <col min="1821" max="2048" width="9.140625" style="1"/>
    <col min="2049" max="2049" width="13.28515625" style="1" customWidth="1"/>
    <col min="2050" max="2050" width="12.28515625" style="1" customWidth="1"/>
    <col min="2051" max="2051" width="10" style="1" bestFit="1" customWidth="1"/>
    <col min="2052" max="2052" width="11" style="1" customWidth="1"/>
    <col min="2053" max="2053" width="11.28515625" style="1" customWidth="1"/>
    <col min="2054" max="2054" width="12.42578125" style="1" bestFit="1" customWidth="1"/>
    <col min="2055" max="2055" width="10.5703125" style="1" customWidth="1"/>
    <col min="2056" max="2056" width="12.85546875" style="1" customWidth="1"/>
    <col min="2057" max="2057" width="11.140625" style="1" customWidth="1"/>
    <col min="2058" max="2058" width="9.42578125" style="1" bestFit="1" customWidth="1"/>
    <col min="2059" max="2059" width="11.85546875" style="1" customWidth="1"/>
    <col min="2060" max="2060" width="8.7109375" style="1" bestFit="1" customWidth="1"/>
    <col min="2061" max="2061" width="10.85546875" style="1" customWidth="1"/>
    <col min="2062" max="2062" width="8.7109375" style="1" bestFit="1" customWidth="1"/>
    <col min="2063" max="2063" width="9.7109375" style="1" bestFit="1" customWidth="1"/>
    <col min="2064" max="2064" width="8.7109375" style="1" bestFit="1" customWidth="1"/>
    <col min="2065" max="2065" width="9.7109375" style="1" bestFit="1" customWidth="1"/>
    <col min="2066" max="2067" width="9.7109375" style="1" customWidth="1"/>
    <col min="2068" max="2068" width="8.42578125" style="1" customWidth="1"/>
    <col min="2069" max="2069" width="9.140625" style="1" customWidth="1"/>
    <col min="2070" max="2070" width="8" style="1" customWidth="1"/>
    <col min="2071" max="2071" width="10.28515625" style="1" customWidth="1"/>
    <col min="2072" max="2072" width="9.85546875" style="1" customWidth="1"/>
    <col min="2073" max="2073" width="11.5703125" style="1" customWidth="1"/>
    <col min="2074" max="2074" width="11.42578125" style="1" customWidth="1"/>
    <col min="2075" max="2075" width="12.7109375" style="1" bestFit="1" customWidth="1"/>
    <col min="2076" max="2076" width="11.85546875" style="1" bestFit="1" customWidth="1"/>
    <col min="2077" max="2304" width="9.140625" style="1"/>
    <col min="2305" max="2305" width="13.28515625" style="1" customWidth="1"/>
    <col min="2306" max="2306" width="12.28515625" style="1" customWidth="1"/>
    <col min="2307" max="2307" width="10" style="1" bestFit="1" customWidth="1"/>
    <col min="2308" max="2308" width="11" style="1" customWidth="1"/>
    <col min="2309" max="2309" width="11.28515625" style="1" customWidth="1"/>
    <col min="2310" max="2310" width="12.42578125" style="1" bestFit="1" customWidth="1"/>
    <col min="2311" max="2311" width="10.5703125" style="1" customWidth="1"/>
    <col min="2312" max="2312" width="12.85546875" style="1" customWidth="1"/>
    <col min="2313" max="2313" width="11.140625" style="1" customWidth="1"/>
    <col min="2314" max="2314" width="9.42578125" style="1" bestFit="1" customWidth="1"/>
    <col min="2315" max="2315" width="11.85546875" style="1" customWidth="1"/>
    <col min="2316" max="2316" width="8.7109375" style="1" bestFit="1" customWidth="1"/>
    <col min="2317" max="2317" width="10.85546875" style="1" customWidth="1"/>
    <col min="2318" max="2318" width="8.7109375" style="1" bestFit="1" customWidth="1"/>
    <col min="2319" max="2319" width="9.7109375" style="1" bestFit="1" customWidth="1"/>
    <col min="2320" max="2320" width="8.7109375" style="1" bestFit="1" customWidth="1"/>
    <col min="2321" max="2321" width="9.7109375" style="1" bestFit="1" customWidth="1"/>
    <col min="2322" max="2323" width="9.7109375" style="1" customWidth="1"/>
    <col min="2324" max="2324" width="8.42578125" style="1" customWidth="1"/>
    <col min="2325" max="2325" width="9.140625" style="1" customWidth="1"/>
    <col min="2326" max="2326" width="8" style="1" customWidth="1"/>
    <col min="2327" max="2327" width="10.28515625" style="1" customWidth="1"/>
    <col min="2328" max="2328" width="9.85546875" style="1" customWidth="1"/>
    <col min="2329" max="2329" width="11.5703125" style="1" customWidth="1"/>
    <col min="2330" max="2330" width="11.42578125" style="1" customWidth="1"/>
    <col min="2331" max="2331" width="12.7109375" style="1" bestFit="1" customWidth="1"/>
    <col min="2332" max="2332" width="11.85546875" style="1" bestFit="1" customWidth="1"/>
    <col min="2333" max="2560" width="9.140625" style="1"/>
    <col min="2561" max="2561" width="13.28515625" style="1" customWidth="1"/>
    <col min="2562" max="2562" width="12.28515625" style="1" customWidth="1"/>
    <col min="2563" max="2563" width="10" style="1" bestFit="1" customWidth="1"/>
    <col min="2564" max="2564" width="11" style="1" customWidth="1"/>
    <col min="2565" max="2565" width="11.28515625" style="1" customWidth="1"/>
    <col min="2566" max="2566" width="12.42578125" style="1" bestFit="1" customWidth="1"/>
    <col min="2567" max="2567" width="10.5703125" style="1" customWidth="1"/>
    <col min="2568" max="2568" width="12.85546875" style="1" customWidth="1"/>
    <col min="2569" max="2569" width="11.140625" style="1" customWidth="1"/>
    <col min="2570" max="2570" width="9.42578125" style="1" bestFit="1" customWidth="1"/>
    <col min="2571" max="2571" width="11.85546875" style="1" customWidth="1"/>
    <col min="2572" max="2572" width="8.7109375" style="1" bestFit="1" customWidth="1"/>
    <col min="2573" max="2573" width="10.85546875" style="1" customWidth="1"/>
    <col min="2574" max="2574" width="8.7109375" style="1" bestFit="1" customWidth="1"/>
    <col min="2575" max="2575" width="9.7109375" style="1" bestFit="1" customWidth="1"/>
    <col min="2576" max="2576" width="8.7109375" style="1" bestFit="1" customWidth="1"/>
    <col min="2577" max="2577" width="9.7109375" style="1" bestFit="1" customWidth="1"/>
    <col min="2578" max="2579" width="9.7109375" style="1" customWidth="1"/>
    <col min="2580" max="2580" width="8.42578125" style="1" customWidth="1"/>
    <col min="2581" max="2581" width="9.140625" style="1" customWidth="1"/>
    <col min="2582" max="2582" width="8" style="1" customWidth="1"/>
    <col min="2583" max="2583" width="10.28515625" style="1" customWidth="1"/>
    <col min="2584" max="2584" width="9.85546875" style="1" customWidth="1"/>
    <col min="2585" max="2585" width="11.5703125" style="1" customWidth="1"/>
    <col min="2586" max="2586" width="11.42578125" style="1" customWidth="1"/>
    <col min="2587" max="2587" width="12.7109375" style="1" bestFit="1" customWidth="1"/>
    <col min="2588" max="2588" width="11.85546875" style="1" bestFit="1" customWidth="1"/>
    <col min="2589" max="2816" width="9.140625" style="1"/>
    <col min="2817" max="2817" width="13.28515625" style="1" customWidth="1"/>
    <col min="2818" max="2818" width="12.28515625" style="1" customWidth="1"/>
    <col min="2819" max="2819" width="10" style="1" bestFit="1" customWidth="1"/>
    <col min="2820" max="2820" width="11" style="1" customWidth="1"/>
    <col min="2821" max="2821" width="11.28515625" style="1" customWidth="1"/>
    <col min="2822" max="2822" width="12.42578125" style="1" bestFit="1" customWidth="1"/>
    <col min="2823" max="2823" width="10.5703125" style="1" customWidth="1"/>
    <col min="2824" max="2824" width="12.85546875" style="1" customWidth="1"/>
    <col min="2825" max="2825" width="11.140625" style="1" customWidth="1"/>
    <col min="2826" max="2826" width="9.42578125" style="1" bestFit="1" customWidth="1"/>
    <col min="2827" max="2827" width="11.85546875" style="1" customWidth="1"/>
    <col min="2828" max="2828" width="8.7109375" style="1" bestFit="1" customWidth="1"/>
    <col min="2829" max="2829" width="10.85546875" style="1" customWidth="1"/>
    <col min="2830" max="2830" width="8.7109375" style="1" bestFit="1" customWidth="1"/>
    <col min="2831" max="2831" width="9.7109375" style="1" bestFit="1" customWidth="1"/>
    <col min="2832" max="2832" width="8.7109375" style="1" bestFit="1" customWidth="1"/>
    <col min="2833" max="2833" width="9.7109375" style="1" bestFit="1" customWidth="1"/>
    <col min="2834" max="2835" width="9.7109375" style="1" customWidth="1"/>
    <col min="2836" max="2836" width="8.42578125" style="1" customWidth="1"/>
    <col min="2837" max="2837" width="9.140625" style="1" customWidth="1"/>
    <col min="2838" max="2838" width="8" style="1" customWidth="1"/>
    <col min="2839" max="2839" width="10.28515625" style="1" customWidth="1"/>
    <col min="2840" max="2840" width="9.85546875" style="1" customWidth="1"/>
    <col min="2841" max="2841" width="11.5703125" style="1" customWidth="1"/>
    <col min="2842" max="2842" width="11.42578125" style="1" customWidth="1"/>
    <col min="2843" max="2843" width="12.7109375" style="1" bestFit="1" customWidth="1"/>
    <col min="2844" max="2844" width="11.85546875" style="1" bestFit="1" customWidth="1"/>
    <col min="2845" max="3072" width="9.140625" style="1"/>
    <col min="3073" max="3073" width="13.28515625" style="1" customWidth="1"/>
    <col min="3074" max="3074" width="12.28515625" style="1" customWidth="1"/>
    <col min="3075" max="3075" width="10" style="1" bestFit="1" customWidth="1"/>
    <col min="3076" max="3076" width="11" style="1" customWidth="1"/>
    <col min="3077" max="3077" width="11.28515625" style="1" customWidth="1"/>
    <col min="3078" max="3078" width="12.42578125" style="1" bestFit="1" customWidth="1"/>
    <col min="3079" max="3079" width="10.5703125" style="1" customWidth="1"/>
    <col min="3080" max="3080" width="12.85546875" style="1" customWidth="1"/>
    <col min="3081" max="3081" width="11.140625" style="1" customWidth="1"/>
    <col min="3082" max="3082" width="9.42578125" style="1" bestFit="1" customWidth="1"/>
    <col min="3083" max="3083" width="11.85546875" style="1" customWidth="1"/>
    <col min="3084" max="3084" width="8.7109375" style="1" bestFit="1" customWidth="1"/>
    <col min="3085" max="3085" width="10.85546875" style="1" customWidth="1"/>
    <col min="3086" max="3086" width="8.7109375" style="1" bestFit="1" customWidth="1"/>
    <col min="3087" max="3087" width="9.7109375" style="1" bestFit="1" customWidth="1"/>
    <col min="3088" max="3088" width="8.7109375" style="1" bestFit="1" customWidth="1"/>
    <col min="3089" max="3089" width="9.7109375" style="1" bestFit="1" customWidth="1"/>
    <col min="3090" max="3091" width="9.7109375" style="1" customWidth="1"/>
    <col min="3092" max="3092" width="8.42578125" style="1" customWidth="1"/>
    <col min="3093" max="3093" width="9.140625" style="1" customWidth="1"/>
    <col min="3094" max="3094" width="8" style="1" customWidth="1"/>
    <col min="3095" max="3095" width="10.28515625" style="1" customWidth="1"/>
    <col min="3096" max="3096" width="9.85546875" style="1" customWidth="1"/>
    <col min="3097" max="3097" width="11.5703125" style="1" customWidth="1"/>
    <col min="3098" max="3098" width="11.42578125" style="1" customWidth="1"/>
    <col min="3099" max="3099" width="12.7109375" style="1" bestFit="1" customWidth="1"/>
    <col min="3100" max="3100" width="11.85546875" style="1" bestFit="1" customWidth="1"/>
    <col min="3101" max="3328" width="9.140625" style="1"/>
    <col min="3329" max="3329" width="13.28515625" style="1" customWidth="1"/>
    <col min="3330" max="3330" width="12.28515625" style="1" customWidth="1"/>
    <col min="3331" max="3331" width="10" style="1" bestFit="1" customWidth="1"/>
    <col min="3332" max="3332" width="11" style="1" customWidth="1"/>
    <col min="3333" max="3333" width="11.28515625" style="1" customWidth="1"/>
    <col min="3334" max="3334" width="12.42578125" style="1" bestFit="1" customWidth="1"/>
    <col min="3335" max="3335" width="10.5703125" style="1" customWidth="1"/>
    <col min="3336" max="3336" width="12.85546875" style="1" customWidth="1"/>
    <col min="3337" max="3337" width="11.140625" style="1" customWidth="1"/>
    <col min="3338" max="3338" width="9.42578125" style="1" bestFit="1" customWidth="1"/>
    <col min="3339" max="3339" width="11.85546875" style="1" customWidth="1"/>
    <col min="3340" max="3340" width="8.7109375" style="1" bestFit="1" customWidth="1"/>
    <col min="3341" max="3341" width="10.85546875" style="1" customWidth="1"/>
    <col min="3342" max="3342" width="8.7109375" style="1" bestFit="1" customWidth="1"/>
    <col min="3343" max="3343" width="9.7109375" style="1" bestFit="1" customWidth="1"/>
    <col min="3344" max="3344" width="8.7109375" style="1" bestFit="1" customWidth="1"/>
    <col min="3345" max="3345" width="9.7109375" style="1" bestFit="1" customWidth="1"/>
    <col min="3346" max="3347" width="9.7109375" style="1" customWidth="1"/>
    <col min="3348" max="3348" width="8.42578125" style="1" customWidth="1"/>
    <col min="3349" max="3349" width="9.140625" style="1" customWidth="1"/>
    <col min="3350" max="3350" width="8" style="1" customWidth="1"/>
    <col min="3351" max="3351" width="10.28515625" style="1" customWidth="1"/>
    <col min="3352" max="3352" width="9.85546875" style="1" customWidth="1"/>
    <col min="3353" max="3353" width="11.5703125" style="1" customWidth="1"/>
    <col min="3354" max="3354" width="11.42578125" style="1" customWidth="1"/>
    <col min="3355" max="3355" width="12.7109375" style="1" bestFit="1" customWidth="1"/>
    <col min="3356" max="3356" width="11.85546875" style="1" bestFit="1" customWidth="1"/>
    <col min="3357" max="3584" width="9.140625" style="1"/>
    <col min="3585" max="3585" width="13.28515625" style="1" customWidth="1"/>
    <col min="3586" max="3586" width="12.28515625" style="1" customWidth="1"/>
    <col min="3587" max="3587" width="10" style="1" bestFit="1" customWidth="1"/>
    <col min="3588" max="3588" width="11" style="1" customWidth="1"/>
    <col min="3589" max="3589" width="11.28515625" style="1" customWidth="1"/>
    <col min="3590" max="3590" width="12.42578125" style="1" bestFit="1" customWidth="1"/>
    <col min="3591" max="3591" width="10.5703125" style="1" customWidth="1"/>
    <col min="3592" max="3592" width="12.85546875" style="1" customWidth="1"/>
    <col min="3593" max="3593" width="11.140625" style="1" customWidth="1"/>
    <col min="3594" max="3594" width="9.42578125" style="1" bestFit="1" customWidth="1"/>
    <col min="3595" max="3595" width="11.85546875" style="1" customWidth="1"/>
    <col min="3596" max="3596" width="8.7109375" style="1" bestFit="1" customWidth="1"/>
    <col min="3597" max="3597" width="10.85546875" style="1" customWidth="1"/>
    <col min="3598" max="3598" width="8.7109375" style="1" bestFit="1" customWidth="1"/>
    <col min="3599" max="3599" width="9.7109375" style="1" bestFit="1" customWidth="1"/>
    <col min="3600" max="3600" width="8.7109375" style="1" bestFit="1" customWidth="1"/>
    <col min="3601" max="3601" width="9.7109375" style="1" bestFit="1" customWidth="1"/>
    <col min="3602" max="3603" width="9.7109375" style="1" customWidth="1"/>
    <col min="3604" max="3604" width="8.42578125" style="1" customWidth="1"/>
    <col min="3605" max="3605" width="9.140625" style="1" customWidth="1"/>
    <col min="3606" max="3606" width="8" style="1" customWidth="1"/>
    <col min="3607" max="3607" width="10.28515625" style="1" customWidth="1"/>
    <col min="3608" max="3608" width="9.85546875" style="1" customWidth="1"/>
    <col min="3609" max="3609" width="11.5703125" style="1" customWidth="1"/>
    <col min="3610" max="3610" width="11.42578125" style="1" customWidth="1"/>
    <col min="3611" max="3611" width="12.7109375" style="1" bestFit="1" customWidth="1"/>
    <col min="3612" max="3612" width="11.85546875" style="1" bestFit="1" customWidth="1"/>
    <col min="3613" max="3840" width="9.140625" style="1"/>
    <col min="3841" max="3841" width="13.28515625" style="1" customWidth="1"/>
    <col min="3842" max="3842" width="12.28515625" style="1" customWidth="1"/>
    <col min="3843" max="3843" width="10" style="1" bestFit="1" customWidth="1"/>
    <col min="3844" max="3844" width="11" style="1" customWidth="1"/>
    <col min="3845" max="3845" width="11.28515625" style="1" customWidth="1"/>
    <col min="3846" max="3846" width="12.42578125" style="1" bestFit="1" customWidth="1"/>
    <col min="3847" max="3847" width="10.5703125" style="1" customWidth="1"/>
    <col min="3848" max="3848" width="12.85546875" style="1" customWidth="1"/>
    <col min="3849" max="3849" width="11.140625" style="1" customWidth="1"/>
    <col min="3850" max="3850" width="9.42578125" style="1" bestFit="1" customWidth="1"/>
    <col min="3851" max="3851" width="11.85546875" style="1" customWidth="1"/>
    <col min="3852" max="3852" width="8.7109375" style="1" bestFit="1" customWidth="1"/>
    <col min="3853" max="3853" width="10.85546875" style="1" customWidth="1"/>
    <col min="3854" max="3854" width="8.7109375" style="1" bestFit="1" customWidth="1"/>
    <col min="3855" max="3855" width="9.7109375" style="1" bestFit="1" customWidth="1"/>
    <col min="3856" max="3856" width="8.7109375" style="1" bestFit="1" customWidth="1"/>
    <col min="3857" max="3857" width="9.7109375" style="1" bestFit="1" customWidth="1"/>
    <col min="3858" max="3859" width="9.7109375" style="1" customWidth="1"/>
    <col min="3860" max="3860" width="8.42578125" style="1" customWidth="1"/>
    <col min="3861" max="3861" width="9.140625" style="1" customWidth="1"/>
    <col min="3862" max="3862" width="8" style="1" customWidth="1"/>
    <col min="3863" max="3863" width="10.28515625" style="1" customWidth="1"/>
    <col min="3864" max="3864" width="9.85546875" style="1" customWidth="1"/>
    <col min="3865" max="3865" width="11.5703125" style="1" customWidth="1"/>
    <col min="3866" max="3866" width="11.42578125" style="1" customWidth="1"/>
    <col min="3867" max="3867" width="12.7109375" style="1" bestFit="1" customWidth="1"/>
    <col min="3868" max="3868" width="11.85546875" style="1" bestFit="1" customWidth="1"/>
    <col min="3869" max="4096" width="9.140625" style="1"/>
    <col min="4097" max="4097" width="13.28515625" style="1" customWidth="1"/>
    <col min="4098" max="4098" width="12.28515625" style="1" customWidth="1"/>
    <col min="4099" max="4099" width="10" style="1" bestFit="1" customWidth="1"/>
    <col min="4100" max="4100" width="11" style="1" customWidth="1"/>
    <col min="4101" max="4101" width="11.28515625" style="1" customWidth="1"/>
    <col min="4102" max="4102" width="12.42578125" style="1" bestFit="1" customWidth="1"/>
    <col min="4103" max="4103" width="10.5703125" style="1" customWidth="1"/>
    <col min="4104" max="4104" width="12.85546875" style="1" customWidth="1"/>
    <col min="4105" max="4105" width="11.140625" style="1" customWidth="1"/>
    <col min="4106" max="4106" width="9.42578125" style="1" bestFit="1" customWidth="1"/>
    <col min="4107" max="4107" width="11.85546875" style="1" customWidth="1"/>
    <col min="4108" max="4108" width="8.7109375" style="1" bestFit="1" customWidth="1"/>
    <col min="4109" max="4109" width="10.85546875" style="1" customWidth="1"/>
    <col min="4110" max="4110" width="8.7109375" style="1" bestFit="1" customWidth="1"/>
    <col min="4111" max="4111" width="9.7109375" style="1" bestFit="1" customWidth="1"/>
    <col min="4112" max="4112" width="8.7109375" style="1" bestFit="1" customWidth="1"/>
    <col min="4113" max="4113" width="9.7109375" style="1" bestFit="1" customWidth="1"/>
    <col min="4114" max="4115" width="9.7109375" style="1" customWidth="1"/>
    <col min="4116" max="4116" width="8.42578125" style="1" customWidth="1"/>
    <col min="4117" max="4117" width="9.140625" style="1" customWidth="1"/>
    <col min="4118" max="4118" width="8" style="1" customWidth="1"/>
    <col min="4119" max="4119" width="10.28515625" style="1" customWidth="1"/>
    <col min="4120" max="4120" width="9.85546875" style="1" customWidth="1"/>
    <col min="4121" max="4121" width="11.5703125" style="1" customWidth="1"/>
    <col min="4122" max="4122" width="11.42578125" style="1" customWidth="1"/>
    <col min="4123" max="4123" width="12.7109375" style="1" bestFit="1" customWidth="1"/>
    <col min="4124" max="4124" width="11.85546875" style="1" bestFit="1" customWidth="1"/>
    <col min="4125" max="4352" width="9.140625" style="1"/>
    <col min="4353" max="4353" width="13.28515625" style="1" customWidth="1"/>
    <col min="4354" max="4354" width="12.28515625" style="1" customWidth="1"/>
    <col min="4355" max="4355" width="10" style="1" bestFit="1" customWidth="1"/>
    <col min="4356" max="4356" width="11" style="1" customWidth="1"/>
    <col min="4357" max="4357" width="11.28515625" style="1" customWidth="1"/>
    <col min="4358" max="4358" width="12.42578125" style="1" bestFit="1" customWidth="1"/>
    <col min="4359" max="4359" width="10.5703125" style="1" customWidth="1"/>
    <col min="4360" max="4360" width="12.85546875" style="1" customWidth="1"/>
    <col min="4361" max="4361" width="11.140625" style="1" customWidth="1"/>
    <col min="4362" max="4362" width="9.42578125" style="1" bestFit="1" customWidth="1"/>
    <col min="4363" max="4363" width="11.85546875" style="1" customWidth="1"/>
    <col min="4364" max="4364" width="8.7109375" style="1" bestFit="1" customWidth="1"/>
    <col min="4365" max="4365" width="10.85546875" style="1" customWidth="1"/>
    <col min="4366" max="4366" width="8.7109375" style="1" bestFit="1" customWidth="1"/>
    <col min="4367" max="4367" width="9.7109375" style="1" bestFit="1" customWidth="1"/>
    <col min="4368" max="4368" width="8.7109375" style="1" bestFit="1" customWidth="1"/>
    <col min="4369" max="4369" width="9.7109375" style="1" bestFit="1" customWidth="1"/>
    <col min="4370" max="4371" width="9.7109375" style="1" customWidth="1"/>
    <col min="4372" max="4372" width="8.42578125" style="1" customWidth="1"/>
    <col min="4373" max="4373" width="9.140625" style="1" customWidth="1"/>
    <col min="4374" max="4374" width="8" style="1" customWidth="1"/>
    <col min="4375" max="4375" width="10.28515625" style="1" customWidth="1"/>
    <col min="4376" max="4376" width="9.85546875" style="1" customWidth="1"/>
    <col min="4377" max="4377" width="11.5703125" style="1" customWidth="1"/>
    <col min="4378" max="4378" width="11.42578125" style="1" customWidth="1"/>
    <col min="4379" max="4379" width="12.7109375" style="1" bestFit="1" customWidth="1"/>
    <col min="4380" max="4380" width="11.85546875" style="1" bestFit="1" customWidth="1"/>
    <col min="4381" max="4608" width="9.140625" style="1"/>
    <col min="4609" max="4609" width="13.28515625" style="1" customWidth="1"/>
    <col min="4610" max="4610" width="12.28515625" style="1" customWidth="1"/>
    <col min="4611" max="4611" width="10" style="1" bestFit="1" customWidth="1"/>
    <col min="4612" max="4612" width="11" style="1" customWidth="1"/>
    <col min="4613" max="4613" width="11.28515625" style="1" customWidth="1"/>
    <col min="4614" max="4614" width="12.42578125" style="1" bestFit="1" customWidth="1"/>
    <col min="4615" max="4615" width="10.5703125" style="1" customWidth="1"/>
    <col min="4616" max="4616" width="12.85546875" style="1" customWidth="1"/>
    <col min="4617" max="4617" width="11.140625" style="1" customWidth="1"/>
    <col min="4618" max="4618" width="9.42578125" style="1" bestFit="1" customWidth="1"/>
    <col min="4619" max="4619" width="11.85546875" style="1" customWidth="1"/>
    <col min="4620" max="4620" width="8.7109375" style="1" bestFit="1" customWidth="1"/>
    <col min="4621" max="4621" width="10.85546875" style="1" customWidth="1"/>
    <col min="4622" max="4622" width="8.7109375" style="1" bestFit="1" customWidth="1"/>
    <col min="4623" max="4623" width="9.7109375" style="1" bestFit="1" customWidth="1"/>
    <col min="4624" max="4624" width="8.7109375" style="1" bestFit="1" customWidth="1"/>
    <col min="4625" max="4625" width="9.7109375" style="1" bestFit="1" customWidth="1"/>
    <col min="4626" max="4627" width="9.7109375" style="1" customWidth="1"/>
    <col min="4628" max="4628" width="8.42578125" style="1" customWidth="1"/>
    <col min="4629" max="4629" width="9.140625" style="1" customWidth="1"/>
    <col min="4630" max="4630" width="8" style="1" customWidth="1"/>
    <col min="4631" max="4631" width="10.28515625" style="1" customWidth="1"/>
    <col min="4632" max="4632" width="9.85546875" style="1" customWidth="1"/>
    <col min="4633" max="4633" width="11.5703125" style="1" customWidth="1"/>
    <col min="4634" max="4634" width="11.42578125" style="1" customWidth="1"/>
    <col min="4635" max="4635" width="12.7109375" style="1" bestFit="1" customWidth="1"/>
    <col min="4636" max="4636" width="11.85546875" style="1" bestFit="1" customWidth="1"/>
    <col min="4637" max="4864" width="9.140625" style="1"/>
    <col min="4865" max="4865" width="13.28515625" style="1" customWidth="1"/>
    <col min="4866" max="4866" width="12.28515625" style="1" customWidth="1"/>
    <col min="4867" max="4867" width="10" style="1" bestFit="1" customWidth="1"/>
    <col min="4868" max="4868" width="11" style="1" customWidth="1"/>
    <col min="4869" max="4869" width="11.28515625" style="1" customWidth="1"/>
    <col min="4870" max="4870" width="12.42578125" style="1" bestFit="1" customWidth="1"/>
    <col min="4871" max="4871" width="10.5703125" style="1" customWidth="1"/>
    <col min="4872" max="4872" width="12.85546875" style="1" customWidth="1"/>
    <col min="4873" max="4873" width="11.140625" style="1" customWidth="1"/>
    <col min="4874" max="4874" width="9.42578125" style="1" bestFit="1" customWidth="1"/>
    <col min="4875" max="4875" width="11.85546875" style="1" customWidth="1"/>
    <col min="4876" max="4876" width="8.7109375" style="1" bestFit="1" customWidth="1"/>
    <col min="4877" max="4877" width="10.85546875" style="1" customWidth="1"/>
    <col min="4878" max="4878" width="8.7109375" style="1" bestFit="1" customWidth="1"/>
    <col min="4879" max="4879" width="9.7109375" style="1" bestFit="1" customWidth="1"/>
    <col min="4880" max="4880" width="8.7109375" style="1" bestFit="1" customWidth="1"/>
    <col min="4881" max="4881" width="9.7109375" style="1" bestFit="1" customWidth="1"/>
    <col min="4882" max="4883" width="9.7109375" style="1" customWidth="1"/>
    <col min="4884" max="4884" width="8.42578125" style="1" customWidth="1"/>
    <col min="4885" max="4885" width="9.140625" style="1" customWidth="1"/>
    <col min="4886" max="4886" width="8" style="1" customWidth="1"/>
    <col min="4887" max="4887" width="10.28515625" style="1" customWidth="1"/>
    <col min="4888" max="4888" width="9.85546875" style="1" customWidth="1"/>
    <col min="4889" max="4889" width="11.5703125" style="1" customWidth="1"/>
    <col min="4890" max="4890" width="11.42578125" style="1" customWidth="1"/>
    <col min="4891" max="4891" width="12.7109375" style="1" bestFit="1" customWidth="1"/>
    <col min="4892" max="4892" width="11.85546875" style="1" bestFit="1" customWidth="1"/>
    <col min="4893" max="5120" width="9.140625" style="1"/>
    <col min="5121" max="5121" width="13.28515625" style="1" customWidth="1"/>
    <col min="5122" max="5122" width="12.28515625" style="1" customWidth="1"/>
    <col min="5123" max="5123" width="10" style="1" bestFit="1" customWidth="1"/>
    <col min="5124" max="5124" width="11" style="1" customWidth="1"/>
    <col min="5125" max="5125" width="11.28515625" style="1" customWidth="1"/>
    <col min="5126" max="5126" width="12.42578125" style="1" bestFit="1" customWidth="1"/>
    <col min="5127" max="5127" width="10.5703125" style="1" customWidth="1"/>
    <col min="5128" max="5128" width="12.85546875" style="1" customWidth="1"/>
    <col min="5129" max="5129" width="11.140625" style="1" customWidth="1"/>
    <col min="5130" max="5130" width="9.42578125" style="1" bestFit="1" customWidth="1"/>
    <col min="5131" max="5131" width="11.85546875" style="1" customWidth="1"/>
    <col min="5132" max="5132" width="8.7109375" style="1" bestFit="1" customWidth="1"/>
    <col min="5133" max="5133" width="10.85546875" style="1" customWidth="1"/>
    <col min="5134" max="5134" width="8.7109375" style="1" bestFit="1" customWidth="1"/>
    <col min="5135" max="5135" width="9.7109375" style="1" bestFit="1" customWidth="1"/>
    <col min="5136" max="5136" width="8.7109375" style="1" bestFit="1" customWidth="1"/>
    <col min="5137" max="5137" width="9.7109375" style="1" bestFit="1" customWidth="1"/>
    <col min="5138" max="5139" width="9.7109375" style="1" customWidth="1"/>
    <col min="5140" max="5140" width="8.42578125" style="1" customWidth="1"/>
    <col min="5141" max="5141" width="9.140625" style="1" customWidth="1"/>
    <col min="5142" max="5142" width="8" style="1" customWidth="1"/>
    <col min="5143" max="5143" width="10.28515625" style="1" customWidth="1"/>
    <col min="5144" max="5144" width="9.85546875" style="1" customWidth="1"/>
    <col min="5145" max="5145" width="11.5703125" style="1" customWidth="1"/>
    <col min="5146" max="5146" width="11.42578125" style="1" customWidth="1"/>
    <col min="5147" max="5147" width="12.7109375" style="1" bestFit="1" customWidth="1"/>
    <col min="5148" max="5148" width="11.85546875" style="1" bestFit="1" customWidth="1"/>
    <col min="5149" max="5376" width="9.140625" style="1"/>
    <col min="5377" max="5377" width="13.28515625" style="1" customWidth="1"/>
    <col min="5378" max="5378" width="12.28515625" style="1" customWidth="1"/>
    <col min="5379" max="5379" width="10" style="1" bestFit="1" customWidth="1"/>
    <col min="5380" max="5380" width="11" style="1" customWidth="1"/>
    <col min="5381" max="5381" width="11.28515625" style="1" customWidth="1"/>
    <col min="5382" max="5382" width="12.42578125" style="1" bestFit="1" customWidth="1"/>
    <col min="5383" max="5383" width="10.5703125" style="1" customWidth="1"/>
    <col min="5384" max="5384" width="12.85546875" style="1" customWidth="1"/>
    <col min="5385" max="5385" width="11.140625" style="1" customWidth="1"/>
    <col min="5386" max="5386" width="9.42578125" style="1" bestFit="1" customWidth="1"/>
    <col min="5387" max="5387" width="11.85546875" style="1" customWidth="1"/>
    <col min="5388" max="5388" width="8.7109375" style="1" bestFit="1" customWidth="1"/>
    <col min="5389" max="5389" width="10.85546875" style="1" customWidth="1"/>
    <col min="5390" max="5390" width="8.7109375" style="1" bestFit="1" customWidth="1"/>
    <col min="5391" max="5391" width="9.7109375" style="1" bestFit="1" customWidth="1"/>
    <col min="5392" max="5392" width="8.7109375" style="1" bestFit="1" customWidth="1"/>
    <col min="5393" max="5393" width="9.7109375" style="1" bestFit="1" customWidth="1"/>
    <col min="5394" max="5395" width="9.7109375" style="1" customWidth="1"/>
    <col min="5396" max="5396" width="8.42578125" style="1" customWidth="1"/>
    <col min="5397" max="5397" width="9.140625" style="1" customWidth="1"/>
    <col min="5398" max="5398" width="8" style="1" customWidth="1"/>
    <col min="5399" max="5399" width="10.28515625" style="1" customWidth="1"/>
    <col min="5400" max="5400" width="9.85546875" style="1" customWidth="1"/>
    <col min="5401" max="5401" width="11.5703125" style="1" customWidth="1"/>
    <col min="5402" max="5402" width="11.42578125" style="1" customWidth="1"/>
    <col min="5403" max="5403" width="12.7109375" style="1" bestFit="1" customWidth="1"/>
    <col min="5404" max="5404" width="11.85546875" style="1" bestFit="1" customWidth="1"/>
    <col min="5405" max="5632" width="9.140625" style="1"/>
    <col min="5633" max="5633" width="13.28515625" style="1" customWidth="1"/>
    <col min="5634" max="5634" width="12.28515625" style="1" customWidth="1"/>
    <col min="5635" max="5635" width="10" style="1" bestFit="1" customWidth="1"/>
    <col min="5636" max="5636" width="11" style="1" customWidth="1"/>
    <col min="5637" max="5637" width="11.28515625" style="1" customWidth="1"/>
    <col min="5638" max="5638" width="12.42578125" style="1" bestFit="1" customWidth="1"/>
    <col min="5639" max="5639" width="10.5703125" style="1" customWidth="1"/>
    <col min="5640" max="5640" width="12.85546875" style="1" customWidth="1"/>
    <col min="5641" max="5641" width="11.140625" style="1" customWidth="1"/>
    <col min="5642" max="5642" width="9.42578125" style="1" bestFit="1" customWidth="1"/>
    <col min="5643" max="5643" width="11.85546875" style="1" customWidth="1"/>
    <col min="5644" max="5644" width="8.7109375" style="1" bestFit="1" customWidth="1"/>
    <col min="5645" max="5645" width="10.85546875" style="1" customWidth="1"/>
    <col min="5646" max="5646" width="8.7109375" style="1" bestFit="1" customWidth="1"/>
    <col min="5647" max="5647" width="9.7109375" style="1" bestFit="1" customWidth="1"/>
    <col min="5648" max="5648" width="8.7109375" style="1" bestFit="1" customWidth="1"/>
    <col min="5649" max="5649" width="9.7109375" style="1" bestFit="1" customWidth="1"/>
    <col min="5650" max="5651" width="9.7109375" style="1" customWidth="1"/>
    <col min="5652" max="5652" width="8.42578125" style="1" customWidth="1"/>
    <col min="5653" max="5653" width="9.140625" style="1" customWidth="1"/>
    <col min="5654" max="5654" width="8" style="1" customWidth="1"/>
    <col min="5655" max="5655" width="10.28515625" style="1" customWidth="1"/>
    <col min="5656" max="5656" width="9.85546875" style="1" customWidth="1"/>
    <col min="5657" max="5657" width="11.5703125" style="1" customWidth="1"/>
    <col min="5658" max="5658" width="11.42578125" style="1" customWidth="1"/>
    <col min="5659" max="5659" width="12.7109375" style="1" bestFit="1" customWidth="1"/>
    <col min="5660" max="5660" width="11.85546875" style="1" bestFit="1" customWidth="1"/>
    <col min="5661" max="5888" width="9.140625" style="1"/>
    <col min="5889" max="5889" width="13.28515625" style="1" customWidth="1"/>
    <col min="5890" max="5890" width="12.28515625" style="1" customWidth="1"/>
    <col min="5891" max="5891" width="10" style="1" bestFit="1" customWidth="1"/>
    <col min="5892" max="5892" width="11" style="1" customWidth="1"/>
    <col min="5893" max="5893" width="11.28515625" style="1" customWidth="1"/>
    <col min="5894" max="5894" width="12.42578125" style="1" bestFit="1" customWidth="1"/>
    <col min="5895" max="5895" width="10.5703125" style="1" customWidth="1"/>
    <col min="5896" max="5896" width="12.85546875" style="1" customWidth="1"/>
    <col min="5897" max="5897" width="11.140625" style="1" customWidth="1"/>
    <col min="5898" max="5898" width="9.42578125" style="1" bestFit="1" customWidth="1"/>
    <col min="5899" max="5899" width="11.85546875" style="1" customWidth="1"/>
    <col min="5900" max="5900" width="8.7109375" style="1" bestFit="1" customWidth="1"/>
    <col min="5901" max="5901" width="10.85546875" style="1" customWidth="1"/>
    <col min="5902" max="5902" width="8.7109375" style="1" bestFit="1" customWidth="1"/>
    <col min="5903" max="5903" width="9.7109375" style="1" bestFit="1" customWidth="1"/>
    <col min="5904" max="5904" width="8.7109375" style="1" bestFit="1" customWidth="1"/>
    <col min="5905" max="5905" width="9.7109375" style="1" bestFit="1" customWidth="1"/>
    <col min="5906" max="5907" width="9.7109375" style="1" customWidth="1"/>
    <col min="5908" max="5908" width="8.42578125" style="1" customWidth="1"/>
    <col min="5909" max="5909" width="9.140625" style="1" customWidth="1"/>
    <col min="5910" max="5910" width="8" style="1" customWidth="1"/>
    <col min="5911" max="5911" width="10.28515625" style="1" customWidth="1"/>
    <col min="5912" max="5912" width="9.85546875" style="1" customWidth="1"/>
    <col min="5913" max="5913" width="11.5703125" style="1" customWidth="1"/>
    <col min="5914" max="5914" width="11.42578125" style="1" customWidth="1"/>
    <col min="5915" max="5915" width="12.7109375" style="1" bestFit="1" customWidth="1"/>
    <col min="5916" max="5916" width="11.85546875" style="1" bestFit="1" customWidth="1"/>
    <col min="5917" max="6144" width="9.140625" style="1"/>
    <col min="6145" max="6145" width="13.28515625" style="1" customWidth="1"/>
    <col min="6146" max="6146" width="12.28515625" style="1" customWidth="1"/>
    <col min="6147" max="6147" width="10" style="1" bestFit="1" customWidth="1"/>
    <col min="6148" max="6148" width="11" style="1" customWidth="1"/>
    <col min="6149" max="6149" width="11.28515625" style="1" customWidth="1"/>
    <col min="6150" max="6150" width="12.42578125" style="1" bestFit="1" customWidth="1"/>
    <col min="6151" max="6151" width="10.5703125" style="1" customWidth="1"/>
    <col min="6152" max="6152" width="12.85546875" style="1" customWidth="1"/>
    <col min="6153" max="6153" width="11.140625" style="1" customWidth="1"/>
    <col min="6154" max="6154" width="9.42578125" style="1" bestFit="1" customWidth="1"/>
    <col min="6155" max="6155" width="11.85546875" style="1" customWidth="1"/>
    <col min="6156" max="6156" width="8.7109375" style="1" bestFit="1" customWidth="1"/>
    <col min="6157" max="6157" width="10.85546875" style="1" customWidth="1"/>
    <col min="6158" max="6158" width="8.7109375" style="1" bestFit="1" customWidth="1"/>
    <col min="6159" max="6159" width="9.7109375" style="1" bestFit="1" customWidth="1"/>
    <col min="6160" max="6160" width="8.7109375" style="1" bestFit="1" customWidth="1"/>
    <col min="6161" max="6161" width="9.7109375" style="1" bestFit="1" customWidth="1"/>
    <col min="6162" max="6163" width="9.7109375" style="1" customWidth="1"/>
    <col min="6164" max="6164" width="8.42578125" style="1" customWidth="1"/>
    <col min="6165" max="6165" width="9.140625" style="1" customWidth="1"/>
    <col min="6166" max="6166" width="8" style="1" customWidth="1"/>
    <col min="6167" max="6167" width="10.28515625" style="1" customWidth="1"/>
    <col min="6168" max="6168" width="9.85546875" style="1" customWidth="1"/>
    <col min="6169" max="6169" width="11.5703125" style="1" customWidth="1"/>
    <col min="6170" max="6170" width="11.42578125" style="1" customWidth="1"/>
    <col min="6171" max="6171" width="12.7109375" style="1" bestFit="1" customWidth="1"/>
    <col min="6172" max="6172" width="11.85546875" style="1" bestFit="1" customWidth="1"/>
    <col min="6173" max="6400" width="9.140625" style="1"/>
    <col min="6401" max="6401" width="13.28515625" style="1" customWidth="1"/>
    <col min="6402" max="6402" width="12.28515625" style="1" customWidth="1"/>
    <col min="6403" max="6403" width="10" style="1" bestFit="1" customWidth="1"/>
    <col min="6404" max="6404" width="11" style="1" customWidth="1"/>
    <col min="6405" max="6405" width="11.28515625" style="1" customWidth="1"/>
    <col min="6406" max="6406" width="12.42578125" style="1" bestFit="1" customWidth="1"/>
    <col min="6407" max="6407" width="10.5703125" style="1" customWidth="1"/>
    <col min="6408" max="6408" width="12.85546875" style="1" customWidth="1"/>
    <col min="6409" max="6409" width="11.140625" style="1" customWidth="1"/>
    <col min="6410" max="6410" width="9.42578125" style="1" bestFit="1" customWidth="1"/>
    <col min="6411" max="6411" width="11.85546875" style="1" customWidth="1"/>
    <col min="6412" max="6412" width="8.7109375" style="1" bestFit="1" customWidth="1"/>
    <col min="6413" max="6413" width="10.85546875" style="1" customWidth="1"/>
    <col min="6414" max="6414" width="8.7109375" style="1" bestFit="1" customWidth="1"/>
    <col min="6415" max="6415" width="9.7109375" style="1" bestFit="1" customWidth="1"/>
    <col min="6416" max="6416" width="8.7109375" style="1" bestFit="1" customWidth="1"/>
    <col min="6417" max="6417" width="9.7109375" style="1" bestFit="1" customWidth="1"/>
    <col min="6418" max="6419" width="9.7109375" style="1" customWidth="1"/>
    <col min="6420" max="6420" width="8.42578125" style="1" customWidth="1"/>
    <col min="6421" max="6421" width="9.140625" style="1" customWidth="1"/>
    <col min="6422" max="6422" width="8" style="1" customWidth="1"/>
    <col min="6423" max="6423" width="10.28515625" style="1" customWidth="1"/>
    <col min="6424" max="6424" width="9.85546875" style="1" customWidth="1"/>
    <col min="6425" max="6425" width="11.5703125" style="1" customWidth="1"/>
    <col min="6426" max="6426" width="11.42578125" style="1" customWidth="1"/>
    <col min="6427" max="6427" width="12.7109375" style="1" bestFit="1" customWidth="1"/>
    <col min="6428" max="6428" width="11.85546875" style="1" bestFit="1" customWidth="1"/>
    <col min="6429" max="6656" width="9.140625" style="1"/>
    <col min="6657" max="6657" width="13.28515625" style="1" customWidth="1"/>
    <col min="6658" max="6658" width="12.28515625" style="1" customWidth="1"/>
    <col min="6659" max="6659" width="10" style="1" bestFit="1" customWidth="1"/>
    <col min="6660" max="6660" width="11" style="1" customWidth="1"/>
    <col min="6661" max="6661" width="11.28515625" style="1" customWidth="1"/>
    <col min="6662" max="6662" width="12.42578125" style="1" bestFit="1" customWidth="1"/>
    <col min="6663" max="6663" width="10.5703125" style="1" customWidth="1"/>
    <col min="6664" max="6664" width="12.85546875" style="1" customWidth="1"/>
    <col min="6665" max="6665" width="11.140625" style="1" customWidth="1"/>
    <col min="6666" max="6666" width="9.42578125" style="1" bestFit="1" customWidth="1"/>
    <col min="6667" max="6667" width="11.85546875" style="1" customWidth="1"/>
    <col min="6668" max="6668" width="8.7109375" style="1" bestFit="1" customWidth="1"/>
    <col min="6669" max="6669" width="10.85546875" style="1" customWidth="1"/>
    <col min="6670" max="6670" width="8.7109375" style="1" bestFit="1" customWidth="1"/>
    <col min="6671" max="6671" width="9.7109375" style="1" bestFit="1" customWidth="1"/>
    <col min="6672" max="6672" width="8.7109375" style="1" bestFit="1" customWidth="1"/>
    <col min="6673" max="6673" width="9.7109375" style="1" bestFit="1" customWidth="1"/>
    <col min="6674" max="6675" width="9.7109375" style="1" customWidth="1"/>
    <col min="6676" max="6676" width="8.42578125" style="1" customWidth="1"/>
    <col min="6677" max="6677" width="9.140625" style="1" customWidth="1"/>
    <col min="6678" max="6678" width="8" style="1" customWidth="1"/>
    <col min="6679" max="6679" width="10.28515625" style="1" customWidth="1"/>
    <col min="6680" max="6680" width="9.85546875" style="1" customWidth="1"/>
    <col min="6681" max="6681" width="11.5703125" style="1" customWidth="1"/>
    <col min="6682" max="6682" width="11.42578125" style="1" customWidth="1"/>
    <col min="6683" max="6683" width="12.7109375" style="1" bestFit="1" customWidth="1"/>
    <col min="6684" max="6684" width="11.85546875" style="1" bestFit="1" customWidth="1"/>
    <col min="6685" max="6912" width="9.140625" style="1"/>
    <col min="6913" max="6913" width="13.28515625" style="1" customWidth="1"/>
    <col min="6914" max="6914" width="12.28515625" style="1" customWidth="1"/>
    <col min="6915" max="6915" width="10" style="1" bestFit="1" customWidth="1"/>
    <col min="6916" max="6916" width="11" style="1" customWidth="1"/>
    <col min="6917" max="6917" width="11.28515625" style="1" customWidth="1"/>
    <col min="6918" max="6918" width="12.42578125" style="1" bestFit="1" customWidth="1"/>
    <col min="6919" max="6919" width="10.5703125" style="1" customWidth="1"/>
    <col min="6920" max="6920" width="12.85546875" style="1" customWidth="1"/>
    <col min="6921" max="6921" width="11.140625" style="1" customWidth="1"/>
    <col min="6922" max="6922" width="9.42578125" style="1" bestFit="1" customWidth="1"/>
    <col min="6923" max="6923" width="11.85546875" style="1" customWidth="1"/>
    <col min="6924" max="6924" width="8.7109375" style="1" bestFit="1" customWidth="1"/>
    <col min="6925" max="6925" width="10.85546875" style="1" customWidth="1"/>
    <col min="6926" max="6926" width="8.7109375" style="1" bestFit="1" customWidth="1"/>
    <col min="6927" max="6927" width="9.7109375" style="1" bestFit="1" customWidth="1"/>
    <col min="6928" max="6928" width="8.7109375" style="1" bestFit="1" customWidth="1"/>
    <col min="6929" max="6929" width="9.7109375" style="1" bestFit="1" customWidth="1"/>
    <col min="6930" max="6931" width="9.7109375" style="1" customWidth="1"/>
    <col min="6932" max="6932" width="8.42578125" style="1" customWidth="1"/>
    <col min="6933" max="6933" width="9.140625" style="1" customWidth="1"/>
    <col min="6934" max="6934" width="8" style="1" customWidth="1"/>
    <col min="6935" max="6935" width="10.28515625" style="1" customWidth="1"/>
    <col min="6936" max="6936" width="9.85546875" style="1" customWidth="1"/>
    <col min="6937" max="6937" width="11.5703125" style="1" customWidth="1"/>
    <col min="6938" max="6938" width="11.42578125" style="1" customWidth="1"/>
    <col min="6939" max="6939" width="12.7109375" style="1" bestFit="1" customWidth="1"/>
    <col min="6940" max="6940" width="11.85546875" style="1" bestFit="1" customWidth="1"/>
    <col min="6941" max="7168" width="9.140625" style="1"/>
    <col min="7169" max="7169" width="13.28515625" style="1" customWidth="1"/>
    <col min="7170" max="7170" width="12.28515625" style="1" customWidth="1"/>
    <col min="7171" max="7171" width="10" style="1" bestFit="1" customWidth="1"/>
    <col min="7172" max="7172" width="11" style="1" customWidth="1"/>
    <col min="7173" max="7173" width="11.28515625" style="1" customWidth="1"/>
    <col min="7174" max="7174" width="12.42578125" style="1" bestFit="1" customWidth="1"/>
    <col min="7175" max="7175" width="10.5703125" style="1" customWidth="1"/>
    <col min="7176" max="7176" width="12.85546875" style="1" customWidth="1"/>
    <col min="7177" max="7177" width="11.140625" style="1" customWidth="1"/>
    <col min="7178" max="7178" width="9.42578125" style="1" bestFit="1" customWidth="1"/>
    <col min="7179" max="7179" width="11.85546875" style="1" customWidth="1"/>
    <col min="7180" max="7180" width="8.7109375" style="1" bestFit="1" customWidth="1"/>
    <col min="7181" max="7181" width="10.85546875" style="1" customWidth="1"/>
    <col min="7182" max="7182" width="8.7109375" style="1" bestFit="1" customWidth="1"/>
    <col min="7183" max="7183" width="9.7109375" style="1" bestFit="1" customWidth="1"/>
    <col min="7184" max="7184" width="8.7109375" style="1" bestFit="1" customWidth="1"/>
    <col min="7185" max="7185" width="9.7109375" style="1" bestFit="1" customWidth="1"/>
    <col min="7186" max="7187" width="9.7109375" style="1" customWidth="1"/>
    <col min="7188" max="7188" width="8.42578125" style="1" customWidth="1"/>
    <col min="7189" max="7189" width="9.140625" style="1" customWidth="1"/>
    <col min="7190" max="7190" width="8" style="1" customWidth="1"/>
    <col min="7191" max="7191" width="10.28515625" style="1" customWidth="1"/>
    <col min="7192" max="7192" width="9.85546875" style="1" customWidth="1"/>
    <col min="7193" max="7193" width="11.5703125" style="1" customWidth="1"/>
    <col min="7194" max="7194" width="11.42578125" style="1" customWidth="1"/>
    <col min="7195" max="7195" width="12.7109375" style="1" bestFit="1" customWidth="1"/>
    <col min="7196" max="7196" width="11.85546875" style="1" bestFit="1" customWidth="1"/>
    <col min="7197" max="7424" width="9.140625" style="1"/>
    <col min="7425" max="7425" width="13.28515625" style="1" customWidth="1"/>
    <col min="7426" max="7426" width="12.28515625" style="1" customWidth="1"/>
    <col min="7427" max="7427" width="10" style="1" bestFit="1" customWidth="1"/>
    <col min="7428" max="7428" width="11" style="1" customWidth="1"/>
    <col min="7429" max="7429" width="11.28515625" style="1" customWidth="1"/>
    <col min="7430" max="7430" width="12.42578125" style="1" bestFit="1" customWidth="1"/>
    <col min="7431" max="7431" width="10.5703125" style="1" customWidth="1"/>
    <col min="7432" max="7432" width="12.85546875" style="1" customWidth="1"/>
    <col min="7433" max="7433" width="11.140625" style="1" customWidth="1"/>
    <col min="7434" max="7434" width="9.42578125" style="1" bestFit="1" customWidth="1"/>
    <col min="7435" max="7435" width="11.85546875" style="1" customWidth="1"/>
    <col min="7436" max="7436" width="8.7109375" style="1" bestFit="1" customWidth="1"/>
    <col min="7437" max="7437" width="10.85546875" style="1" customWidth="1"/>
    <col min="7438" max="7438" width="8.7109375" style="1" bestFit="1" customWidth="1"/>
    <col min="7439" max="7439" width="9.7109375" style="1" bestFit="1" customWidth="1"/>
    <col min="7440" max="7440" width="8.7109375" style="1" bestFit="1" customWidth="1"/>
    <col min="7441" max="7441" width="9.7109375" style="1" bestFit="1" customWidth="1"/>
    <col min="7442" max="7443" width="9.7109375" style="1" customWidth="1"/>
    <col min="7444" max="7444" width="8.42578125" style="1" customWidth="1"/>
    <col min="7445" max="7445" width="9.140625" style="1" customWidth="1"/>
    <col min="7446" max="7446" width="8" style="1" customWidth="1"/>
    <col min="7447" max="7447" width="10.28515625" style="1" customWidth="1"/>
    <col min="7448" max="7448" width="9.85546875" style="1" customWidth="1"/>
    <col min="7449" max="7449" width="11.5703125" style="1" customWidth="1"/>
    <col min="7450" max="7450" width="11.42578125" style="1" customWidth="1"/>
    <col min="7451" max="7451" width="12.7109375" style="1" bestFit="1" customWidth="1"/>
    <col min="7452" max="7452" width="11.85546875" style="1" bestFit="1" customWidth="1"/>
    <col min="7453" max="7680" width="9.140625" style="1"/>
    <col min="7681" max="7681" width="13.28515625" style="1" customWidth="1"/>
    <col min="7682" max="7682" width="12.28515625" style="1" customWidth="1"/>
    <col min="7683" max="7683" width="10" style="1" bestFit="1" customWidth="1"/>
    <col min="7684" max="7684" width="11" style="1" customWidth="1"/>
    <col min="7685" max="7685" width="11.28515625" style="1" customWidth="1"/>
    <col min="7686" max="7686" width="12.42578125" style="1" bestFit="1" customWidth="1"/>
    <col min="7687" max="7687" width="10.5703125" style="1" customWidth="1"/>
    <col min="7688" max="7688" width="12.85546875" style="1" customWidth="1"/>
    <col min="7689" max="7689" width="11.140625" style="1" customWidth="1"/>
    <col min="7690" max="7690" width="9.42578125" style="1" bestFit="1" customWidth="1"/>
    <col min="7691" max="7691" width="11.85546875" style="1" customWidth="1"/>
    <col min="7692" max="7692" width="8.7109375" style="1" bestFit="1" customWidth="1"/>
    <col min="7693" max="7693" width="10.85546875" style="1" customWidth="1"/>
    <col min="7694" max="7694" width="8.7109375" style="1" bestFit="1" customWidth="1"/>
    <col min="7695" max="7695" width="9.7109375" style="1" bestFit="1" customWidth="1"/>
    <col min="7696" max="7696" width="8.7109375" style="1" bestFit="1" customWidth="1"/>
    <col min="7697" max="7697" width="9.7109375" style="1" bestFit="1" customWidth="1"/>
    <col min="7698" max="7699" width="9.7109375" style="1" customWidth="1"/>
    <col min="7700" max="7700" width="8.42578125" style="1" customWidth="1"/>
    <col min="7701" max="7701" width="9.140625" style="1" customWidth="1"/>
    <col min="7702" max="7702" width="8" style="1" customWidth="1"/>
    <col min="7703" max="7703" width="10.28515625" style="1" customWidth="1"/>
    <col min="7704" max="7704" width="9.85546875" style="1" customWidth="1"/>
    <col min="7705" max="7705" width="11.5703125" style="1" customWidth="1"/>
    <col min="7706" max="7706" width="11.42578125" style="1" customWidth="1"/>
    <col min="7707" max="7707" width="12.7109375" style="1" bestFit="1" customWidth="1"/>
    <col min="7708" max="7708" width="11.85546875" style="1" bestFit="1" customWidth="1"/>
    <col min="7709" max="7936" width="9.140625" style="1"/>
    <col min="7937" max="7937" width="13.28515625" style="1" customWidth="1"/>
    <col min="7938" max="7938" width="12.28515625" style="1" customWidth="1"/>
    <col min="7939" max="7939" width="10" style="1" bestFit="1" customWidth="1"/>
    <col min="7940" max="7940" width="11" style="1" customWidth="1"/>
    <col min="7941" max="7941" width="11.28515625" style="1" customWidth="1"/>
    <col min="7942" max="7942" width="12.42578125" style="1" bestFit="1" customWidth="1"/>
    <col min="7943" max="7943" width="10.5703125" style="1" customWidth="1"/>
    <col min="7944" max="7944" width="12.85546875" style="1" customWidth="1"/>
    <col min="7945" max="7945" width="11.140625" style="1" customWidth="1"/>
    <col min="7946" max="7946" width="9.42578125" style="1" bestFit="1" customWidth="1"/>
    <col min="7947" max="7947" width="11.85546875" style="1" customWidth="1"/>
    <col min="7948" max="7948" width="8.7109375" style="1" bestFit="1" customWidth="1"/>
    <col min="7949" max="7949" width="10.85546875" style="1" customWidth="1"/>
    <col min="7950" max="7950" width="8.7109375" style="1" bestFit="1" customWidth="1"/>
    <col min="7951" max="7951" width="9.7109375" style="1" bestFit="1" customWidth="1"/>
    <col min="7952" max="7952" width="8.7109375" style="1" bestFit="1" customWidth="1"/>
    <col min="7953" max="7953" width="9.7109375" style="1" bestFit="1" customWidth="1"/>
    <col min="7954" max="7955" width="9.7109375" style="1" customWidth="1"/>
    <col min="7956" max="7956" width="8.42578125" style="1" customWidth="1"/>
    <col min="7957" max="7957" width="9.140625" style="1" customWidth="1"/>
    <col min="7958" max="7958" width="8" style="1" customWidth="1"/>
    <col min="7959" max="7959" width="10.28515625" style="1" customWidth="1"/>
    <col min="7960" max="7960" width="9.85546875" style="1" customWidth="1"/>
    <col min="7961" max="7961" width="11.5703125" style="1" customWidth="1"/>
    <col min="7962" max="7962" width="11.42578125" style="1" customWidth="1"/>
    <col min="7963" max="7963" width="12.7109375" style="1" bestFit="1" customWidth="1"/>
    <col min="7964" max="7964" width="11.85546875" style="1" bestFit="1" customWidth="1"/>
    <col min="7965" max="8192" width="9.140625" style="1"/>
    <col min="8193" max="8193" width="13.28515625" style="1" customWidth="1"/>
    <col min="8194" max="8194" width="12.28515625" style="1" customWidth="1"/>
    <col min="8195" max="8195" width="10" style="1" bestFit="1" customWidth="1"/>
    <col min="8196" max="8196" width="11" style="1" customWidth="1"/>
    <col min="8197" max="8197" width="11.28515625" style="1" customWidth="1"/>
    <col min="8198" max="8198" width="12.42578125" style="1" bestFit="1" customWidth="1"/>
    <col min="8199" max="8199" width="10.5703125" style="1" customWidth="1"/>
    <col min="8200" max="8200" width="12.85546875" style="1" customWidth="1"/>
    <col min="8201" max="8201" width="11.140625" style="1" customWidth="1"/>
    <col min="8202" max="8202" width="9.42578125" style="1" bestFit="1" customWidth="1"/>
    <col min="8203" max="8203" width="11.85546875" style="1" customWidth="1"/>
    <col min="8204" max="8204" width="8.7109375" style="1" bestFit="1" customWidth="1"/>
    <col min="8205" max="8205" width="10.85546875" style="1" customWidth="1"/>
    <col min="8206" max="8206" width="8.7109375" style="1" bestFit="1" customWidth="1"/>
    <col min="8207" max="8207" width="9.7109375" style="1" bestFit="1" customWidth="1"/>
    <col min="8208" max="8208" width="8.7109375" style="1" bestFit="1" customWidth="1"/>
    <col min="8209" max="8209" width="9.7109375" style="1" bestFit="1" customWidth="1"/>
    <col min="8210" max="8211" width="9.7109375" style="1" customWidth="1"/>
    <col min="8212" max="8212" width="8.42578125" style="1" customWidth="1"/>
    <col min="8213" max="8213" width="9.140625" style="1" customWidth="1"/>
    <col min="8214" max="8214" width="8" style="1" customWidth="1"/>
    <col min="8215" max="8215" width="10.28515625" style="1" customWidth="1"/>
    <col min="8216" max="8216" width="9.85546875" style="1" customWidth="1"/>
    <col min="8217" max="8217" width="11.5703125" style="1" customWidth="1"/>
    <col min="8218" max="8218" width="11.42578125" style="1" customWidth="1"/>
    <col min="8219" max="8219" width="12.7109375" style="1" bestFit="1" customWidth="1"/>
    <col min="8220" max="8220" width="11.85546875" style="1" bestFit="1" customWidth="1"/>
    <col min="8221" max="8448" width="9.140625" style="1"/>
    <col min="8449" max="8449" width="13.28515625" style="1" customWidth="1"/>
    <col min="8450" max="8450" width="12.28515625" style="1" customWidth="1"/>
    <col min="8451" max="8451" width="10" style="1" bestFit="1" customWidth="1"/>
    <col min="8452" max="8452" width="11" style="1" customWidth="1"/>
    <col min="8453" max="8453" width="11.28515625" style="1" customWidth="1"/>
    <col min="8454" max="8454" width="12.42578125" style="1" bestFit="1" customWidth="1"/>
    <col min="8455" max="8455" width="10.5703125" style="1" customWidth="1"/>
    <col min="8456" max="8456" width="12.85546875" style="1" customWidth="1"/>
    <col min="8457" max="8457" width="11.140625" style="1" customWidth="1"/>
    <col min="8458" max="8458" width="9.42578125" style="1" bestFit="1" customWidth="1"/>
    <col min="8459" max="8459" width="11.85546875" style="1" customWidth="1"/>
    <col min="8460" max="8460" width="8.7109375" style="1" bestFit="1" customWidth="1"/>
    <col min="8461" max="8461" width="10.85546875" style="1" customWidth="1"/>
    <col min="8462" max="8462" width="8.7109375" style="1" bestFit="1" customWidth="1"/>
    <col min="8463" max="8463" width="9.7109375" style="1" bestFit="1" customWidth="1"/>
    <col min="8464" max="8464" width="8.7109375" style="1" bestFit="1" customWidth="1"/>
    <col min="8465" max="8465" width="9.7109375" style="1" bestFit="1" customWidth="1"/>
    <col min="8466" max="8467" width="9.7109375" style="1" customWidth="1"/>
    <col min="8468" max="8468" width="8.42578125" style="1" customWidth="1"/>
    <col min="8469" max="8469" width="9.140625" style="1" customWidth="1"/>
    <col min="8470" max="8470" width="8" style="1" customWidth="1"/>
    <col min="8471" max="8471" width="10.28515625" style="1" customWidth="1"/>
    <col min="8472" max="8472" width="9.85546875" style="1" customWidth="1"/>
    <col min="8473" max="8473" width="11.5703125" style="1" customWidth="1"/>
    <col min="8474" max="8474" width="11.42578125" style="1" customWidth="1"/>
    <col min="8475" max="8475" width="12.7109375" style="1" bestFit="1" customWidth="1"/>
    <col min="8476" max="8476" width="11.85546875" style="1" bestFit="1" customWidth="1"/>
    <col min="8477" max="8704" width="9.140625" style="1"/>
    <col min="8705" max="8705" width="13.28515625" style="1" customWidth="1"/>
    <col min="8706" max="8706" width="12.28515625" style="1" customWidth="1"/>
    <col min="8707" max="8707" width="10" style="1" bestFit="1" customWidth="1"/>
    <col min="8708" max="8708" width="11" style="1" customWidth="1"/>
    <col min="8709" max="8709" width="11.28515625" style="1" customWidth="1"/>
    <col min="8710" max="8710" width="12.42578125" style="1" bestFit="1" customWidth="1"/>
    <col min="8711" max="8711" width="10.5703125" style="1" customWidth="1"/>
    <col min="8712" max="8712" width="12.85546875" style="1" customWidth="1"/>
    <col min="8713" max="8713" width="11.140625" style="1" customWidth="1"/>
    <col min="8714" max="8714" width="9.42578125" style="1" bestFit="1" customWidth="1"/>
    <col min="8715" max="8715" width="11.85546875" style="1" customWidth="1"/>
    <col min="8716" max="8716" width="8.7109375" style="1" bestFit="1" customWidth="1"/>
    <col min="8717" max="8717" width="10.85546875" style="1" customWidth="1"/>
    <col min="8718" max="8718" width="8.7109375" style="1" bestFit="1" customWidth="1"/>
    <col min="8719" max="8719" width="9.7109375" style="1" bestFit="1" customWidth="1"/>
    <col min="8720" max="8720" width="8.7109375" style="1" bestFit="1" customWidth="1"/>
    <col min="8721" max="8721" width="9.7109375" style="1" bestFit="1" customWidth="1"/>
    <col min="8722" max="8723" width="9.7109375" style="1" customWidth="1"/>
    <col min="8724" max="8724" width="8.42578125" style="1" customWidth="1"/>
    <col min="8725" max="8725" width="9.140625" style="1" customWidth="1"/>
    <col min="8726" max="8726" width="8" style="1" customWidth="1"/>
    <col min="8727" max="8727" width="10.28515625" style="1" customWidth="1"/>
    <col min="8728" max="8728" width="9.85546875" style="1" customWidth="1"/>
    <col min="8729" max="8729" width="11.5703125" style="1" customWidth="1"/>
    <col min="8730" max="8730" width="11.42578125" style="1" customWidth="1"/>
    <col min="8731" max="8731" width="12.7109375" style="1" bestFit="1" customWidth="1"/>
    <col min="8732" max="8732" width="11.85546875" style="1" bestFit="1" customWidth="1"/>
    <col min="8733" max="8960" width="9.140625" style="1"/>
    <col min="8961" max="8961" width="13.28515625" style="1" customWidth="1"/>
    <col min="8962" max="8962" width="12.28515625" style="1" customWidth="1"/>
    <col min="8963" max="8963" width="10" style="1" bestFit="1" customWidth="1"/>
    <col min="8964" max="8964" width="11" style="1" customWidth="1"/>
    <col min="8965" max="8965" width="11.28515625" style="1" customWidth="1"/>
    <col min="8966" max="8966" width="12.42578125" style="1" bestFit="1" customWidth="1"/>
    <col min="8967" max="8967" width="10.5703125" style="1" customWidth="1"/>
    <col min="8968" max="8968" width="12.85546875" style="1" customWidth="1"/>
    <col min="8969" max="8969" width="11.140625" style="1" customWidth="1"/>
    <col min="8970" max="8970" width="9.42578125" style="1" bestFit="1" customWidth="1"/>
    <col min="8971" max="8971" width="11.85546875" style="1" customWidth="1"/>
    <col min="8972" max="8972" width="8.7109375" style="1" bestFit="1" customWidth="1"/>
    <col min="8973" max="8973" width="10.85546875" style="1" customWidth="1"/>
    <col min="8974" max="8974" width="8.7109375" style="1" bestFit="1" customWidth="1"/>
    <col min="8975" max="8975" width="9.7109375" style="1" bestFit="1" customWidth="1"/>
    <col min="8976" max="8976" width="8.7109375" style="1" bestFit="1" customWidth="1"/>
    <col min="8977" max="8977" width="9.7109375" style="1" bestFit="1" customWidth="1"/>
    <col min="8978" max="8979" width="9.7109375" style="1" customWidth="1"/>
    <col min="8980" max="8980" width="8.42578125" style="1" customWidth="1"/>
    <col min="8981" max="8981" width="9.140625" style="1" customWidth="1"/>
    <col min="8982" max="8982" width="8" style="1" customWidth="1"/>
    <col min="8983" max="8983" width="10.28515625" style="1" customWidth="1"/>
    <col min="8984" max="8984" width="9.85546875" style="1" customWidth="1"/>
    <col min="8985" max="8985" width="11.5703125" style="1" customWidth="1"/>
    <col min="8986" max="8986" width="11.42578125" style="1" customWidth="1"/>
    <col min="8987" max="8987" width="12.7109375" style="1" bestFit="1" customWidth="1"/>
    <col min="8988" max="8988" width="11.85546875" style="1" bestFit="1" customWidth="1"/>
    <col min="8989" max="9216" width="9.140625" style="1"/>
    <col min="9217" max="9217" width="13.28515625" style="1" customWidth="1"/>
    <col min="9218" max="9218" width="12.28515625" style="1" customWidth="1"/>
    <col min="9219" max="9219" width="10" style="1" bestFit="1" customWidth="1"/>
    <col min="9220" max="9220" width="11" style="1" customWidth="1"/>
    <col min="9221" max="9221" width="11.28515625" style="1" customWidth="1"/>
    <col min="9222" max="9222" width="12.42578125" style="1" bestFit="1" customWidth="1"/>
    <col min="9223" max="9223" width="10.5703125" style="1" customWidth="1"/>
    <col min="9224" max="9224" width="12.85546875" style="1" customWidth="1"/>
    <col min="9225" max="9225" width="11.140625" style="1" customWidth="1"/>
    <col min="9226" max="9226" width="9.42578125" style="1" bestFit="1" customWidth="1"/>
    <col min="9227" max="9227" width="11.85546875" style="1" customWidth="1"/>
    <col min="9228" max="9228" width="8.7109375" style="1" bestFit="1" customWidth="1"/>
    <col min="9229" max="9229" width="10.85546875" style="1" customWidth="1"/>
    <col min="9230" max="9230" width="8.7109375" style="1" bestFit="1" customWidth="1"/>
    <col min="9231" max="9231" width="9.7109375" style="1" bestFit="1" customWidth="1"/>
    <col min="9232" max="9232" width="8.7109375" style="1" bestFit="1" customWidth="1"/>
    <col min="9233" max="9233" width="9.7109375" style="1" bestFit="1" customWidth="1"/>
    <col min="9234" max="9235" width="9.7109375" style="1" customWidth="1"/>
    <col min="9236" max="9236" width="8.42578125" style="1" customWidth="1"/>
    <col min="9237" max="9237" width="9.140625" style="1" customWidth="1"/>
    <col min="9238" max="9238" width="8" style="1" customWidth="1"/>
    <col min="9239" max="9239" width="10.28515625" style="1" customWidth="1"/>
    <col min="9240" max="9240" width="9.85546875" style="1" customWidth="1"/>
    <col min="9241" max="9241" width="11.5703125" style="1" customWidth="1"/>
    <col min="9242" max="9242" width="11.42578125" style="1" customWidth="1"/>
    <col min="9243" max="9243" width="12.7109375" style="1" bestFit="1" customWidth="1"/>
    <col min="9244" max="9244" width="11.85546875" style="1" bestFit="1" customWidth="1"/>
    <col min="9245" max="9472" width="9.140625" style="1"/>
    <col min="9473" max="9473" width="13.28515625" style="1" customWidth="1"/>
    <col min="9474" max="9474" width="12.28515625" style="1" customWidth="1"/>
    <col min="9475" max="9475" width="10" style="1" bestFit="1" customWidth="1"/>
    <col min="9476" max="9476" width="11" style="1" customWidth="1"/>
    <col min="9477" max="9477" width="11.28515625" style="1" customWidth="1"/>
    <col min="9478" max="9478" width="12.42578125" style="1" bestFit="1" customWidth="1"/>
    <col min="9479" max="9479" width="10.5703125" style="1" customWidth="1"/>
    <col min="9480" max="9480" width="12.85546875" style="1" customWidth="1"/>
    <col min="9481" max="9481" width="11.140625" style="1" customWidth="1"/>
    <col min="9482" max="9482" width="9.42578125" style="1" bestFit="1" customWidth="1"/>
    <col min="9483" max="9483" width="11.85546875" style="1" customWidth="1"/>
    <col min="9484" max="9484" width="8.7109375" style="1" bestFit="1" customWidth="1"/>
    <col min="9485" max="9485" width="10.85546875" style="1" customWidth="1"/>
    <col min="9486" max="9486" width="8.7109375" style="1" bestFit="1" customWidth="1"/>
    <col min="9487" max="9487" width="9.7109375" style="1" bestFit="1" customWidth="1"/>
    <col min="9488" max="9488" width="8.7109375" style="1" bestFit="1" customWidth="1"/>
    <col min="9489" max="9489" width="9.7109375" style="1" bestFit="1" customWidth="1"/>
    <col min="9490" max="9491" width="9.7109375" style="1" customWidth="1"/>
    <col min="9492" max="9492" width="8.42578125" style="1" customWidth="1"/>
    <col min="9493" max="9493" width="9.140625" style="1" customWidth="1"/>
    <col min="9494" max="9494" width="8" style="1" customWidth="1"/>
    <col min="9495" max="9495" width="10.28515625" style="1" customWidth="1"/>
    <col min="9496" max="9496" width="9.85546875" style="1" customWidth="1"/>
    <col min="9497" max="9497" width="11.5703125" style="1" customWidth="1"/>
    <col min="9498" max="9498" width="11.42578125" style="1" customWidth="1"/>
    <col min="9499" max="9499" width="12.7109375" style="1" bestFit="1" customWidth="1"/>
    <col min="9500" max="9500" width="11.85546875" style="1" bestFit="1" customWidth="1"/>
    <col min="9501" max="9728" width="9.140625" style="1"/>
    <col min="9729" max="9729" width="13.28515625" style="1" customWidth="1"/>
    <col min="9730" max="9730" width="12.28515625" style="1" customWidth="1"/>
    <col min="9731" max="9731" width="10" style="1" bestFit="1" customWidth="1"/>
    <col min="9732" max="9732" width="11" style="1" customWidth="1"/>
    <col min="9733" max="9733" width="11.28515625" style="1" customWidth="1"/>
    <col min="9734" max="9734" width="12.42578125" style="1" bestFit="1" customWidth="1"/>
    <col min="9735" max="9735" width="10.5703125" style="1" customWidth="1"/>
    <col min="9736" max="9736" width="12.85546875" style="1" customWidth="1"/>
    <col min="9737" max="9737" width="11.140625" style="1" customWidth="1"/>
    <col min="9738" max="9738" width="9.42578125" style="1" bestFit="1" customWidth="1"/>
    <col min="9739" max="9739" width="11.85546875" style="1" customWidth="1"/>
    <col min="9740" max="9740" width="8.7109375" style="1" bestFit="1" customWidth="1"/>
    <col min="9741" max="9741" width="10.85546875" style="1" customWidth="1"/>
    <col min="9742" max="9742" width="8.7109375" style="1" bestFit="1" customWidth="1"/>
    <col min="9743" max="9743" width="9.7109375" style="1" bestFit="1" customWidth="1"/>
    <col min="9744" max="9744" width="8.7109375" style="1" bestFit="1" customWidth="1"/>
    <col min="9745" max="9745" width="9.7109375" style="1" bestFit="1" customWidth="1"/>
    <col min="9746" max="9747" width="9.7109375" style="1" customWidth="1"/>
    <col min="9748" max="9748" width="8.42578125" style="1" customWidth="1"/>
    <col min="9749" max="9749" width="9.140625" style="1" customWidth="1"/>
    <col min="9750" max="9750" width="8" style="1" customWidth="1"/>
    <col min="9751" max="9751" width="10.28515625" style="1" customWidth="1"/>
    <col min="9752" max="9752" width="9.85546875" style="1" customWidth="1"/>
    <col min="9753" max="9753" width="11.5703125" style="1" customWidth="1"/>
    <col min="9754" max="9754" width="11.42578125" style="1" customWidth="1"/>
    <col min="9755" max="9755" width="12.7109375" style="1" bestFit="1" customWidth="1"/>
    <col min="9756" max="9756" width="11.85546875" style="1" bestFit="1" customWidth="1"/>
    <col min="9757" max="9984" width="9.140625" style="1"/>
    <col min="9985" max="9985" width="13.28515625" style="1" customWidth="1"/>
    <col min="9986" max="9986" width="12.28515625" style="1" customWidth="1"/>
    <col min="9987" max="9987" width="10" style="1" bestFit="1" customWidth="1"/>
    <col min="9988" max="9988" width="11" style="1" customWidth="1"/>
    <col min="9989" max="9989" width="11.28515625" style="1" customWidth="1"/>
    <col min="9990" max="9990" width="12.42578125" style="1" bestFit="1" customWidth="1"/>
    <col min="9991" max="9991" width="10.5703125" style="1" customWidth="1"/>
    <col min="9992" max="9992" width="12.85546875" style="1" customWidth="1"/>
    <col min="9993" max="9993" width="11.140625" style="1" customWidth="1"/>
    <col min="9994" max="9994" width="9.42578125" style="1" bestFit="1" customWidth="1"/>
    <col min="9995" max="9995" width="11.85546875" style="1" customWidth="1"/>
    <col min="9996" max="9996" width="8.7109375" style="1" bestFit="1" customWidth="1"/>
    <col min="9997" max="9997" width="10.85546875" style="1" customWidth="1"/>
    <col min="9998" max="9998" width="8.7109375" style="1" bestFit="1" customWidth="1"/>
    <col min="9999" max="9999" width="9.7109375" style="1" bestFit="1" customWidth="1"/>
    <col min="10000" max="10000" width="8.7109375" style="1" bestFit="1" customWidth="1"/>
    <col min="10001" max="10001" width="9.7109375" style="1" bestFit="1" customWidth="1"/>
    <col min="10002" max="10003" width="9.7109375" style="1" customWidth="1"/>
    <col min="10004" max="10004" width="8.42578125" style="1" customWidth="1"/>
    <col min="10005" max="10005" width="9.140625" style="1" customWidth="1"/>
    <col min="10006" max="10006" width="8" style="1" customWidth="1"/>
    <col min="10007" max="10007" width="10.28515625" style="1" customWidth="1"/>
    <col min="10008" max="10008" width="9.85546875" style="1" customWidth="1"/>
    <col min="10009" max="10009" width="11.5703125" style="1" customWidth="1"/>
    <col min="10010" max="10010" width="11.42578125" style="1" customWidth="1"/>
    <col min="10011" max="10011" width="12.7109375" style="1" bestFit="1" customWidth="1"/>
    <col min="10012" max="10012" width="11.85546875" style="1" bestFit="1" customWidth="1"/>
    <col min="10013" max="10240" width="9.140625" style="1"/>
    <col min="10241" max="10241" width="13.28515625" style="1" customWidth="1"/>
    <col min="10242" max="10242" width="12.28515625" style="1" customWidth="1"/>
    <col min="10243" max="10243" width="10" style="1" bestFit="1" customWidth="1"/>
    <col min="10244" max="10244" width="11" style="1" customWidth="1"/>
    <col min="10245" max="10245" width="11.28515625" style="1" customWidth="1"/>
    <col min="10246" max="10246" width="12.42578125" style="1" bestFit="1" customWidth="1"/>
    <col min="10247" max="10247" width="10.5703125" style="1" customWidth="1"/>
    <col min="10248" max="10248" width="12.85546875" style="1" customWidth="1"/>
    <col min="10249" max="10249" width="11.140625" style="1" customWidth="1"/>
    <col min="10250" max="10250" width="9.42578125" style="1" bestFit="1" customWidth="1"/>
    <col min="10251" max="10251" width="11.85546875" style="1" customWidth="1"/>
    <col min="10252" max="10252" width="8.7109375" style="1" bestFit="1" customWidth="1"/>
    <col min="10253" max="10253" width="10.85546875" style="1" customWidth="1"/>
    <col min="10254" max="10254" width="8.7109375" style="1" bestFit="1" customWidth="1"/>
    <col min="10255" max="10255" width="9.7109375" style="1" bestFit="1" customWidth="1"/>
    <col min="10256" max="10256" width="8.7109375" style="1" bestFit="1" customWidth="1"/>
    <col min="10257" max="10257" width="9.7109375" style="1" bestFit="1" customWidth="1"/>
    <col min="10258" max="10259" width="9.7109375" style="1" customWidth="1"/>
    <col min="10260" max="10260" width="8.42578125" style="1" customWidth="1"/>
    <col min="10261" max="10261" width="9.140625" style="1" customWidth="1"/>
    <col min="10262" max="10262" width="8" style="1" customWidth="1"/>
    <col min="10263" max="10263" width="10.28515625" style="1" customWidth="1"/>
    <col min="10264" max="10264" width="9.85546875" style="1" customWidth="1"/>
    <col min="10265" max="10265" width="11.5703125" style="1" customWidth="1"/>
    <col min="10266" max="10266" width="11.42578125" style="1" customWidth="1"/>
    <col min="10267" max="10267" width="12.7109375" style="1" bestFit="1" customWidth="1"/>
    <col min="10268" max="10268" width="11.85546875" style="1" bestFit="1" customWidth="1"/>
    <col min="10269" max="10496" width="9.140625" style="1"/>
    <col min="10497" max="10497" width="13.28515625" style="1" customWidth="1"/>
    <col min="10498" max="10498" width="12.28515625" style="1" customWidth="1"/>
    <col min="10499" max="10499" width="10" style="1" bestFit="1" customWidth="1"/>
    <col min="10500" max="10500" width="11" style="1" customWidth="1"/>
    <col min="10501" max="10501" width="11.28515625" style="1" customWidth="1"/>
    <col min="10502" max="10502" width="12.42578125" style="1" bestFit="1" customWidth="1"/>
    <col min="10503" max="10503" width="10.5703125" style="1" customWidth="1"/>
    <col min="10504" max="10504" width="12.85546875" style="1" customWidth="1"/>
    <col min="10505" max="10505" width="11.140625" style="1" customWidth="1"/>
    <col min="10506" max="10506" width="9.42578125" style="1" bestFit="1" customWidth="1"/>
    <col min="10507" max="10507" width="11.85546875" style="1" customWidth="1"/>
    <col min="10508" max="10508" width="8.7109375" style="1" bestFit="1" customWidth="1"/>
    <col min="10509" max="10509" width="10.85546875" style="1" customWidth="1"/>
    <col min="10510" max="10510" width="8.7109375" style="1" bestFit="1" customWidth="1"/>
    <col min="10511" max="10511" width="9.7109375" style="1" bestFit="1" customWidth="1"/>
    <col min="10512" max="10512" width="8.7109375" style="1" bestFit="1" customWidth="1"/>
    <col min="10513" max="10513" width="9.7109375" style="1" bestFit="1" customWidth="1"/>
    <col min="10514" max="10515" width="9.7109375" style="1" customWidth="1"/>
    <col min="10516" max="10516" width="8.42578125" style="1" customWidth="1"/>
    <col min="10517" max="10517" width="9.140625" style="1" customWidth="1"/>
    <col min="10518" max="10518" width="8" style="1" customWidth="1"/>
    <col min="10519" max="10519" width="10.28515625" style="1" customWidth="1"/>
    <col min="10520" max="10520" width="9.85546875" style="1" customWidth="1"/>
    <col min="10521" max="10521" width="11.5703125" style="1" customWidth="1"/>
    <col min="10522" max="10522" width="11.42578125" style="1" customWidth="1"/>
    <col min="10523" max="10523" width="12.7109375" style="1" bestFit="1" customWidth="1"/>
    <col min="10524" max="10524" width="11.85546875" style="1" bestFit="1" customWidth="1"/>
    <col min="10525" max="10752" width="9.140625" style="1"/>
    <col min="10753" max="10753" width="13.28515625" style="1" customWidth="1"/>
    <col min="10754" max="10754" width="12.28515625" style="1" customWidth="1"/>
    <col min="10755" max="10755" width="10" style="1" bestFit="1" customWidth="1"/>
    <col min="10756" max="10756" width="11" style="1" customWidth="1"/>
    <col min="10757" max="10757" width="11.28515625" style="1" customWidth="1"/>
    <col min="10758" max="10758" width="12.42578125" style="1" bestFit="1" customWidth="1"/>
    <col min="10759" max="10759" width="10.5703125" style="1" customWidth="1"/>
    <col min="10760" max="10760" width="12.85546875" style="1" customWidth="1"/>
    <col min="10761" max="10761" width="11.140625" style="1" customWidth="1"/>
    <col min="10762" max="10762" width="9.42578125" style="1" bestFit="1" customWidth="1"/>
    <col min="10763" max="10763" width="11.85546875" style="1" customWidth="1"/>
    <col min="10764" max="10764" width="8.7109375" style="1" bestFit="1" customWidth="1"/>
    <col min="10765" max="10765" width="10.85546875" style="1" customWidth="1"/>
    <col min="10766" max="10766" width="8.7109375" style="1" bestFit="1" customWidth="1"/>
    <col min="10767" max="10767" width="9.7109375" style="1" bestFit="1" customWidth="1"/>
    <col min="10768" max="10768" width="8.7109375" style="1" bestFit="1" customWidth="1"/>
    <col min="10769" max="10769" width="9.7109375" style="1" bestFit="1" customWidth="1"/>
    <col min="10770" max="10771" width="9.7109375" style="1" customWidth="1"/>
    <col min="10772" max="10772" width="8.42578125" style="1" customWidth="1"/>
    <col min="10773" max="10773" width="9.140625" style="1" customWidth="1"/>
    <col min="10774" max="10774" width="8" style="1" customWidth="1"/>
    <col min="10775" max="10775" width="10.28515625" style="1" customWidth="1"/>
    <col min="10776" max="10776" width="9.85546875" style="1" customWidth="1"/>
    <col min="10777" max="10777" width="11.5703125" style="1" customWidth="1"/>
    <col min="10778" max="10778" width="11.42578125" style="1" customWidth="1"/>
    <col min="10779" max="10779" width="12.7109375" style="1" bestFit="1" customWidth="1"/>
    <col min="10780" max="10780" width="11.85546875" style="1" bestFit="1" customWidth="1"/>
    <col min="10781" max="11008" width="9.140625" style="1"/>
    <col min="11009" max="11009" width="13.28515625" style="1" customWidth="1"/>
    <col min="11010" max="11010" width="12.28515625" style="1" customWidth="1"/>
    <col min="11011" max="11011" width="10" style="1" bestFit="1" customWidth="1"/>
    <col min="11012" max="11012" width="11" style="1" customWidth="1"/>
    <col min="11013" max="11013" width="11.28515625" style="1" customWidth="1"/>
    <col min="11014" max="11014" width="12.42578125" style="1" bestFit="1" customWidth="1"/>
    <col min="11015" max="11015" width="10.5703125" style="1" customWidth="1"/>
    <col min="11016" max="11016" width="12.85546875" style="1" customWidth="1"/>
    <col min="11017" max="11017" width="11.140625" style="1" customWidth="1"/>
    <col min="11018" max="11018" width="9.42578125" style="1" bestFit="1" customWidth="1"/>
    <col min="11019" max="11019" width="11.85546875" style="1" customWidth="1"/>
    <col min="11020" max="11020" width="8.7109375" style="1" bestFit="1" customWidth="1"/>
    <col min="11021" max="11021" width="10.85546875" style="1" customWidth="1"/>
    <col min="11022" max="11022" width="8.7109375" style="1" bestFit="1" customWidth="1"/>
    <col min="11023" max="11023" width="9.7109375" style="1" bestFit="1" customWidth="1"/>
    <col min="11024" max="11024" width="8.7109375" style="1" bestFit="1" customWidth="1"/>
    <col min="11025" max="11025" width="9.7109375" style="1" bestFit="1" customWidth="1"/>
    <col min="11026" max="11027" width="9.7109375" style="1" customWidth="1"/>
    <col min="11028" max="11028" width="8.42578125" style="1" customWidth="1"/>
    <col min="11029" max="11029" width="9.140625" style="1" customWidth="1"/>
    <col min="11030" max="11030" width="8" style="1" customWidth="1"/>
    <col min="11031" max="11031" width="10.28515625" style="1" customWidth="1"/>
    <col min="11032" max="11032" width="9.85546875" style="1" customWidth="1"/>
    <col min="11033" max="11033" width="11.5703125" style="1" customWidth="1"/>
    <col min="11034" max="11034" width="11.42578125" style="1" customWidth="1"/>
    <col min="11035" max="11035" width="12.7109375" style="1" bestFit="1" customWidth="1"/>
    <col min="11036" max="11036" width="11.85546875" style="1" bestFit="1" customWidth="1"/>
    <col min="11037" max="11264" width="9.140625" style="1"/>
    <col min="11265" max="11265" width="13.28515625" style="1" customWidth="1"/>
    <col min="11266" max="11266" width="12.28515625" style="1" customWidth="1"/>
    <col min="11267" max="11267" width="10" style="1" bestFit="1" customWidth="1"/>
    <col min="11268" max="11268" width="11" style="1" customWidth="1"/>
    <col min="11269" max="11269" width="11.28515625" style="1" customWidth="1"/>
    <col min="11270" max="11270" width="12.42578125" style="1" bestFit="1" customWidth="1"/>
    <col min="11271" max="11271" width="10.5703125" style="1" customWidth="1"/>
    <col min="11272" max="11272" width="12.85546875" style="1" customWidth="1"/>
    <col min="11273" max="11273" width="11.140625" style="1" customWidth="1"/>
    <col min="11274" max="11274" width="9.42578125" style="1" bestFit="1" customWidth="1"/>
    <col min="11275" max="11275" width="11.85546875" style="1" customWidth="1"/>
    <col min="11276" max="11276" width="8.7109375" style="1" bestFit="1" customWidth="1"/>
    <col min="11277" max="11277" width="10.85546875" style="1" customWidth="1"/>
    <col min="11278" max="11278" width="8.7109375" style="1" bestFit="1" customWidth="1"/>
    <col min="11279" max="11279" width="9.7109375" style="1" bestFit="1" customWidth="1"/>
    <col min="11280" max="11280" width="8.7109375" style="1" bestFit="1" customWidth="1"/>
    <col min="11281" max="11281" width="9.7109375" style="1" bestFit="1" customWidth="1"/>
    <col min="11282" max="11283" width="9.7109375" style="1" customWidth="1"/>
    <col min="11284" max="11284" width="8.42578125" style="1" customWidth="1"/>
    <col min="11285" max="11285" width="9.140625" style="1" customWidth="1"/>
    <col min="11286" max="11286" width="8" style="1" customWidth="1"/>
    <col min="11287" max="11287" width="10.28515625" style="1" customWidth="1"/>
    <col min="11288" max="11288" width="9.85546875" style="1" customWidth="1"/>
    <col min="11289" max="11289" width="11.5703125" style="1" customWidth="1"/>
    <col min="11290" max="11290" width="11.42578125" style="1" customWidth="1"/>
    <col min="11291" max="11291" width="12.7109375" style="1" bestFit="1" customWidth="1"/>
    <col min="11292" max="11292" width="11.85546875" style="1" bestFit="1" customWidth="1"/>
    <col min="11293" max="11520" width="9.140625" style="1"/>
    <col min="11521" max="11521" width="13.28515625" style="1" customWidth="1"/>
    <col min="11522" max="11522" width="12.28515625" style="1" customWidth="1"/>
    <col min="11523" max="11523" width="10" style="1" bestFit="1" customWidth="1"/>
    <col min="11524" max="11524" width="11" style="1" customWidth="1"/>
    <col min="11525" max="11525" width="11.28515625" style="1" customWidth="1"/>
    <col min="11526" max="11526" width="12.42578125" style="1" bestFit="1" customWidth="1"/>
    <col min="11527" max="11527" width="10.5703125" style="1" customWidth="1"/>
    <col min="11528" max="11528" width="12.85546875" style="1" customWidth="1"/>
    <col min="11529" max="11529" width="11.140625" style="1" customWidth="1"/>
    <col min="11530" max="11530" width="9.42578125" style="1" bestFit="1" customWidth="1"/>
    <col min="11531" max="11531" width="11.85546875" style="1" customWidth="1"/>
    <col min="11532" max="11532" width="8.7109375" style="1" bestFit="1" customWidth="1"/>
    <col min="11533" max="11533" width="10.85546875" style="1" customWidth="1"/>
    <col min="11534" max="11534" width="8.7109375" style="1" bestFit="1" customWidth="1"/>
    <col min="11535" max="11535" width="9.7109375" style="1" bestFit="1" customWidth="1"/>
    <col min="11536" max="11536" width="8.7109375" style="1" bestFit="1" customWidth="1"/>
    <col min="11537" max="11537" width="9.7109375" style="1" bestFit="1" customWidth="1"/>
    <col min="11538" max="11539" width="9.7109375" style="1" customWidth="1"/>
    <col min="11540" max="11540" width="8.42578125" style="1" customWidth="1"/>
    <col min="11541" max="11541" width="9.140625" style="1" customWidth="1"/>
    <col min="11542" max="11542" width="8" style="1" customWidth="1"/>
    <col min="11543" max="11543" width="10.28515625" style="1" customWidth="1"/>
    <col min="11544" max="11544" width="9.85546875" style="1" customWidth="1"/>
    <col min="11545" max="11545" width="11.5703125" style="1" customWidth="1"/>
    <col min="11546" max="11546" width="11.42578125" style="1" customWidth="1"/>
    <col min="11547" max="11547" width="12.7109375" style="1" bestFit="1" customWidth="1"/>
    <col min="11548" max="11548" width="11.85546875" style="1" bestFit="1" customWidth="1"/>
    <col min="11549" max="11776" width="9.140625" style="1"/>
    <col min="11777" max="11777" width="13.28515625" style="1" customWidth="1"/>
    <col min="11778" max="11778" width="12.28515625" style="1" customWidth="1"/>
    <col min="11779" max="11779" width="10" style="1" bestFit="1" customWidth="1"/>
    <col min="11780" max="11780" width="11" style="1" customWidth="1"/>
    <col min="11781" max="11781" width="11.28515625" style="1" customWidth="1"/>
    <col min="11782" max="11782" width="12.42578125" style="1" bestFit="1" customWidth="1"/>
    <col min="11783" max="11783" width="10.5703125" style="1" customWidth="1"/>
    <col min="11784" max="11784" width="12.85546875" style="1" customWidth="1"/>
    <col min="11785" max="11785" width="11.140625" style="1" customWidth="1"/>
    <col min="11786" max="11786" width="9.42578125" style="1" bestFit="1" customWidth="1"/>
    <col min="11787" max="11787" width="11.85546875" style="1" customWidth="1"/>
    <col min="11788" max="11788" width="8.7109375" style="1" bestFit="1" customWidth="1"/>
    <col min="11789" max="11789" width="10.85546875" style="1" customWidth="1"/>
    <col min="11790" max="11790" width="8.7109375" style="1" bestFit="1" customWidth="1"/>
    <col min="11791" max="11791" width="9.7109375" style="1" bestFit="1" customWidth="1"/>
    <col min="11792" max="11792" width="8.7109375" style="1" bestFit="1" customWidth="1"/>
    <col min="11793" max="11793" width="9.7109375" style="1" bestFit="1" customWidth="1"/>
    <col min="11794" max="11795" width="9.7109375" style="1" customWidth="1"/>
    <col min="11796" max="11796" width="8.42578125" style="1" customWidth="1"/>
    <col min="11797" max="11797" width="9.140625" style="1" customWidth="1"/>
    <col min="11798" max="11798" width="8" style="1" customWidth="1"/>
    <col min="11799" max="11799" width="10.28515625" style="1" customWidth="1"/>
    <col min="11800" max="11800" width="9.85546875" style="1" customWidth="1"/>
    <col min="11801" max="11801" width="11.5703125" style="1" customWidth="1"/>
    <col min="11802" max="11802" width="11.42578125" style="1" customWidth="1"/>
    <col min="11803" max="11803" width="12.7109375" style="1" bestFit="1" customWidth="1"/>
    <col min="11804" max="11804" width="11.85546875" style="1" bestFit="1" customWidth="1"/>
    <col min="11805" max="12032" width="9.140625" style="1"/>
    <col min="12033" max="12033" width="13.28515625" style="1" customWidth="1"/>
    <col min="12034" max="12034" width="12.28515625" style="1" customWidth="1"/>
    <col min="12035" max="12035" width="10" style="1" bestFit="1" customWidth="1"/>
    <col min="12036" max="12036" width="11" style="1" customWidth="1"/>
    <col min="12037" max="12037" width="11.28515625" style="1" customWidth="1"/>
    <col min="12038" max="12038" width="12.42578125" style="1" bestFit="1" customWidth="1"/>
    <col min="12039" max="12039" width="10.5703125" style="1" customWidth="1"/>
    <col min="12040" max="12040" width="12.85546875" style="1" customWidth="1"/>
    <col min="12041" max="12041" width="11.140625" style="1" customWidth="1"/>
    <col min="12042" max="12042" width="9.42578125" style="1" bestFit="1" customWidth="1"/>
    <col min="12043" max="12043" width="11.85546875" style="1" customWidth="1"/>
    <col min="12044" max="12044" width="8.7109375" style="1" bestFit="1" customWidth="1"/>
    <col min="12045" max="12045" width="10.85546875" style="1" customWidth="1"/>
    <col min="12046" max="12046" width="8.7109375" style="1" bestFit="1" customWidth="1"/>
    <col min="12047" max="12047" width="9.7109375" style="1" bestFit="1" customWidth="1"/>
    <col min="12048" max="12048" width="8.7109375" style="1" bestFit="1" customWidth="1"/>
    <col min="12049" max="12049" width="9.7109375" style="1" bestFit="1" customWidth="1"/>
    <col min="12050" max="12051" width="9.7109375" style="1" customWidth="1"/>
    <col min="12052" max="12052" width="8.42578125" style="1" customWidth="1"/>
    <col min="12053" max="12053" width="9.140625" style="1" customWidth="1"/>
    <col min="12054" max="12054" width="8" style="1" customWidth="1"/>
    <col min="12055" max="12055" width="10.28515625" style="1" customWidth="1"/>
    <col min="12056" max="12056" width="9.85546875" style="1" customWidth="1"/>
    <col min="12057" max="12057" width="11.5703125" style="1" customWidth="1"/>
    <col min="12058" max="12058" width="11.42578125" style="1" customWidth="1"/>
    <col min="12059" max="12059" width="12.7109375" style="1" bestFit="1" customWidth="1"/>
    <col min="12060" max="12060" width="11.85546875" style="1" bestFit="1" customWidth="1"/>
    <col min="12061" max="12288" width="9.140625" style="1"/>
    <col min="12289" max="12289" width="13.28515625" style="1" customWidth="1"/>
    <col min="12290" max="12290" width="12.28515625" style="1" customWidth="1"/>
    <col min="12291" max="12291" width="10" style="1" bestFit="1" customWidth="1"/>
    <col min="12292" max="12292" width="11" style="1" customWidth="1"/>
    <col min="12293" max="12293" width="11.28515625" style="1" customWidth="1"/>
    <col min="12294" max="12294" width="12.42578125" style="1" bestFit="1" customWidth="1"/>
    <col min="12295" max="12295" width="10.5703125" style="1" customWidth="1"/>
    <col min="12296" max="12296" width="12.85546875" style="1" customWidth="1"/>
    <col min="12297" max="12297" width="11.140625" style="1" customWidth="1"/>
    <col min="12298" max="12298" width="9.42578125" style="1" bestFit="1" customWidth="1"/>
    <col min="12299" max="12299" width="11.85546875" style="1" customWidth="1"/>
    <col min="12300" max="12300" width="8.7109375" style="1" bestFit="1" customWidth="1"/>
    <col min="12301" max="12301" width="10.85546875" style="1" customWidth="1"/>
    <col min="12302" max="12302" width="8.7109375" style="1" bestFit="1" customWidth="1"/>
    <col min="12303" max="12303" width="9.7109375" style="1" bestFit="1" customWidth="1"/>
    <col min="12304" max="12304" width="8.7109375" style="1" bestFit="1" customWidth="1"/>
    <col min="12305" max="12305" width="9.7109375" style="1" bestFit="1" customWidth="1"/>
    <col min="12306" max="12307" width="9.7109375" style="1" customWidth="1"/>
    <col min="12308" max="12308" width="8.42578125" style="1" customWidth="1"/>
    <col min="12309" max="12309" width="9.140625" style="1" customWidth="1"/>
    <col min="12310" max="12310" width="8" style="1" customWidth="1"/>
    <col min="12311" max="12311" width="10.28515625" style="1" customWidth="1"/>
    <col min="12312" max="12312" width="9.85546875" style="1" customWidth="1"/>
    <col min="12313" max="12313" width="11.5703125" style="1" customWidth="1"/>
    <col min="12314" max="12314" width="11.42578125" style="1" customWidth="1"/>
    <col min="12315" max="12315" width="12.7109375" style="1" bestFit="1" customWidth="1"/>
    <col min="12316" max="12316" width="11.85546875" style="1" bestFit="1" customWidth="1"/>
    <col min="12317" max="12544" width="9.140625" style="1"/>
    <col min="12545" max="12545" width="13.28515625" style="1" customWidth="1"/>
    <col min="12546" max="12546" width="12.28515625" style="1" customWidth="1"/>
    <col min="12547" max="12547" width="10" style="1" bestFit="1" customWidth="1"/>
    <col min="12548" max="12548" width="11" style="1" customWidth="1"/>
    <col min="12549" max="12549" width="11.28515625" style="1" customWidth="1"/>
    <col min="12550" max="12550" width="12.42578125" style="1" bestFit="1" customWidth="1"/>
    <col min="12551" max="12551" width="10.5703125" style="1" customWidth="1"/>
    <col min="12552" max="12552" width="12.85546875" style="1" customWidth="1"/>
    <col min="12553" max="12553" width="11.140625" style="1" customWidth="1"/>
    <col min="12554" max="12554" width="9.42578125" style="1" bestFit="1" customWidth="1"/>
    <col min="12555" max="12555" width="11.85546875" style="1" customWidth="1"/>
    <col min="12556" max="12556" width="8.7109375" style="1" bestFit="1" customWidth="1"/>
    <col min="12557" max="12557" width="10.85546875" style="1" customWidth="1"/>
    <col min="12558" max="12558" width="8.7109375" style="1" bestFit="1" customWidth="1"/>
    <col min="12559" max="12559" width="9.7109375" style="1" bestFit="1" customWidth="1"/>
    <col min="12560" max="12560" width="8.7109375" style="1" bestFit="1" customWidth="1"/>
    <col min="12561" max="12561" width="9.7109375" style="1" bestFit="1" customWidth="1"/>
    <col min="12562" max="12563" width="9.7109375" style="1" customWidth="1"/>
    <col min="12564" max="12564" width="8.42578125" style="1" customWidth="1"/>
    <col min="12565" max="12565" width="9.140625" style="1" customWidth="1"/>
    <col min="12566" max="12566" width="8" style="1" customWidth="1"/>
    <col min="12567" max="12567" width="10.28515625" style="1" customWidth="1"/>
    <col min="12568" max="12568" width="9.85546875" style="1" customWidth="1"/>
    <col min="12569" max="12569" width="11.5703125" style="1" customWidth="1"/>
    <col min="12570" max="12570" width="11.42578125" style="1" customWidth="1"/>
    <col min="12571" max="12571" width="12.7109375" style="1" bestFit="1" customWidth="1"/>
    <col min="12572" max="12572" width="11.85546875" style="1" bestFit="1" customWidth="1"/>
    <col min="12573" max="12800" width="9.140625" style="1"/>
    <col min="12801" max="12801" width="13.28515625" style="1" customWidth="1"/>
    <col min="12802" max="12802" width="12.28515625" style="1" customWidth="1"/>
    <col min="12803" max="12803" width="10" style="1" bestFit="1" customWidth="1"/>
    <col min="12804" max="12804" width="11" style="1" customWidth="1"/>
    <col min="12805" max="12805" width="11.28515625" style="1" customWidth="1"/>
    <col min="12806" max="12806" width="12.42578125" style="1" bestFit="1" customWidth="1"/>
    <col min="12807" max="12807" width="10.5703125" style="1" customWidth="1"/>
    <col min="12808" max="12808" width="12.85546875" style="1" customWidth="1"/>
    <col min="12809" max="12809" width="11.140625" style="1" customWidth="1"/>
    <col min="12810" max="12810" width="9.42578125" style="1" bestFit="1" customWidth="1"/>
    <col min="12811" max="12811" width="11.85546875" style="1" customWidth="1"/>
    <col min="12812" max="12812" width="8.7109375" style="1" bestFit="1" customWidth="1"/>
    <col min="12813" max="12813" width="10.85546875" style="1" customWidth="1"/>
    <col min="12814" max="12814" width="8.7109375" style="1" bestFit="1" customWidth="1"/>
    <col min="12815" max="12815" width="9.7109375" style="1" bestFit="1" customWidth="1"/>
    <col min="12816" max="12816" width="8.7109375" style="1" bestFit="1" customWidth="1"/>
    <col min="12817" max="12817" width="9.7109375" style="1" bestFit="1" customWidth="1"/>
    <col min="12818" max="12819" width="9.7109375" style="1" customWidth="1"/>
    <col min="12820" max="12820" width="8.42578125" style="1" customWidth="1"/>
    <col min="12821" max="12821" width="9.140625" style="1" customWidth="1"/>
    <col min="12822" max="12822" width="8" style="1" customWidth="1"/>
    <col min="12823" max="12823" width="10.28515625" style="1" customWidth="1"/>
    <col min="12824" max="12824" width="9.85546875" style="1" customWidth="1"/>
    <col min="12825" max="12825" width="11.5703125" style="1" customWidth="1"/>
    <col min="12826" max="12826" width="11.42578125" style="1" customWidth="1"/>
    <col min="12827" max="12827" width="12.7109375" style="1" bestFit="1" customWidth="1"/>
    <col min="12828" max="12828" width="11.85546875" style="1" bestFit="1" customWidth="1"/>
    <col min="12829" max="13056" width="9.140625" style="1"/>
    <col min="13057" max="13057" width="13.28515625" style="1" customWidth="1"/>
    <col min="13058" max="13058" width="12.28515625" style="1" customWidth="1"/>
    <col min="13059" max="13059" width="10" style="1" bestFit="1" customWidth="1"/>
    <col min="13060" max="13060" width="11" style="1" customWidth="1"/>
    <col min="13061" max="13061" width="11.28515625" style="1" customWidth="1"/>
    <col min="13062" max="13062" width="12.42578125" style="1" bestFit="1" customWidth="1"/>
    <col min="13063" max="13063" width="10.5703125" style="1" customWidth="1"/>
    <col min="13064" max="13064" width="12.85546875" style="1" customWidth="1"/>
    <col min="13065" max="13065" width="11.140625" style="1" customWidth="1"/>
    <col min="13066" max="13066" width="9.42578125" style="1" bestFit="1" customWidth="1"/>
    <col min="13067" max="13067" width="11.85546875" style="1" customWidth="1"/>
    <col min="13068" max="13068" width="8.7109375" style="1" bestFit="1" customWidth="1"/>
    <col min="13069" max="13069" width="10.85546875" style="1" customWidth="1"/>
    <col min="13070" max="13070" width="8.7109375" style="1" bestFit="1" customWidth="1"/>
    <col min="13071" max="13071" width="9.7109375" style="1" bestFit="1" customWidth="1"/>
    <col min="13072" max="13072" width="8.7109375" style="1" bestFit="1" customWidth="1"/>
    <col min="13073" max="13073" width="9.7109375" style="1" bestFit="1" customWidth="1"/>
    <col min="13074" max="13075" width="9.7109375" style="1" customWidth="1"/>
    <col min="13076" max="13076" width="8.42578125" style="1" customWidth="1"/>
    <col min="13077" max="13077" width="9.140625" style="1" customWidth="1"/>
    <col min="13078" max="13078" width="8" style="1" customWidth="1"/>
    <col min="13079" max="13079" width="10.28515625" style="1" customWidth="1"/>
    <col min="13080" max="13080" width="9.85546875" style="1" customWidth="1"/>
    <col min="13081" max="13081" width="11.5703125" style="1" customWidth="1"/>
    <col min="13082" max="13082" width="11.42578125" style="1" customWidth="1"/>
    <col min="13083" max="13083" width="12.7109375" style="1" bestFit="1" customWidth="1"/>
    <col min="13084" max="13084" width="11.85546875" style="1" bestFit="1" customWidth="1"/>
    <col min="13085" max="13312" width="9.140625" style="1"/>
    <col min="13313" max="13313" width="13.28515625" style="1" customWidth="1"/>
    <col min="13314" max="13314" width="12.28515625" style="1" customWidth="1"/>
    <col min="13315" max="13315" width="10" style="1" bestFit="1" customWidth="1"/>
    <col min="13316" max="13316" width="11" style="1" customWidth="1"/>
    <col min="13317" max="13317" width="11.28515625" style="1" customWidth="1"/>
    <col min="13318" max="13318" width="12.42578125" style="1" bestFit="1" customWidth="1"/>
    <col min="13319" max="13319" width="10.5703125" style="1" customWidth="1"/>
    <col min="13320" max="13320" width="12.85546875" style="1" customWidth="1"/>
    <col min="13321" max="13321" width="11.140625" style="1" customWidth="1"/>
    <col min="13322" max="13322" width="9.42578125" style="1" bestFit="1" customWidth="1"/>
    <col min="13323" max="13323" width="11.85546875" style="1" customWidth="1"/>
    <col min="13324" max="13324" width="8.7109375" style="1" bestFit="1" customWidth="1"/>
    <col min="13325" max="13325" width="10.85546875" style="1" customWidth="1"/>
    <col min="13326" max="13326" width="8.7109375" style="1" bestFit="1" customWidth="1"/>
    <col min="13327" max="13327" width="9.7109375" style="1" bestFit="1" customWidth="1"/>
    <col min="13328" max="13328" width="8.7109375" style="1" bestFit="1" customWidth="1"/>
    <col min="13329" max="13329" width="9.7109375" style="1" bestFit="1" customWidth="1"/>
    <col min="13330" max="13331" width="9.7109375" style="1" customWidth="1"/>
    <col min="13332" max="13332" width="8.42578125" style="1" customWidth="1"/>
    <col min="13333" max="13333" width="9.140625" style="1" customWidth="1"/>
    <col min="13334" max="13334" width="8" style="1" customWidth="1"/>
    <col min="13335" max="13335" width="10.28515625" style="1" customWidth="1"/>
    <col min="13336" max="13336" width="9.85546875" style="1" customWidth="1"/>
    <col min="13337" max="13337" width="11.5703125" style="1" customWidth="1"/>
    <col min="13338" max="13338" width="11.42578125" style="1" customWidth="1"/>
    <col min="13339" max="13339" width="12.7109375" style="1" bestFit="1" customWidth="1"/>
    <col min="13340" max="13340" width="11.85546875" style="1" bestFit="1" customWidth="1"/>
    <col min="13341" max="13568" width="9.140625" style="1"/>
    <col min="13569" max="13569" width="13.28515625" style="1" customWidth="1"/>
    <col min="13570" max="13570" width="12.28515625" style="1" customWidth="1"/>
    <col min="13571" max="13571" width="10" style="1" bestFit="1" customWidth="1"/>
    <col min="13572" max="13572" width="11" style="1" customWidth="1"/>
    <col min="13573" max="13573" width="11.28515625" style="1" customWidth="1"/>
    <col min="13574" max="13574" width="12.42578125" style="1" bestFit="1" customWidth="1"/>
    <col min="13575" max="13575" width="10.5703125" style="1" customWidth="1"/>
    <col min="13576" max="13576" width="12.85546875" style="1" customWidth="1"/>
    <col min="13577" max="13577" width="11.140625" style="1" customWidth="1"/>
    <col min="13578" max="13578" width="9.42578125" style="1" bestFit="1" customWidth="1"/>
    <col min="13579" max="13579" width="11.85546875" style="1" customWidth="1"/>
    <col min="13580" max="13580" width="8.7109375" style="1" bestFit="1" customWidth="1"/>
    <col min="13581" max="13581" width="10.85546875" style="1" customWidth="1"/>
    <col min="13582" max="13582" width="8.7109375" style="1" bestFit="1" customWidth="1"/>
    <col min="13583" max="13583" width="9.7109375" style="1" bestFit="1" customWidth="1"/>
    <col min="13584" max="13584" width="8.7109375" style="1" bestFit="1" customWidth="1"/>
    <col min="13585" max="13585" width="9.7109375" style="1" bestFit="1" customWidth="1"/>
    <col min="13586" max="13587" width="9.7109375" style="1" customWidth="1"/>
    <col min="13588" max="13588" width="8.42578125" style="1" customWidth="1"/>
    <col min="13589" max="13589" width="9.140625" style="1" customWidth="1"/>
    <col min="13590" max="13590" width="8" style="1" customWidth="1"/>
    <col min="13591" max="13591" width="10.28515625" style="1" customWidth="1"/>
    <col min="13592" max="13592" width="9.85546875" style="1" customWidth="1"/>
    <col min="13593" max="13593" width="11.5703125" style="1" customWidth="1"/>
    <col min="13594" max="13594" width="11.42578125" style="1" customWidth="1"/>
    <col min="13595" max="13595" width="12.7109375" style="1" bestFit="1" customWidth="1"/>
    <col min="13596" max="13596" width="11.85546875" style="1" bestFit="1" customWidth="1"/>
    <col min="13597" max="13824" width="9.140625" style="1"/>
    <col min="13825" max="13825" width="13.28515625" style="1" customWidth="1"/>
    <col min="13826" max="13826" width="12.28515625" style="1" customWidth="1"/>
    <col min="13827" max="13827" width="10" style="1" bestFit="1" customWidth="1"/>
    <col min="13828" max="13828" width="11" style="1" customWidth="1"/>
    <col min="13829" max="13829" width="11.28515625" style="1" customWidth="1"/>
    <col min="13830" max="13830" width="12.42578125" style="1" bestFit="1" customWidth="1"/>
    <col min="13831" max="13831" width="10.5703125" style="1" customWidth="1"/>
    <col min="13832" max="13832" width="12.85546875" style="1" customWidth="1"/>
    <col min="13833" max="13833" width="11.140625" style="1" customWidth="1"/>
    <col min="13834" max="13834" width="9.42578125" style="1" bestFit="1" customWidth="1"/>
    <col min="13835" max="13835" width="11.85546875" style="1" customWidth="1"/>
    <col min="13836" max="13836" width="8.7109375" style="1" bestFit="1" customWidth="1"/>
    <col min="13837" max="13837" width="10.85546875" style="1" customWidth="1"/>
    <col min="13838" max="13838" width="8.7109375" style="1" bestFit="1" customWidth="1"/>
    <col min="13839" max="13839" width="9.7109375" style="1" bestFit="1" customWidth="1"/>
    <col min="13840" max="13840" width="8.7109375" style="1" bestFit="1" customWidth="1"/>
    <col min="13841" max="13841" width="9.7109375" style="1" bestFit="1" customWidth="1"/>
    <col min="13842" max="13843" width="9.7109375" style="1" customWidth="1"/>
    <col min="13844" max="13844" width="8.42578125" style="1" customWidth="1"/>
    <col min="13845" max="13845" width="9.140625" style="1" customWidth="1"/>
    <col min="13846" max="13846" width="8" style="1" customWidth="1"/>
    <col min="13847" max="13847" width="10.28515625" style="1" customWidth="1"/>
    <col min="13848" max="13848" width="9.85546875" style="1" customWidth="1"/>
    <col min="13849" max="13849" width="11.5703125" style="1" customWidth="1"/>
    <col min="13850" max="13850" width="11.42578125" style="1" customWidth="1"/>
    <col min="13851" max="13851" width="12.7109375" style="1" bestFit="1" customWidth="1"/>
    <col min="13852" max="13852" width="11.85546875" style="1" bestFit="1" customWidth="1"/>
    <col min="13853" max="14080" width="9.140625" style="1"/>
    <col min="14081" max="14081" width="13.28515625" style="1" customWidth="1"/>
    <col min="14082" max="14082" width="12.28515625" style="1" customWidth="1"/>
    <col min="14083" max="14083" width="10" style="1" bestFit="1" customWidth="1"/>
    <col min="14084" max="14084" width="11" style="1" customWidth="1"/>
    <col min="14085" max="14085" width="11.28515625" style="1" customWidth="1"/>
    <col min="14086" max="14086" width="12.42578125" style="1" bestFit="1" customWidth="1"/>
    <col min="14087" max="14087" width="10.5703125" style="1" customWidth="1"/>
    <col min="14088" max="14088" width="12.85546875" style="1" customWidth="1"/>
    <col min="14089" max="14089" width="11.140625" style="1" customWidth="1"/>
    <col min="14090" max="14090" width="9.42578125" style="1" bestFit="1" customWidth="1"/>
    <col min="14091" max="14091" width="11.85546875" style="1" customWidth="1"/>
    <col min="14092" max="14092" width="8.7109375" style="1" bestFit="1" customWidth="1"/>
    <col min="14093" max="14093" width="10.85546875" style="1" customWidth="1"/>
    <col min="14094" max="14094" width="8.7109375" style="1" bestFit="1" customWidth="1"/>
    <col min="14095" max="14095" width="9.7109375" style="1" bestFit="1" customWidth="1"/>
    <col min="14096" max="14096" width="8.7109375" style="1" bestFit="1" customWidth="1"/>
    <col min="14097" max="14097" width="9.7109375" style="1" bestFit="1" customWidth="1"/>
    <col min="14098" max="14099" width="9.7109375" style="1" customWidth="1"/>
    <col min="14100" max="14100" width="8.42578125" style="1" customWidth="1"/>
    <col min="14101" max="14101" width="9.140625" style="1" customWidth="1"/>
    <col min="14102" max="14102" width="8" style="1" customWidth="1"/>
    <col min="14103" max="14103" width="10.28515625" style="1" customWidth="1"/>
    <col min="14104" max="14104" width="9.85546875" style="1" customWidth="1"/>
    <col min="14105" max="14105" width="11.5703125" style="1" customWidth="1"/>
    <col min="14106" max="14106" width="11.42578125" style="1" customWidth="1"/>
    <col min="14107" max="14107" width="12.7109375" style="1" bestFit="1" customWidth="1"/>
    <col min="14108" max="14108" width="11.85546875" style="1" bestFit="1" customWidth="1"/>
    <col min="14109" max="14336" width="9.140625" style="1"/>
    <col min="14337" max="14337" width="13.28515625" style="1" customWidth="1"/>
    <col min="14338" max="14338" width="12.28515625" style="1" customWidth="1"/>
    <col min="14339" max="14339" width="10" style="1" bestFit="1" customWidth="1"/>
    <col min="14340" max="14340" width="11" style="1" customWidth="1"/>
    <col min="14341" max="14341" width="11.28515625" style="1" customWidth="1"/>
    <col min="14342" max="14342" width="12.42578125" style="1" bestFit="1" customWidth="1"/>
    <col min="14343" max="14343" width="10.5703125" style="1" customWidth="1"/>
    <col min="14344" max="14344" width="12.85546875" style="1" customWidth="1"/>
    <col min="14345" max="14345" width="11.140625" style="1" customWidth="1"/>
    <col min="14346" max="14346" width="9.42578125" style="1" bestFit="1" customWidth="1"/>
    <col min="14347" max="14347" width="11.85546875" style="1" customWidth="1"/>
    <col min="14348" max="14348" width="8.7109375" style="1" bestFit="1" customWidth="1"/>
    <col min="14349" max="14349" width="10.85546875" style="1" customWidth="1"/>
    <col min="14350" max="14350" width="8.7109375" style="1" bestFit="1" customWidth="1"/>
    <col min="14351" max="14351" width="9.7109375" style="1" bestFit="1" customWidth="1"/>
    <col min="14352" max="14352" width="8.7109375" style="1" bestFit="1" customWidth="1"/>
    <col min="14353" max="14353" width="9.7109375" style="1" bestFit="1" customWidth="1"/>
    <col min="14354" max="14355" width="9.7109375" style="1" customWidth="1"/>
    <col min="14356" max="14356" width="8.42578125" style="1" customWidth="1"/>
    <col min="14357" max="14357" width="9.140625" style="1" customWidth="1"/>
    <col min="14358" max="14358" width="8" style="1" customWidth="1"/>
    <col min="14359" max="14359" width="10.28515625" style="1" customWidth="1"/>
    <col min="14360" max="14360" width="9.85546875" style="1" customWidth="1"/>
    <col min="14361" max="14361" width="11.5703125" style="1" customWidth="1"/>
    <col min="14362" max="14362" width="11.42578125" style="1" customWidth="1"/>
    <col min="14363" max="14363" width="12.7109375" style="1" bestFit="1" customWidth="1"/>
    <col min="14364" max="14364" width="11.85546875" style="1" bestFit="1" customWidth="1"/>
    <col min="14365" max="14592" width="9.140625" style="1"/>
    <col min="14593" max="14593" width="13.28515625" style="1" customWidth="1"/>
    <col min="14594" max="14594" width="12.28515625" style="1" customWidth="1"/>
    <col min="14595" max="14595" width="10" style="1" bestFit="1" customWidth="1"/>
    <col min="14596" max="14596" width="11" style="1" customWidth="1"/>
    <col min="14597" max="14597" width="11.28515625" style="1" customWidth="1"/>
    <col min="14598" max="14598" width="12.42578125" style="1" bestFit="1" customWidth="1"/>
    <col min="14599" max="14599" width="10.5703125" style="1" customWidth="1"/>
    <col min="14600" max="14600" width="12.85546875" style="1" customWidth="1"/>
    <col min="14601" max="14601" width="11.140625" style="1" customWidth="1"/>
    <col min="14602" max="14602" width="9.42578125" style="1" bestFit="1" customWidth="1"/>
    <col min="14603" max="14603" width="11.85546875" style="1" customWidth="1"/>
    <col min="14604" max="14604" width="8.7109375" style="1" bestFit="1" customWidth="1"/>
    <col min="14605" max="14605" width="10.85546875" style="1" customWidth="1"/>
    <col min="14606" max="14606" width="8.7109375" style="1" bestFit="1" customWidth="1"/>
    <col min="14607" max="14607" width="9.7109375" style="1" bestFit="1" customWidth="1"/>
    <col min="14608" max="14608" width="8.7109375" style="1" bestFit="1" customWidth="1"/>
    <col min="14609" max="14609" width="9.7109375" style="1" bestFit="1" customWidth="1"/>
    <col min="14610" max="14611" width="9.7109375" style="1" customWidth="1"/>
    <col min="14612" max="14612" width="8.42578125" style="1" customWidth="1"/>
    <col min="14613" max="14613" width="9.140625" style="1" customWidth="1"/>
    <col min="14614" max="14614" width="8" style="1" customWidth="1"/>
    <col min="14615" max="14615" width="10.28515625" style="1" customWidth="1"/>
    <col min="14616" max="14616" width="9.85546875" style="1" customWidth="1"/>
    <col min="14617" max="14617" width="11.5703125" style="1" customWidth="1"/>
    <col min="14618" max="14618" width="11.42578125" style="1" customWidth="1"/>
    <col min="14619" max="14619" width="12.7109375" style="1" bestFit="1" customWidth="1"/>
    <col min="14620" max="14620" width="11.85546875" style="1" bestFit="1" customWidth="1"/>
    <col min="14621" max="14848" width="9.140625" style="1"/>
    <col min="14849" max="14849" width="13.28515625" style="1" customWidth="1"/>
    <col min="14850" max="14850" width="12.28515625" style="1" customWidth="1"/>
    <col min="14851" max="14851" width="10" style="1" bestFit="1" customWidth="1"/>
    <col min="14852" max="14852" width="11" style="1" customWidth="1"/>
    <col min="14853" max="14853" width="11.28515625" style="1" customWidth="1"/>
    <col min="14854" max="14854" width="12.42578125" style="1" bestFit="1" customWidth="1"/>
    <col min="14855" max="14855" width="10.5703125" style="1" customWidth="1"/>
    <col min="14856" max="14856" width="12.85546875" style="1" customWidth="1"/>
    <col min="14857" max="14857" width="11.140625" style="1" customWidth="1"/>
    <col min="14858" max="14858" width="9.42578125" style="1" bestFit="1" customWidth="1"/>
    <col min="14859" max="14859" width="11.85546875" style="1" customWidth="1"/>
    <col min="14860" max="14860" width="8.7109375" style="1" bestFit="1" customWidth="1"/>
    <col min="14861" max="14861" width="10.85546875" style="1" customWidth="1"/>
    <col min="14862" max="14862" width="8.7109375" style="1" bestFit="1" customWidth="1"/>
    <col min="14863" max="14863" width="9.7109375" style="1" bestFit="1" customWidth="1"/>
    <col min="14864" max="14864" width="8.7109375" style="1" bestFit="1" customWidth="1"/>
    <col min="14865" max="14865" width="9.7109375" style="1" bestFit="1" customWidth="1"/>
    <col min="14866" max="14867" width="9.7109375" style="1" customWidth="1"/>
    <col min="14868" max="14868" width="8.42578125" style="1" customWidth="1"/>
    <col min="14869" max="14869" width="9.140625" style="1" customWidth="1"/>
    <col min="14870" max="14870" width="8" style="1" customWidth="1"/>
    <col min="14871" max="14871" width="10.28515625" style="1" customWidth="1"/>
    <col min="14872" max="14872" width="9.85546875" style="1" customWidth="1"/>
    <col min="14873" max="14873" width="11.5703125" style="1" customWidth="1"/>
    <col min="14874" max="14874" width="11.42578125" style="1" customWidth="1"/>
    <col min="14875" max="14875" width="12.7109375" style="1" bestFit="1" customWidth="1"/>
    <col min="14876" max="14876" width="11.85546875" style="1" bestFit="1" customWidth="1"/>
    <col min="14877" max="15104" width="9.140625" style="1"/>
    <col min="15105" max="15105" width="13.28515625" style="1" customWidth="1"/>
    <col min="15106" max="15106" width="12.28515625" style="1" customWidth="1"/>
    <col min="15107" max="15107" width="10" style="1" bestFit="1" customWidth="1"/>
    <col min="15108" max="15108" width="11" style="1" customWidth="1"/>
    <col min="15109" max="15109" width="11.28515625" style="1" customWidth="1"/>
    <col min="15110" max="15110" width="12.42578125" style="1" bestFit="1" customWidth="1"/>
    <col min="15111" max="15111" width="10.5703125" style="1" customWidth="1"/>
    <col min="15112" max="15112" width="12.85546875" style="1" customWidth="1"/>
    <col min="15113" max="15113" width="11.140625" style="1" customWidth="1"/>
    <col min="15114" max="15114" width="9.42578125" style="1" bestFit="1" customWidth="1"/>
    <col min="15115" max="15115" width="11.85546875" style="1" customWidth="1"/>
    <col min="15116" max="15116" width="8.7109375" style="1" bestFit="1" customWidth="1"/>
    <col min="15117" max="15117" width="10.85546875" style="1" customWidth="1"/>
    <col min="15118" max="15118" width="8.7109375" style="1" bestFit="1" customWidth="1"/>
    <col min="15119" max="15119" width="9.7109375" style="1" bestFit="1" customWidth="1"/>
    <col min="15120" max="15120" width="8.7109375" style="1" bestFit="1" customWidth="1"/>
    <col min="15121" max="15121" width="9.7109375" style="1" bestFit="1" customWidth="1"/>
    <col min="15122" max="15123" width="9.7109375" style="1" customWidth="1"/>
    <col min="15124" max="15124" width="8.42578125" style="1" customWidth="1"/>
    <col min="15125" max="15125" width="9.140625" style="1" customWidth="1"/>
    <col min="15126" max="15126" width="8" style="1" customWidth="1"/>
    <col min="15127" max="15127" width="10.28515625" style="1" customWidth="1"/>
    <col min="15128" max="15128" width="9.85546875" style="1" customWidth="1"/>
    <col min="15129" max="15129" width="11.5703125" style="1" customWidth="1"/>
    <col min="15130" max="15130" width="11.42578125" style="1" customWidth="1"/>
    <col min="15131" max="15131" width="12.7109375" style="1" bestFit="1" customWidth="1"/>
    <col min="15132" max="15132" width="11.85546875" style="1" bestFit="1" customWidth="1"/>
    <col min="15133" max="15360" width="9.140625" style="1"/>
    <col min="15361" max="15361" width="13.28515625" style="1" customWidth="1"/>
    <col min="15362" max="15362" width="12.28515625" style="1" customWidth="1"/>
    <col min="15363" max="15363" width="10" style="1" bestFit="1" customWidth="1"/>
    <col min="15364" max="15364" width="11" style="1" customWidth="1"/>
    <col min="15365" max="15365" width="11.28515625" style="1" customWidth="1"/>
    <col min="15366" max="15366" width="12.42578125" style="1" bestFit="1" customWidth="1"/>
    <col min="15367" max="15367" width="10.5703125" style="1" customWidth="1"/>
    <col min="15368" max="15368" width="12.85546875" style="1" customWidth="1"/>
    <col min="15369" max="15369" width="11.140625" style="1" customWidth="1"/>
    <col min="15370" max="15370" width="9.42578125" style="1" bestFit="1" customWidth="1"/>
    <col min="15371" max="15371" width="11.85546875" style="1" customWidth="1"/>
    <col min="15372" max="15372" width="8.7109375" style="1" bestFit="1" customWidth="1"/>
    <col min="15373" max="15373" width="10.85546875" style="1" customWidth="1"/>
    <col min="15374" max="15374" width="8.7109375" style="1" bestFit="1" customWidth="1"/>
    <col min="15375" max="15375" width="9.7109375" style="1" bestFit="1" customWidth="1"/>
    <col min="15376" max="15376" width="8.7109375" style="1" bestFit="1" customWidth="1"/>
    <col min="15377" max="15377" width="9.7109375" style="1" bestFit="1" customWidth="1"/>
    <col min="15378" max="15379" width="9.7109375" style="1" customWidth="1"/>
    <col min="15380" max="15380" width="8.42578125" style="1" customWidth="1"/>
    <col min="15381" max="15381" width="9.140625" style="1" customWidth="1"/>
    <col min="15382" max="15382" width="8" style="1" customWidth="1"/>
    <col min="15383" max="15383" width="10.28515625" style="1" customWidth="1"/>
    <col min="15384" max="15384" width="9.85546875" style="1" customWidth="1"/>
    <col min="15385" max="15385" width="11.5703125" style="1" customWidth="1"/>
    <col min="15386" max="15386" width="11.42578125" style="1" customWidth="1"/>
    <col min="15387" max="15387" width="12.7109375" style="1" bestFit="1" customWidth="1"/>
    <col min="15388" max="15388" width="11.85546875" style="1" bestFit="1" customWidth="1"/>
    <col min="15389" max="15616" width="9.140625" style="1"/>
    <col min="15617" max="15617" width="13.28515625" style="1" customWidth="1"/>
    <col min="15618" max="15618" width="12.28515625" style="1" customWidth="1"/>
    <col min="15619" max="15619" width="10" style="1" bestFit="1" customWidth="1"/>
    <col min="15620" max="15620" width="11" style="1" customWidth="1"/>
    <col min="15621" max="15621" width="11.28515625" style="1" customWidth="1"/>
    <col min="15622" max="15622" width="12.42578125" style="1" bestFit="1" customWidth="1"/>
    <col min="15623" max="15623" width="10.5703125" style="1" customWidth="1"/>
    <col min="15624" max="15624" width="12.85546875" style="1" customWidth="1"/>
    <col min="15625" max="15625" width="11.140625" style="1" customWidth="1"/>
    <col min="15626" max="15626" width="9.42578125" style="1" bestFit="1" customWidth="1"/>
    <col min="15627" max="15627" width="11.85546875" style="1" customWidth="1"/>
    <col min="15628" max="15628" width="8.7109375" style="1" bestFit="1" customWidth="1"/>
    <col min="15629" max="15629" width="10.85546875" style="1" customWidth="1"/>
    <col min="15630" max="15630" width="8.7109375" style="1" bestFit="1" customWidth="1"/>
    <col min="15631" max="15631" width="9.7109375" style="1" bestFit="1" customWidth="1"/>
    <col min="15632" max="15632" width="8.7109375" style="1" bestFit="1" customWidth="1"/>
    <col min="15633" max="15633" width="9.7109375" style="1" bestFit="1" customWidth="1"/>
    <col min="15634" max="15635" width="9.7109375" style="1" customWidth="1"/>
    <col min="15636" max="15636" width="8.42578125" style="1" customWidth="1"/>
    <col min="15637" max="15637" width="9.140625" style="1" customWidth="1"/>
    <col min="15638" max="15638" width="8" style="1" customWidth="1"/>
    <col min="15639" max="15639" width="10.28515625" style="1" customWidth="1"/>
    <col min="15640" max="15640" width="9.85546875" style="1" customWidth="1"/>
    <col min="15641" max="15641" width="11.5703125" style="1" customWidth="1"/>
    <col min="15642" max="15642" width="11.42578125" style="1" customWidth="1"/>
    <col min="15643" max="15643" width="12.7109375" style="1" bestFit="1" customWidth="1"/>
    <col min="15644" max="15644" width="11.85546875" style="1" bestFit="1" customWidth="1"/>
    <col min="15645" max="15872" width="9.140625" style="1"/>
    <col min="15873" max="15873" width="13.28515625" style="1" customWidth="1"/>
    <col min="15874" max="15874" width="12.28515625" style="1" customWidth="1"/>
    <col min="15875" max="15875" width="10" style="1" bestFit="1" customWidth="1"/>
    <col min="15876" max="15876" width="11" style="1" customWidth="1"/>
    <col min="15877" max="15877" width="11.28515625" style="1" customWidth="1"/>
    <col min="15878" max="15878" width="12.42578125" style="1" bestFit="1" customWidth="1"/>
    <col min="15879" max="15879" width="10.5703125" style="1" customWidth="1"/>
    <col min="15880" max="15880" width="12.85546875" style="1" customWidth="1"/>
    <col min="15881" max="15881" width="11.140625" style="1" customWidth="1"/>
    <col min="15882" max="15882" width="9.42578125" style="1" bestFit="1" customWidth="1"/>
    <col min="15883" max="15883" width="11.85546875" style="1" customWidth="1"/>
    <col min="15884" max="15884" width="8.7109375" style="1" bestFit="1" customWidth="1"/>
    <col min="15885" max="15885" width="10.85546875" style="1" customWidth="1"/>
    <col min="15886" max="15886" width="8.7109375" style="1" bestFit="1" customWidth="1"/>
    <col min="15887" max="15887" width="9.7109375" style="1" bestFit="1" customWidth="1"/>
    <col min="15888" max="15888" width="8.7109375" style="1" bestFit="1" customWidth="1"/>
    <col min="15889" max="15889" width="9.7109375" style="1" bestFit="1" customWidth="1"/>
    <col min="15890" max="15891" width="9.7109375" style="1" customWidth="1"/>
    <col min="15892" max="15892" width="8.42578125" style="1" customWidth="1"/>
    <col min="15893" max="15893" width="9.140625" style="1" customWidth="1"/>
    <col min="15894" max="15894" width="8" style="1" customWidth="1"/>
    <col min="15895" max="15895" width="10.28515625" style="1" customWidth="1"/>
    <col min="15896" max="15896" width="9.85546875" style="1" customWidth="1"/>
    <col min="15897" max="15897" width="11.5703125" style="1" customWidth="1"/>
    <col min="15898" max="15898" width="11.42578125" style="1" customWidth="1"/>
    <col min="15899" max="15899" width="12.7109375" style="1" bestFit="1" customWidth="1"/>
    <col min="15900" max="15900" width="11.85546875" style="1" bestFit="1" customWidth="1"/>
    <col min="15901" max="16128" width="9.140625" style="1"/>
    <col min="16129" max="16129" width="13.28515625" style="1" customWidth="1"/>
    <col min="16130" max="16130" width="12.28515625" style="1" customWidth="1"/>
    <col min="16131" max="16131" width="10" style="1" bestFit="1" customWidth="1"/>
    <col min="16132" max="16132" width="11" style="1" customWidth="1"/>
    <col min="16133" max="16133" width="11.28515625" style="1" customWidth="1"/>
    <col min="16134" max="16134" width="12.42578125" style="1" bestFit="1" customWidth="1"/>
    <col min="16135" max="16135" width="10.5703125" style="1" customWidth="1"/>
    <col min="16136" max="16136" width="12.85546875" style="1" customWidth="1"/>
    <col min="16137" max="16137" width="11.140625" style="1" customWidth="1"/>
    <col min="16138" max="16138" width="9.42578125" style="1" bestFit="1" customWidth="1"/>
    <col min="16139" max="16139" width="11.85546875" style="1" customWidth="1"/>
    <col min="16140" max="16140" width="8.7109375" style="1" bestFit="1" customWidth="1"/>
    <col min="16141" max="16141" width="10.85546875" style="1" customWidth="1"/>
    <col min="16142" max="16142" width="8.7109375" style="1" bestFit="1" customWidth="1"/>
    <col min="16143" max="16143" width="9.7109375" style="1" bestFit="1" customWidth="1"/>
    <col min="16144" max="16144" width="8.7109375" style="1" bestFit="1" customWidth="1"/>
    <col min="16145" max="16145" width="9.7109375" style="1" bestFit="1" customWidth="1"/>
    <col min="16146" max="16147" width="9.7109375" style="1" customWidth="1"/>
    <col min="16148" max="16148" width="8.42578125" style="1" customWidth="1"/>
    <col min="16149" max="16149" width="9.140625" style="1" customWidth="1"/>
    <col min="16150" max="16150" width="8" style="1" customWidth="1"/>
    <col min="16151" max="16151" width="10.28515625" style="1" customWidth="1"/>
    <col min="16152" max="16152" width="9.85546875" style="1" customWidth="1"/>
    <col min="16153" max="16153" width="11.5703125" style="1" customWidth="1"/>
    <col min="16154" max="16154" width="11.42578125" style="1" customWidth="1"/>
    <col min="16155" max="16155" width="12.7109375" style="1" bestFit="1" customWidth="1"/>
    <col min="16156" max="16156" width="11.85546875" style="1" bestFit="1" customWidth="1"/>
    <col min="16157" max="16384" width="9.140625" style="1"/>
  </cols>
  <sheetData>
    <row r="1" spans="1:13" s="196" customFormat="1" ht="24" customHeight="1" x14ac:dyDescent="0.7">
      <c r="A1" s="234" t="s">
        <v>23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</row>
    <row r="2" spans="1:13" ht="24" customHeight="1" thickBot="1" x14ac:dyDescent="0.7">
      <c r="A2" s="225" t="s">
        <v>71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</row>
    <row r="3" spans="1:13" ht="25.5" thickBot="1" x14ac:dyDescent="0.7">
      <c r="A3" s="64" t="s">
        <v>2</v>
      </c>
      <c r="B3" s="29" t="s">
        <v>3</v>
      </c>
      <c r="C3" s="29" t="s">
        <v>4</v>
      </c>
      <c r="D3" s="29" t="s">
        <v>5</v>
      </c>
      <c r="E3" s="29" t="s">
        <v>6</v>
      </c>
      <c r="F3" s="29" t="s">
        <v>7</v>
      </c>
      <c r="G3" s="29" t="s">
        <v>41</v>
      </c>
      <c r="H3" s="29" t="s">
        <v>42</v>
      </c>
      <c r="I3" s="29" t="s">
        <v>10</v>
      </c>
      <c r="J3" s="29" t="s">
        <v>11</v>
      </c>
      <c r="K3" s="29" t="s">
        <v>12</v>
      </c>
      <c r="L3" s="29" t="s">
        <v>21</v>
      </c>
      <c r="M3" s="29" t="s">
        <v>14</v>
      </c>
    </row>
    <row r="4" spans="1:13" x14ac:dyDescent="0.65">
      <c r="A4" s="39">
        <v>1</v>
      </c>
      <c r="B4" s="24"/>
      <c r="C4" s="24">
        <v>1301</v>
      </c>
      <c r="D4" s="24">
        <v>1291</v>
      </c>
      <c r="E4" s="24">
        <v>1284</v>
      </c>
      <c r="F4" s="24"/>
      <c r="G4" s="24"/>
      <c r="H4" s="24">
        <v>1261</v>
      </c>
      <c r="I4" s="24">
        <v>1254</v>
      </c>
      <c r="J4" s="24"/>
      <c r="K4" s="24">
        <v>1244</v>
      </c>
      <c r="L4" s="24">
        <v>1242</v>
      </c>
      <c r="M4" s="24"/>
    </row>
    <row r="5" spans="1:13" x14ac:dyDescent="0.65">
      <c r="A5" s="108">
        <v>2</v>
      </c>
      <c r="B5" s="26"/>
      <c r="C5" s="26"/>
      <c r="D5" s="26"/>
      <c r="E5" s="26">
        <v>1283</v>
      </c>
      <c r="F5" s="26">
        <v>1279</v>
      </c>
      <c r="G5" s="26"/>
      <c r="H5" s="26">
        <v>1261</v>
      </c>
      <c r="I5" s="26">
        <v>1253</v>
      </c>
      <c r="J5" s="26">
        <v>1248</v>
      </c>
      <c r="K5" s="26">
        <v>1243</v>
      </c>
      <c r="L5" s="26"/>
      <c r="M5" s="26">
        <v>1230</v>
      </c>
    </row>
    <row r="6" spans="1:13" x14ac:dyDescent="0.65">
      <c r="A6" s="108">
        <v>3</v>
      </c>
      <c r="B6" s="26"/>
      <c r="C6" s="26"/>
      <c r="D6" s="26"/>
      <c r="E6" s="26">
        <v>1283</v>
      </c>
      <c r="F6" s="26">
        <v>1278</v>
      </c>
      <c r="G6" s="26">
        <v>1271</v>
      </c>
      <c r="H6" s="26">
        <v>1261</v>
      </c>
      <c r="I6" s="26"/>
      <c r="J6" s="26">
        <v>1248</v>
      </c>
      <c r="K6" s="26">
        <v>1243</v>
      </c>
      <c r="L6" s="26"/>
      <c r="M6" s="26">
        <v>1229</v>
      </c>
    </row>
    <row r="7" spans="1:13" x14ac:dyDescent="0.65">
      <c r="A7" s="108">
        <v>4</v>
      </c>
      <c r="B7" s="26"/>
      <c r="C7" s="26">
        <v>1301</v>
      </c>
      <c r="D7" s="26">
        <v>1291</v>
      </c>
      <c r="E7" s="26">
        <v>1283</v>
      </c>
      <c r="F7" s="26"/>
      <c r="G7" s="26">
        <v>1270</v>
      </c>
      <c r="H7" s="26">
        <v>1261</v>
      </c>
      <c r="I7" s="26"/>
      <c r="J7" s="26">
        <v>1247</v>
      </c>
      <c r="K7" s="26">
        <v>1243</v>
      </c>
      <c r="L7" s="26">
        <v>1242</v>
      </c>
      <c r="M7" s="26">
        <v>1228</v>
      </c>
    </row>
    <row r="8" spans="1:13" x14ac:dyDescent="0.65">
      <c r="A8" s="108">
        <v>5</v>
      </c>
      <c r="B8" s="26"/>
      <c r="C8" s="26">
        <v>1300</v>
      </c>
      <c r="D8" s="26">
        <v>1290</v>
      </c>
      <c r="E8" s="26">
        <v>1283</v>
      </c>
      <c r="F8" s="26"/>
      <c r="G8" s="26">
        <v>1271</v>
      </c>
      <c r="H8" s="26">
        <v>1261</v>
      </c>
      <c r="I8" s="26">
        <v>1253</v>
      </c>
      <c r="J8" s="26">
        <v>1247</v>
      </c>
      <c r="K8" s="26"/>
      <c r="L8" s="26">
        <v>1241</v>
      </c>
      <c r="M8" s="26">
        <v>1227</v>
      </c>
    </row>
    <row r="9" spans="1:13" x14ac:dyDescent="0.65">
      <c r="A9" s="108">
        <v>6</v>
      </c>
      <c r="B9" s="26"/>
      <c r="C9" s="26">
        <v>1299</v>
      </c>
      <c r="D9" s="26">
        <v>1290</v>
      </c>
      <c r="E9" s="26"/>
      <c r="F9" s="26">
        <v>1278</v>
      </c>
      <c r="G9" s="26">
        <v>1271</v>
      </c>
      <c r="H9" s="26"/>
      <c r="I9" s="26">
        <v>1251</v>
      </c>
      <c r="J9" s="26">
        <v>1247</v>
      </c>
      <c r="K9" s="26"/>
      <c r="L9" s="26">
        <v>1240</v>
      </c>
      <c r="M9" s="26">
        <v>1226</v>
      </c>
    </row>
    <row r="10" spans="1:13" x14ac:dyDescent="0.65">
      <c r="A10" s="108">
        <v>7</v>
      </c>
      <c r="B10" s="26"/>
      <c r="C10" s="26">
        <v>1299</v>
      </c>
      <c r="D10" s="26">
        <v>1289</v>
      </c>
      <c r="E10" s="26"/>
      <c r="F10" s="26">
        <v>1276</v>
      </c>
      <c r="G10" s="26">
        <v>1271</v>
      </c>
      <c r="H10" s="26"/>
      <c r="I10" s="26">
        <v>1250</v>
      </c>
      <c r="J10" s="26"/>
      <c r="K10" s="26">
        <v>1243</v>
      </c>
      <c r="L10" s="26">
        <v>1239</v>
      </c>
      <c r="M10" s="26"/>
    </row>
    <row r="11" spans="1:13" x14ac:dyDescent="0.65">
      <c r="A11" s="108">
        <v>8</v>
      </c>
      <c r="B11" s="26">
        <v>1331</v>
      </c>
      <c r="C11" s="26">
        <v>1299</v>
      </c>
      <c r="D11" s="26">
        <v>1290</v>
      </c>
      <c r="E11" s="26">
        <v>1283</v>
      </c>
      <c r="F11" s="26">
        <v>1275</v>
      </c>
      <c r="G11" s="26"/>
      <c r="H11" s="26">
        <v>1261</v>
      </c>
      <c r="I11" s="26"/>
      <c r="J11" s="26"/>
      <c r="K11" s="26">
        <v>1242</v>
      </c>
      <c r="L11" s="26">
        <v>1239</v>
      </c>
      <c r="M11" s="26"/>
    </row>
    <row r="12" spans="1:13" x14ac:dyDescent="0.65">
      <c r="A12" s="108">
        <v>9</v>
      </c>
      <c r="B12" s="26">
        <v>1329</v>
      </c>
      <c r="C12" s="26"/>
      <c r="D12" s="26"/>
      <c r="E12" s="26"/>
      <c r="F12" s="26">
        <v>1274</v>
      </c>
      <c r="G12" s="26"/>
      <c r="H12" s="26">
        <v>1260</v>
      </c>
      <c r="I12" s="26"/>
      <c r="J12" s="26">
        <v>1247</v>
      </c>
      <c r="K12" s="26">
        <v>1242</v>
      </c>
      <c r="L12" s="26"/>
      <c r="M12" s="26">
        <v>1226</v>
      </c>
    </row>
    <row r="13" spans="1:13" x14ac:dyDescent="0.65">
      <c r="A13" s="108">
        <v>10</v>
      </c>
      <c r="B13" s="26">
        <v>1326</v>
      </c>
      <c r="C13" s="26"/>
      <c r="D13" s="26"/>
      <c r="E13" s="26">
        <v>1283</v>
      </c>
      <c r="F13" s="26">
        <v>1274</v>
      </c>
      <c r="G13" s="26">
        <v>1271</v>
      </c>
      <c r="H13" s="26">
        <v>1260</v>
      </c>
      <c r="I13" s="26"/>
      <c r="J13" s="26">
        <v>1246</v>
      </c>
      <c r="K13" s="26">
        <v>1242</v>
      </c>
      <c r="L13" s="26"/>
      <c r="M13" s="26">
        <v>1226</v>
      </c>
    </row>
    <row r="14" spans="1:13" x14ac:dyDescent="0.65">
      <c r="A14" s="108">
        <v>11</v>
      </c>
      <c r="B14" s="26">
        <v>1326</v>
      </c>
      <c r="C14" s="26">
        <v>1299</v>
      </c>
      <c r="D14" s="26">
        <v>1290</v>
      </c>
      <c r="E14" s="26">
        <v>1283</v>
      </c>
      <c r="F14" s="26"/>
      <c r="G14" s="26">
        <v>1271</v>
      </c>
      <c r="H14" s="26">
        <v>1260</v>
      </c>
      <c r="I14" s="26"/>
      <c r="J14" s="26">
        <v>1246</v>
      </c>
      <c r="K14" s="26">
        <v>1242</v>
      </c>
      <c r="L14" s="26">
        <v>1239</v>
      </c>
      <c r="M14" s="26">
        <v>1226</v>
      </c>
    </row>
    <row r="15" spans="1:13" x14ac:dyDescent="0.65">
      <c r="A15" s="108">
        <v>12</v>
      </c>
      <c r="B15" s="26"/>
      <c r="C15" s="26">
        <v>1299</v>
      </c>
      <c r="D15" s="26">
        <v>1289</v>
      </c>
      <c r="E15" s="26">
        <v>1283</v>
      </c>
      <c r="F15" s="26"/>
      <c r="G15" s="26">
        <v>1270</v>
      </c>
      <c r="H15" s="26">
        <v>1260</v>
      </c>
      <c r="I15" s="26">
        <v>1250</v>
      </c>
      <c r="J15" s="26">
        <v>1246</v>
      </c>
      <c r="K15" s="26"/>
      <c r="L15" s="26">
        <v>1239</v>
      </c>
      <c r="M15" s="26">
        <v>1226</v>
      </c>
    </row>
    <row r="16" spans="1:13" x14ac:dyDescent="0.65">
      <c r="A16" s="108">
        <v>13</v>
      </c>
      <c r="B16" s="26"/>
      <c r="C16" s="26">
        <v>1299</v>
      </c>
      <c r="D16" s="26">
        <v>1289</v>
      </c>
      <c r="E16" s="26"/>
      <c r="F16" s="26">
        <v>1273</v>
      </c>
      <c r="G16" s="26">
        <v>1269</v>
      </c>
      <c r="H16" s="26"/>
      <c r="I16" s="26">
        <v>1250</v>
      </c>
      <c r="J16" s="26">
        <v>1245</v>
      </c>
      <c r="K16" s="26"/>
      <c r="L16" s="26">
        <v>1238</v>
      </c>
      <c r="M16" s="26">
        <v>1226</v>
      </c>
    </row>
    <row r="17" spans="1:13" x14ac:dyDescent="0.65">
      <c r="A17" s="108">
        <v>14</v>
      </c>
      <c r="B17" s="26">
        <v>1326</v>
      </c>
      <c r="C17" s="26">
        <v>1297</v>
      </c>
      <c r="D17" s="26">
        <v>1288</v>
      </c>
      <c r="E17" s="26"/>
      <c r="F17" s="26">
        <v>1272</v>
      </c>
      <c r="G17" s="26"/>
      <c r="H17" s="26"/>
      <c r="I17" s="26">
        <v>1250</v>
      </c>
      <c r="J17" s="26"/>
      <c r="K17" s="26"/>
      <c r="L17" s="26">
        <v>1238</v>
      </c>
      <c r="M17" s="26"/>
    </row>
    <row r="18" spans="1:13" x14ac:dyDescent="0.65">
      <c r="A18" s="108">
        <v>15</v>
      </c>
      <c r="B18" s="26">
        <v>1321</v>
      </c>
      <c r="C18" s="26">
        <v>1296</v>
      </c>
      <c r="D18" s="26">
        <v>1288</v>
      </c>
      <c r="E18" s="26">
        <v>1283</v>
      </c>
      <c r="F18" s="26">
        <v>1272</v>
      </c>
      <c r="G18" s="26"/>
      <c r="H18" s="26">
        <v>1260</v>
      </c>
      <c r="I18" s="26">
        <v>1250</v>
      </c>
      <c r="J18" s="26"/>
      <c r="K18" s="26"/>
      <c r="L18" s="26">
        <v>1238</v>
      </c>
      <c r="M18" s="26"/>
    </row>
    <row r="19" spans="1:13" x14ac:dyDescent="0.65">
      <c r="A19" s="108">
        <v>16</v>
      </c>
      <c r="B19" s="26">
        <v>1319</v>
      </c>
      <c r="C19" s="26"/>
      <c r="D19" s="26"/>
      <c r="E19" s="26">
        <v>1283</v>
      </c>
      <c r="F19" s="26">
        <v>1271</v>
      </c>
      <c r="G19" s="26"/>
      <c r="H19" s="26">
        <v>1260</v>
      </c>
      <c r="I19" s="26">
        <v>1250</v>
      </c>
      <c r="J19" s="26">
        <v>1245</v>
      </c>
      <c r="K19" s="26"/>
      <c r="L19" s="26"/>
      <c r="M19" s="26">
        <v>1226</v>
      </c>
    </row>
    <row r="20" spans="1:13" x14ac:dyDescent="0.65">
      <c r="A20" s="108">
        <v>17</v>
      </c>
      <c r="B20" s="26">
        <v>1316</v>
      </c>
      <c r="C20" s="26"/>
      <c r="D20" s="26"/>
      <c r="E20" s="26">
        <v>1283</v>
      </c>
      <c r="F20" s="26">
        <v>1271</v>
      </c>
      <c r="G20" s="26">
        <v>1269</v>
      </c>
      <c r="H20" s="26">
        <v>1260</v>
      </c>
      <c r="I20" s="26"/>
      <c r="J20" s="26">
        <v>1245</v>
      </c>
      <c r="K20" s="26">
        <v>1242</v>
      </c>
      <c r="L20" s="26"/>
      <c r="M20" s="26">
        <v>1226</v>
      </c>
    </row>
    <row r="21" spans="1:13" x14ac:dyDescent="0.65">
      <c r="A21" s="108">
        <v>18</v>
      </c>
      <c r="B21" s="26">
        <v>1311</v>
      </c>
      <c r="C21" s="26">
        <v>1296</v>
      </c>
      <c r="D21" s="26">
        <v>1288</v>
      </c>
      <c r="E21" s="26">
        <v>1283</v>
      </c>
      <c r="F21" s="26"/>
      <c r="G21" s="26">
        <v>1268</v>
      </c>
      <c r="H21" s="26">
        <v>1260</v>
      </c>
      <c r="I21" s="26"/>
      <c r="J21" s="26">
        <v>1244</v>
      </c>
      <c r="K21" s="26">
        <v>1242</v>
      </c>
      <c r="L21" s="26">
        <v>1237</v>
      </c>
      <c r="M21" s="26">
        <v>1226</v>
      </c>
    </row>
    <row r="22" spans="1:13" x14ac:dyDescent="0.65">
      <c r="A22" s="108">
        <v>19</v>
      </c>
      <c r="B22" s="26"/>
      <c r="C22" s="26">
        <v>1296</v>
      </c>
      <c r="D22" s="26">
        <v>1288</v>
      </c>
      <c r="E22" s="26">
        <v>1283</v>
      </c>
      <c r="F22" s="26"/>
      <c r="G22" s="26">
        <v>1267</v>
      </c>
      <c r="H22" s="26">
        <v>1260</v>
      </c>
      <c r="I22" s="26">
        <v>1250</v>
      </c>
      <c r="J22" s="26">
        <v>1244</v>
      </c>
      <c r="K22" s="26" t="s">
        <v>55</v>
      </c>
      <c r="L22" s="26">
        <v>1237</v>
      </c>
      <c r="M22" s="26"/>
    </row>
    <row r="23" spans="1:13" x14ac:dyDescent="0.65">
      <c r="A23" s="108">
        <v>20</v>
      </c>
      <c r="B23" s="26"/>
      <c r="C23" s="26">
        <v>1294</v>
      </c>
      <c r="D23" s="26">
        <v>1288</v>
      </c>
      <c r="E23" s="26"/>
      <c r="F23" s="26">
        <v>1271</v>
      </c>
      <c r="G23" s="26">
        <v>1266</v>
      </c>
      <c r="H23" s="26"/>
      <c r="I23" s="26">
        <v>1249</v>
      </c>
      <c r="J23" s="26">
        <v>1244</v>
      </c>
      <c r="K23" s="26"/>
      <c r="L23" s="26">
        <v>1236</v>
      </c>
      <c r="M23" s="26"/>
    </row>
    <row r="24" spans="1:13" x14ac:dyDescent="0.65">
      <c r="A24" s="108">
        <v>21</v>
      </c>
      <c r="B24" s="26">
        <v>1311</v>
      </c>
      <c r="C24" s="26">
        <v>1293</v>
      </c>
      <c r="D24" s="50"/>
      <c r="E24" s="26"/>
      <c r="F24" s="26">
        <v>1271</v>
      </c>
      <c r="G24" s="26">
        <v>1265</v>
      </c>
      <c r="H24" s="26"/>
      <c r="I24" s="26">
        <v>1249</v>
      </c>
      <c r="J24" s="26"/>
      <c r="K24" s="26">
        <v>1242</v>
      </c>
      <c r="L24" s="26">
        <v>1236</v>
      </c>
      <c r="M24" s="26"/>
    </row>
    <row r="25" spans="1:13" x14ac:dyDescent="0.65">
      <c r="A25" s="108">
        <v>22</v>
      </c>
      <c r="B25" s="26">
        <v>1309</v>
      </c>
      <c r="C25" s="26">
        <v>1293</v>
      </c>
      <c r="D25" s="26">
        <v>1288</v>
      </c>
      <c r="E25" s="26">
        <v>1283</v>
      </c>
      <c r="F25" s="26">
        <v>1271</v>
      </c>
      <c r="G25" s="26"/>
      <c r="H25" s="26">
        <v>1260</v>
      </c>
      <c r="I25" s="26">
        <v>1249</v>
      </c>
      <c r="J25" s="26"/>
      <c r="K25" s="26">
        <v>1242</v>
      </c>
      <c r="L25" s="26">
        <v>1235</v>
      </c>
      <c r="M25" s="26"/>
    </row>
    <row r="26" spans="1:13" x14ac:dyDescent="0.65">
      <c r="A26" s="108">
        <v>23</v>
      </c>
      <c r="B26" s="26">
        <v>1306</v>
      </c>
      <c r="C26" s="26"/>
      <c r="D26" s="26"/>
      <c r="E26" s="26">
        <v>1281</v>
      </c>
      <c r="F26" s="26">
        <v>1270</v>
      </c>
      <c r="G26" s="26"/>
      <c r="H26" s="26">
        <v>1260</v>
      </c>
      <c r="I26" s="26">
        <v>1248</v>
      </c>
      <c r="J26" s="26">
        <v>1244</v>
      </c>
      <c r="K26" s="26">
        <v>1242</v>
      </c>
      <c r="L26" s="26"/>
      <c r="M26" s="26"/>
    </row>
    <row r="27" spans="1:13" x14ac:dyDescent="0.65">
      <c r="A27" s="108">
        <v>24</v>
      </c>
      <c r="B27" s="26">
        <v>1306</v>
      </c>
      <c r="C27" s="26"/>
      <c r="D27" s="26"/>
      <c r="E27" s="26">
        <v>1281</v>
      </c>
      <c r="F27" s="26">
        <v>1270</v>
      </c>
      <c r="G27" s="26">
        <v>1264</v>
      </c>
      <c r="H27" s="26">
        <v>1260</v>
      </c>
      <c r="I27" s="26"/>
      <c r="J27" s="26">
        <v>1244</v>
      </c>
      <c r="K27" s="26">
        <v>1242</v>
      </c>
      <c r="L27" s="26"/>
      <c r="M27" s="26"/>
    </row>
    <row r="28" spans="1:13" x14ac:dyDescent="0.65">
      <c r="A28" s="108">
        <v>25</v>
      </c>
      <c r="B28" s="26">
        <v>1303</v>
      </c>
      <c r="C28" s="26">
        <v>1293</v>
      </c>
      <c r="D28" s="26">
        <v>1288</v>
      </c>
      <c r="E28" s="26">
        <v>1281</v>
      </c>
      <c r="F28" s="26"/>
      <c r="G28" s="26">
        <v>1263</v>
      </c>
      <c r="H28" s="26">
        <v>1259</v>
      </c>
      <c r="I28" s="26"/>
      <c r="J28" s="26">
        <v>1244</v>
      </c>
      <c r="K28" s="26">
        <v>1242</v>
      </c>
      <c r="L28" s="26">
        <v>1234</v>
      </c>
      <c r="M28" s="26"/>
    </row>
    <row r="29" spans="1:13" x14ac:dyDescent="0.65">
      <c r="A29" s="108">
        <v>26</v>
      </c>
      <c r="B29" s="26"/>
      <c r="C29" s="26">
        <v>1293</v>
      </c>
      <c r="D29" s="26">
        <v>1287</v>
      </c>
      <c r="E29" s="26">
        <v>1281</v>
      </c>
      <c r="F29" s="26"/>
      <c r="G29" s="26">
        <v>1262</v>
      </c>
      <c r="H29" s="26">
        <v>1257</v>
      </c>
      <c r="I29" s="26">
        <v>1248</v>
      </c>
      <c r="J29" s="26">
        <v>1244</v>
      </c>
      <c r="K29" s="26"/>
      <c r="L29" s="26">
        <v>1233</v>
      </c>
      <c r="M29" s="26">
        <v>1226</v>
      </c>
    </row>
    <row r="30" spans="1:13" x14ac:dyDescent="0.65">
      <c r="A30" s="108">
        <v>27</v>
      </c>
      <c r="B30" s="26"/>
      <c r="C30" s="26">
        <v>1292</v>
      </c>
      <c r="D30" s="26">
        <v>1285</v>
      </c>
      <c r="E30" s="26"/>
      <c r="F30" s="26">
        <v>1270</v>
      </c>
      <c r="G30" s="26">
        <v>1262</v>
      </c>
      <c r="H30" s="26"/>
      <c r="I30" s="26">
        <v>1248</v>
      </c>
      <c r="J30" s="26">
        <v>1244</v>
      </c>
      <c r="K30" s="26"/>
      <c r="L30" s="26">
        <v>1232</v>
      </c>
      <c r="M30" s="26">
        <v>1226</v>
      </c>
    </row>
    <row r="31" spans="1:13" x14ac:dyDescent="0.65">
      <c r="A31" s="108">
        <v>28</v>
      </c>
      <c r="B31" s="26">
        <v>1303</v>
      </c>
      <c r="C31" s="26">
        <v>1291</v>
      </c>
      <c r="D31" s="26">
        <v>1284</v>
      </c>
      <c r="E31" s="26"/>
      <c r="F31" s="26">
        <v>1270</v>
      </c>
      <c r="G31" s="26">
        <v>1261</v>
      </c>
      <c r="H31" s="26"/>
      <c r="I31" s="26">
        <v>1248</v>
      </c>
      <c r="J31" s="26"/>
      <c r="K31" s="26">
        <v>1242</v>
      </c>
      <c r="L31" s="26">
        <v>1231</v>
      </c>
      <c r="M31" s="26"/>
    </row>
    <row r="32" spans="1:13" x14ac:dyDescent="0.65">
      <c r="A32" s="108">
        <v>29</v>
      </c>
      <c r="B32" s="26">
        <v>1303</v>
      </c>
      <c r="C32" s="26"/>
      <c r="D32" s="26">
        <v>1284</v>
      </c>
      <c r="E32" s="26">
        <v>1281</v>
      </c>
      <c r="F32" s="26">
        <v>1270</v>
      </c>
      <c r="G32" s="26"/>
      <c r="H32" s="26">
        <v>1257</v>
      </c>
      <c r="I32" s="26">
        <v>1248</v>
      </c>
      <c r="J32" s="26"/>
      <c r="K32" s="26">
        <v>1242</v>
      </c>
      <c r="L32" s="26">
        <v>1230</v>
      </c>
      <c r="M32" s="26"/>
    </row>
    <row r="33" spans="1:27" x14ac:dyDescent="0.65">
      <c r="A33" s="108">
        <v>30</v>
      </c>
      <c r="B33" s="26"/>
      <c r="C33" s="26"/>
      <c r="D33" s="26"/>
      <c r="E33" s="26">
        <v>1280</v>
      </c>
      <c r="F33" s="26">
        <v>1271</v>
      </c>
      <c r="G33" s="26"/>
      <c r="H33" s="26">
        <v>1256</v>
      </c>
      <c r="I33" s="26">
        <v>1248</v>
      </c>
      <c r="J33" s="26">
        <v>1244</v>
      </c>
      <c r="K33" s="26">
        <v>1242</v>
      </c>
      <c r="L33" s="26"/>
      <c r="M33" s="26">
        <v>1226</v>
      </c>
    </row>
    <row r="34" spans="1:27" ht="25.5" thickBot="1" x14ac:dyDescent="0.7">
      <c r="A34" s="109">
        <v>31</v>
      </c>
      <c r="B34" s="28">
        <v>1303</v>
      </c>
      <c r="C34" s="28"/>
      <c r="D34" s="28"/>
      <c r="E34" s="28"/>
      <c r="F34" s="28">
        <v>1271</v>
      </c>
      <c r="G34" s="28"/>
      <c r="H34" s="28">
        <v>1255</v>
      </c>
      <c r="I34" s="28"/>
      <c r="J34" s="28"/>
      <c r="K34" s="28">
        <v>1242</v>
      </c>
      <c r="L34" s="28"/>
      <c r="M34" s="28">
        <v>1225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 spans="1:27" ht="25.5" thickBot="1" x14ac:dyDescent="0.7">
      <c r="A35" s="17" t="s">
        <v>15</v>
      </c>
      <c r="B35" s="197">
        <f>AVERAGE(B4:B34)</f>
        <v>1314.6470588235295</v>
      </c>
      <c r="C35" s="197">
        <f t="shared" ref="C35:M35" si="0">AVERAGE(C4:C34)</f>
        <v>1296.5</v>
      </c>
      <c r="D35" s="197">
        <f t="shared" si="0"/>
        <v>1288.25</v>
      </c>
      <c r="E35" s="197">
        <f t="shared" si="0"/>
        <v>1282.4285714285713</v>
      </c>
      <c r="F35" s="197">
        <f t="shared" si="0"/>
        <v>1272.6363636363637</v>
      </c>
      <c r="G35" s="197">
        <f t="shared" si="0"/>
        <v>1267.4736842105262</v>
      </c>
      <c r="H35" s="197">
        <f t="shared" si="0"/>
        <v>1259.5652173913043</v>
      </c>
      <c r="I35" s="197">
        <f t="shared" si="0"/>
        <v>1249.8</v>
      </c>
      <c r="J35" s="197">
        <f t="shared" si="0"/>
        <v>1245.3809523809523</v>
      </c>
      <c r="K35" s="197">
        <f t="shared" si="0"/>
        <v>1242.3</v>
      </c>
      <c r="L35" s="197">
        <f t="shared" si="0"/>
        <v>1236.952380952381</v>
      </c>
      <c r="M35" s="197">
        <f t="shared" si="0"/>
        <v>1226.5294117647059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7" s="22" customFormat="1" x14ac:dyDescent="0.65">
      <c r="A36" s="198"/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21"/>
    </row>
    <row r="37" spans="1:27" s="196" customFormat="1" ht="24" customHeight="1" x14ac:dyDescent="0.7">
      <c r="A37" s="234" t="s">
        <v>24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</row>
    <row r="38" spans="1:27" ht="24" customHeight="1" thickBot="1" x14ac:dyDescent="0.7">
      <c r="A38" s="225" t="s">
        <v>71</v>
      </c>
      <c r="B38" s="225"/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</row>
    <row r="39" spans="1:27" ht="25.5" thickBot="1" x14ac:dyDescent="0.7">
      <c r="A39" s="226" t="s">
        <v>2</v>
      </c>
      <c r="B39" s="231" t="s">
        <v>3</v>
      </c>
      <c r="C39" s="231"/>
      <c r="D39" s="231" t="s">
        <v>4</v>
      </c>
      <c r="E39" s="231"/>
      <c r="F39" s="231" t="s">
        <v>72</v>
      </c>
      <c r="G39" s="231"/>
      <c r="H39" s="231" t="s">
        <v>6</v>
      </c>
      <c r="I39" s="231"/>
      <c r="J39" s="231" t="s">
        <v>73</v>
      </c>
      <c r="K39" s="231"/>
      <c r="L39" s="231" t="s">
        <v>3</v>
      </c>
      <c r="M39" s="231"/>
      <c r="N39" s="232" t="s">
        <v>9</v>
      </c>
      <c r="O39" s="233"/>
      <c r="P39" s="231" t="s">
        <v>10</v>
      </c>
      <c r="Q39" s="231"/>
      <c r="R39" s="231" t="s">
        <v>11</v>
      </c>
      <c r="S39" s="231"/>
      <c r="T39" s="231" t="s">
        <v>12</v>
      </c>
      <c r="U39" s="231"/>
      <c r="V39" s="231" t="s">
        <v>21</v>
      </c>
      <c r="W39" s="231"/>
      <c r="X39" s="231" t="s">
        <v>14</v>
      </c>
      <c r="Y39" s="231"/>
    </row>
    <row r="40" spans="1:27" ht="25.5" thickBot="1" x14ac:dyDescent="0.7">
      <c r="A40" s="227"/>
      <c r="B40" s="17" t="s">
        <v>74</v>
      </c>
      <c r="C40" s="17" t="s">
        <v>75</v>
      </c>
      <c r="D40" s="17" t="s">
        <v>74</v>
      </c>
      <c r="E40" s="17" t="s">
        <v>75</v>
      </c>
      <c r="F40" s="17" t="s">
        <v>74</v>
      </c>
      <c r="G40" s="17" t="s">
        <v>75</v>
      </c>
      <c r="H40" s="17" t="s">
        <v>74</v>
      </c>
      <c r="I40" s="17" t="s">
        <v>75</v>
      </c>
      <c r="J40" s="17" t="s">
        <v>74</v>
      </c>
      <c r="K40" s="17" t="s">
        <v>75</v>
      </c>
      <c r="L40" s="17" t="s">
        <v>74</v>
      </c>
      <c r="M40" s="17" t="s">
        <v>75</v>
      </c>
      <c r="N40" s="17" t="s">
        <v>74</v>
      </c>
      <c r="O40" s="17" t="s">
        <v>75</v>
      </c>
      <c r="P40" s="17" t="s">
        <v>74</v>
      </c>
      <c r="Q40" s="17" t="s">
        <v>75</v>
      </c>
      <c r="R40" s="17" t="s">
        <v>74</v>
      </c>
      <c r="S40" s="17" t="s">
        <v>75</v>
      </c>
      <c r="T40" s="17" t="s">
        <v>74</v>
      </c>
      <c r="U40" s="17" t="s">
        <v>75</v>
      </c>
      <c r="V40" s="17" t="s">
        <v>74</v>
      </c>
      <c r="W40" s="17" t="s">
        <v>75</v>
      </c>
      <c r="X40" s="17" t="s">
        <v>74</v>
      </c>
      <c r="Y40" s="17" t="s">
        <v>75</v>
      </c>
    </row>
    <row r="41" spans="1:27" x14ac:dyDescent="0.65">
      <c r="A41" s="39">
        <v>1</v>
      </c>
      <c r="B41" s="10"/>
      <c r="C41" s="24"/>
      <c r="D41" s="24"/>
      <c r="E41" s="24"/>
      <c r="F41" s="24"/>
      <c r="G41" s="24"/>
      <c r="H41" s="24">
        <v>1206</v>
      </c>
      <c r="I41" s="24">
        <v>1206</v>
      </c>
      <c r="J41" s="24"/>
      <c r="K41" s="24"/>
      <c r="L41" s="24">
        <v>1199</v>
      </c>
      <c r="M41" s="24">
        <v>1199</v>
      </c>
      <c r="N41" s="24">
        <v>1198</v>
      </c>
      <c r="O41" s="24">
        <v>1198</v>
      </c>
      <c r="P41" s="24"/>
      <c r="Q41" s="24"/>
      <c r="R41" s="24">
        <v>1186</v>
      </c>
      <c r="S41" s="24">
        <v>1186</v>
      </c>
      <c r="T41" s="24"/>
      <c r="U41" s="24"/>
      <c r="V41" s="24"/>
      <c r="W41" s="24"/>
      <c r="X41" s="24">
        <v>1179</v>
      </c>
      <c r="Y41" s="24">
        <v>1176</v>
      </c>
    </row>
    <row r="42" spans="1:27" x14ac:dyDescent="0.65">
      <c r="A42" s="108">
        <v>2</v>
      </c>
      <c r="B42" s="12"/>
      <c r="C42" s="26"/>
      <c r="D42" s="26"/>
      <c r="E42" s="26"/>
      <c r="F42" s="26">
        <v>1211</v>
      </c>
      <c r="G42" s="26">
        <v>1211</v>
      </c>
      <c r="H42" s="26">
        <v>1206</v>
      </c>
      <c r="I42" s="26">
        <v>1206</v>
      </c>
      <c r="J42" s="26"/>
      <c r="K42" s="26"/>
      <c r="L42" s="26">
        <v>1198</v>
      </c>
      <c r="M42" s="26">
        <v>1198</v>
      </c>
      <c r="N42" s="26">
        <v>1198</v>
      </c>
      <c r="O42" s="26">
        <v>1198</v>
      </c>
      <c r="P42" s="26"/>
      <c r="Q42" s="26"/>
      <c r="R42" s="26">
        <v>1185</v>
      </c>
      <c r="S42" s="26">
        <v>1185</v>
      </c>
      <c r="T42" s="26"/>
      <c r="U42" s="26"/>
      <c r="V42" s="26">
        <v>1179</v>
      </c>
      <c r="W42" s="26">
        <v>1179</v>
      </c>
      <c r="X42" s="26">
        <v>1179</v>
      </c>
      <c r="Y42" s="26">
        <v>1176</v>
      </c>
    </row>
    <row r="43" spans="1:27" x14ac:dyDescent="0.65">
      <c r="A43" s="108">
        <v>3</v>
      </c>
      <c r="B43" s="12">
        <v>1216</v>
      </c>
      <c r="C43" s="26">
        <v>1216</v>
      </c>
      <c r="D43" s="26">
        <v>1213</v>
      </c>
      <c r="E43" s="26">
        <v>1213</v>
      </c>
      <c r="F43" s="26">
        <v>1211</v>
      </c>
      <c r="G43" s="26">
        <v>1211</v>
      </c>
      <c r="H43" s="26">
        <v>1206</v>
      </c>
      <c r="I43" s="26">
        <v>1206</v>
      </c>
      <c r="J43" s="26"/>
      <c r="K43" s="26"/>
      <c r="L43" s="26">
        <v>1198</v>
      </c>
      <c r="M43" s="26">
        <v>1198</v>
      </c>
      <c r="N43" s="26">
        <v>1198</v>
      </c>
      <c r="O43" s="26">
        <v>1198</v>
      </c>
      <c r="P43" s="26">
        <v>1193</v>
      </c>
      <c r="Q43" s="26">
        <v>1193</v>
      </c>
      <c r="R43" s="26">
        <v>1185</v>
      </c>
      <c r="S43" s="26">
        <v>1185</v>
      </c>
      <c r="T43" s="26"/>
      <c r="U43" s="26"/>
      <c r="V43" s="26">
        <v>1179</v>
      </c>
      <c r="W43" s="26">
        <v>1179</v>
      </c>
      <c r="X43" s="26">
        <v>1179</v>
      </c>
      <c r="Y43" s="26">
        <v>1176</v>
      </c>
    </row>
    <row r="44" spans="1:27" x14ac:dyDescent="0.65">
      <c r="A44" s="108">
        <v>4</v>
      </c>
      <c r="B44" s="12"/>
      <c r="C44" s="26"/>
      <c r="D44" s="26">
        <v>1212</v>
      </c>
      <c r="E44" s="26">
        <v>1212</v>
      </c>
      <c r="F44" s="26">
        <v>1211</v>
      </c>
      <c r="G44" s="26">
        <v>1211</v>
      </c>
      <c r="H44" s="26"/>
      <c r="I44" s="26"/>
      <c r="J44" s="26">
        <v>1203</v>
      </c>
      <c r="K44" s="26">
        <v>1203</v>
      </c>
      <c r="L44" s="26">
        <v>1198</v>
      </c>
      <c r="M44" s="26">
        <v>1198</v>
      </c>
      <c r="N44" s="26"/>
      <c r="O44" s="26"/>
      <c r="P44" s="26">
        <v>1193</v>
      </c>
      <c r="Q44" s="26">
        <v>1193</v>
      </c>
      <c r="R44" s="26">
        <v>1185</v>
      </c>
      <c r="S44" s="26">
        <v>1185</v>
      </c>
      <c r="T44" s="26"/>
      <c r="U44" s="26"/>
      <c r="V44" s="26">
        <v>1179</v>
      </c>
      <c r="W44" s="26">
        <v>1179</v>
      </c>
      <c r="X44" s="26">
        <v>1178</v>
      </c>
      <c r="Y44" s="26">
        <v>1175</v>
      </c>
    </row>
    <row r="45" spans="1:27" x14ac:dyDescent="0.65">
      <c r="A45" s="108">
        <v>5</v>
      </c>
      <c r="B45" s="12"/>
      <c r="C45" s="26"/>
      <c r="D45" s="26">
        <v>1212</v>
      </c>
      <c r="E45" s="26">
        <v>1212</v>
      </c>
      <c r="F45" s="26">
        <v>1211</v>
      </c>
      <c r="G45" s="26">
        <v>1211</v>
      </c>
      <c r="H45" s="26"/>
      <c r="I45" s="26"/>
      <c r="J45" s="26">
        <v>1202</v>
      </c>
      <c r="K45" s="26">
        <v>1202</v>
      </c>
      <c r="L45" s="26">
        <v>1200</v>
      </c>
      <c r="M45" s="26">
        <v>1200</v>
      </c>
      <c r="N45" s="26"/>
      <c r="O45" s="26"/>
      <c r="P45" s="26">
        <v>1192</v>
      </c>
      <c r="Q45" s="26">
        <v>1192</v>
      </c>
      <c r="R45" s="26"/>
      <c r="S45" s="26"/>
      <c r="T45" s="26"/>
      <c r="U45" s="26"/>
      <c r="V45" s="26">
        <v>1179</v>
      </c>
      <c r="W45" s="26">
        <v>1179</v>
      </c>
      <c r="X45" s="26"/>
      <c r="Y45" s="26"/>
    </row>
    <row r="46" spans="1:27" x14ac:dyDescent="0.65">
      <c r="A46" s="108">
        <v>6</v>
      </c>
      <c r="B46" s="12"/>
      <c r="C46" s="26"/>
      <c r="D46" s="26">
        <v>1211</v>
      </c>
      <c r="E46" s="26">
        <v>1211</v>
      </c>
      <c r="F46" s="26">
        <v>1211</v>
      </c>
      <c r="G46" s="26">
        <v>1211</v>
      </c>
      <c r="H46" s="26">
        <v>1206</v>
      </c>
      <c r="I46" s="26">
        <v>1206</v>
      </c>
      <c r="J46" s="26">
        <v>1202</v>
      </c>
      <c r="K46" s="26">
        <v>1202</v>
      </c>
      <c r="L46" s="26"/>
      <c r="M46" s="26"/>
      <c r="N46" s="26">
        <v>1198</v>
      </c>
      <c r="O46" s="26">
        <v>1198</v>
      </c>
      <c r="P46" s="26">
        <v>1192</v>
      </c>
      <c r="Q46" s="26">
        <v>1192</v>
      </c>
      <c r="R46" s="26"/>
      <c r="S46" s="26"/>
      <c r="T46" s="26">
        <v>1182</v>
      </c>
      <c r="U46" s="26">
        <v>1182</v>
      </c>
      <c r="V46" s="26">
        <v>1182</v>
      </c>
      <c r="W46" s="26">
        <v>1179</v>
      </c>
      <c r="X46" s="26"/>
      <c r="Y46" s="26"/>
    </row>
    <row r="47" spans="1:27" x14ac:dyDescent="0.65">
      <c r="A47" s="108">
        <v>7</v>
      </c>
      <c r="B47" s="12">
        <v>1216</v>
      </c>
      <c r="C47" s="26">
        <v>1216</v>
      </c>
      <c r="D47" s="26">
        <v>1211</v>
      </c>
      <c r="E47" s="26">
        <v>1211</v>
      </c>
      <c r="F47" s="26"/>
      <c r="G47" s="26"/>
      <c r="H47" s="26">
        <v>1205</v>
      </c>
      <c r="I47" s="26">
        <v>1205</v>
      </c>
      <c r="J47" s="26">
        <v>1202</v>
      </c>
      <c r="K47" s="26">
        <v>1202</v>
      </c>
      <c r="L47" s="26"/>
      <c r="M47" s="26"/>
      <c r="N47" s="26">
        <v>1197</v>
      </c>
      <c r="O47" s="26">
        <v>1197</v>
      </c>
      <c r="P47" s="26">
        <v>1192</v>
      </c>
      <c r="Q47" s="26">
        <v>1192</v>
      </c>
      <c r="R47" s="26">
        <v>1185</v>
      </c>
      <c r="S47" s="26">
        <v>1185</v>
      </c>
      <c r="T47" s="26">
        <v>1182</v>
      </c>
      <c r="U47" s="26">
        <v>1182</v>
      </c>
      <c r="V47" s="26"/>
      <c r="W47" s="26"/>
      <c r="X47" s="26"/>
      <c r="Y47" s="26"/>
    </row>
    <row r="48" spans="1:27" x14ac:dyDescent="0.65">
      <c r="A48" s="108">
        <v>8</v>
      </c>
      <c r="B48" s="12">
        <v>1216</v>
      </c>
      <c r="C48" s="26">
        <v>1216</v>
      </c>
      <c r="D48" s="26"/>
      <c r="E48" s="26"/>
      <c r="F48" s="26"/>
      <c r="G48" s="26"/>
      <c r="H48" s="26">
        <v>1205</v>
      </c>
      <c r="I48" s="26">
        <v>1205</v>
      </c>
      <c r="J48" s="26">
        <v>1201</v>
      </c>
      <c r="K48" s="26">
        <v>1201</v>
      </c>
      <c r="L48" s="26">
        <v>1200</v>
      </c>
      <c r="M48" s="26">
        <v>1200</v>
      </c>
      <c r="N48" s="26">
        <v>1197</v>
      </c>
      <c r="O48" s="26">
        <v>1197</v>
      </c>
      <c r="P48" s="26"/>
      <c r="Q48" s="26"/>
      <c r="R48" s="26">
        <v>1184</v>
      </c>
      <c r="S48" s="26">
        <v>1184</v>
      </c>
      <c r="T48" s="26">
        <v>1182</v>
      </c>
      <c r="U48" s="26">
        <v>1182</v>
      </c>
      <c r="V48" s="26"/>
      <c r="W48" s="26"/>
      <c r="X48" s="26"/>
      <c r="Y48" s="26"/>
    </row>
    <row r="49" spans="1:25" x14ac:dyDescent="0.65">
      <c r="A49" s="108">
        <v>9</v>
      </c>
      <c r="B49" s="12"/>
      <c r="C49" s="26"/>
      <c r="D49" s="26"/>
      <c r="E49" s="26"/>
      <c r="F49" s="26">
        <v>1211</v>
      </c>
      <c r="G49" s="26">
        <v>1211</v>
      </c>
      <c r="H49" s="26"/>
      <c r="I49" s="26"/>
      <c r="J49" s="26"/>
      <c r="K49" s="26"/>
      <c r="L49" s="26">
        <v>1200</v>
      </c>
      <c r="M49" s="26">
        <v>1200</v>
      </c>
      <c r="N49" s="26">
        <v>1197</v>
      </c>
      <c r="O49" s="26">
        <v>1197</v>
      </c>
      <c r="P49" s="26"/>
      <c r="Q49" s="26"/>
      <c r="R49" s="26">
        <v>1184</v>
      </c>
      <c r="S49" s="26">
        <v>1184</v>
      </c>
      <c r="T49" s="26">
        <v>1182</v>
      </c>
      <c r="U49" s="26">
        <v>1182</v>
      </c>
      <c r="V49" s="26">
        <v>1181</v>
      </c>
      <c r="W49" s="26">
        <v>1178</v>
      </c>
      <c r="X49" s="26"/>
      <c r="Y49" s="26"/>
    </row>
    <row r="50" spans="1:25" x14ac:dyDescent="0.65">
      <c r="A50" s="108">
        <v>10</v>
      </c>
      <c r="B50" s="12">
        <v>1216</v>
      </c>
      <c r="C50" s="26">
        <v>1216</v>
      </c>
      <c r="D50" s="26">
        <v>1211</v>
      </c>
      <c r="E50" s="26">
        <v>1211</v>
      </c>
      <c r="F50" s="26">
        <v>1210</v>
      </c>
      <c r="G50" s="26">
        <v>1210</v>
      </c>
      <c r="H50" s="26">
        <v>1205</v>
      </c>
      <c r="I50" s="26">
        <v>1205</v>
      </c>
      <c r="J50" s="26"/>
      <c r="K50" s="26"/>
      <c r="L50" s="26">
        <v>1200</v>
      </c>
      <c r="M50" s="26">
        <v>1200</v>
      </c>
      <c r="N50" s="26">
        <v>1197</v>
      </c>
      <c r="O50" s="26">
        <v>1197</v>
      </c>
      <c r="P50" s="26">
        <v>1191</v>
      </c>
      <c r="Q50" s="26">
        <v>1191</v>
      </c>
      <c r="R50" s="26">
        <v>1183</v>
      </c>
      <c r="S50" s="26">
        <v>1183</v>
      </c>
      <c r="T50" s="26"/>
      <c r="U50" s="26"/>
      <c r="V50" s="26">
        <v>1181</v>
      </c>
      <c r="W50" s="26">
        <v>1178</v>
      </c>
      <c r="X50" s="26"/>
      <c r="Y50" s="26"/>
    </row>
    <row r="51" spans="1:25" x14ac:dyDescent="0.65">
      <c r="A51" s="108">
        <v>11</v>
      </c>
      <c r="B51" s="12"/>
      <c r="C51" s="26"/>
      <c r="D51" s="26">
        <v>1211</v>
      </c>
      <c r="E51" s="26">
        <v>1211</v>
      </c>
      <c r="F51" s="26">
        <v>1210</v>
      </c>
      <c r="G51" s="26">
        <v>1210</v>
      </c>
      <c r="H51" s="26"/>
      <c r="I51" s="26"/>
      <c r="J51" s="26">
        <v>1201</v>
      </c>
      <c r="K51" s="26">
        <v>1201</v>
      </c>
      <c r="L51" s="26">
        <v>1200</v>
      </c>
      <c r="M51" s="26">
        <v>1200</v>
      </c>
      <c r="N51" s="26"/>
      <c r="O51" s="26"/>
      <c r="P51" s="26">
        <v>1191</v>
      </c>
      <c r="Q51" s="26">
        <v>1191</v>
      </c>
      <c r="R51" s="26">
        <v>1183</v>
      </c>
      <c r="S51" s="26">
        <v>1183</v>
      </c>
      <c r="T51" s="26"/>
      <c r="U51" s="26"/>
      <c r="V51" s="26">
        <v>1181</v>
      </c>
      <c r="W51" s="26">
        <v>1178</v>
      </c>
      <c r="X51" s="26"/>
      <c r="Y51" s="26"/>
    </row>
    <row r="52" spans="1:25" x14ac:dyDescent="0.65">
      <c r="A52" s="108">
        <v>12</v>
      </c>
      <c r="B52" s="12"/>
      <c r="C52" s="26"/>
      <c r="D52" s="26">
        <v>1211</v>
      </c>
      <c r="E52" s="26">
        <v>1211</v>
      </c>
      <c r="F52" s="26">
        <v>1210</v>
      </c>
      <c r="G52" s="26">
        <v>1210</v>
      </c>
      <c r="H52" s="26"/>
      <c r="I52" s="26"/>
      <c r="J52" s="26">
        <v>1201</v>
      </c>
      <c r="K52" s="26">
        <v>1201</v>
      </c>
      <c r="L52" s="26">
        <v>1200</v>
      </c>
      <c r="M52" s="26">
        <v>1200</v>
      </c>
      <c r="N52" s="26"/>
      <c r="O52" s="26"/>
      <c r="P52" s="26">
        <v>1190</v>
      </c>
      <c r="Q52" s="26">
        <v>1190</v>
      </c>
      <c r="R52" s="26"/>
      <c r="S52" s="26"/>
      <c r="T52" s="26">
        <v>1182</v>
      </c>
      <c r="U52" s="26">
        <v>1182</v>
      </c>
      <c r="V52" s="26">
        <v>1181</v>
      </c>
      <c r="W52" s="26">
        <v>1178</v>
      </c>
      <c r="X52" s="26"/>
      <c r="Y52" s="26"/>
    </row>
    <row r="53" spans="1:25" x14ac:dyDescent="0.65">
      <c r="A53" s="108">
        <v>13</v>
      </c>
      <c r="B53" s="12">
        <v>1216</v>
      </c>
      <c r="C53" s="26">
        <v>1216</v>
      </c>
      <c r="D53" s="26">
        <v>1211</v>
      </c>
      <c r="E53" s="26">
        <v>1211</v>
      </c>
      <c r="F53" s="26">
        <v>1210</v>
      </c>
      <c r="G53" s="26">
        <v>1210</v>
      </c>
      <c r="H53" s="26">
        <v>1205</v>
      </c>
      <c r="I53" s="26">
        <v>1205</v>
      </c>
      <c r="J53" s="26">
        <v>1201</v>
      </c>
      <c r="K53" s="26">
        <v>1201</v>
      </c>
      <c r="L53" s="26"/>
      <c r="M53" s="26"/>
      <c r="N53" s="26">
        <v>1197</v>
      </c>
      <c r="O53" s="26">
        <v>1197</v>
      </c>
      <c r="P53" s="26">
        <v>1190</v>
      </c>
      <c r="Q53" s="26">
        <v>1190</v>
      </c>
      <c r="R53" s="26"/>
      <c r="S53" s="26"/>
      <c r="T53" s="26">
        <v>1182</v>
      </c>
      <c r="U53" s="26">
        <v>1182</v>
      </c>
      <c r="V53" s="26">
        <v>1181</v>
      </c>
      <c r="W53" s="26">
        <v>1178</v>
      </c>
      <c r="X53" s="26"/>
      <c r="Y53" s="26"/>
    </row>
    <row r="54" spans="1:25" x14ac:dyDescent="0.65">
      <c r="A54" s="108">
        <v>14</v>
      </c>
      <c r="B54" s="12">
        <v>1215</v>
      </c>
      <c r="C54" s="26">
        <v>1215</v>
      </c>
      <c r="D54" s="26">
        <v>1211</v>
      </c>
      <c r="E54" s="26">
        <v>1211</v>
      </c>
      <c r="F54" s="26"/>
      <c r="G54" s="26"/>
      <c r="H54" s="26">
        <v>1205</v>
      </c>
      <c r="I54" s="26">
        <v>1205</v>
      </c>
      <c r="J54" s="26">
        <v>1201</v>
      </c>
      <c r="K54" s="26">
        <v>1201</v>
      </c>
      <c r="L54" s="26"/>
      <c r="M54" s="26"/>
      <c r="N54" s="26"/>
      <c r="O54" s="26"/>
      <c r="P54" s="26">
        <v>1190</v>
      </c>
      <c r="Q54" s="26">
        <v>1190</v>
      </c>
      <c r="R54" s="26">
        <v>1183</v>
      </c>
      <c r="S54" s="26">
        <v>1183</v>
      </c>
      <c r="T54" s="26">
        <v>1181</v>
      </c>
      <c r="U54" s="26">
        <v>1181</v>
      </c>
      <c r="V54" s="26"/>
      <c r="W54" s="26"/>
      <c r="X54" s="26">
        <v>1178</v>
      </c>
      <c r="Y54" s="26">
        <v>1175</v>
      </c>
    </row>
    <row r="55" spans="1:25" x14ac:dyDescent="0.65">
      <c r="A55" s="108">
        <v>15</v>
      </c>
      <c r="B55" s="12">
        <v>1215</v>
      </c>
      <c r="C55" s="26">
        <v>1215</v>
      </c>
      <c r="D55" s="26"/>
      <c r="E55" s="26"/>
      <c r="F55" s="26"/>
      <c r="G55" s="26"/>
      <c r="H55" s="26">
        <v>1205</v>
      </c>
      <c r="I55" s="26">
        <v>1205</v>
      </c>
      <c r="J55" s="26">
        <v>1200</v>
      </c>
      <c r="K55" s="26">
        <v>1200</v>
      </c>
      <c r="L55" s="26">
        <v>1200</v>
      </c>
      <c r="M55" s="26">
        <v>1200</v>
      </c>
      <c r="N55" s="26">
        <v>1196</v>
      </c>
      <c r="O55" s="26">
        <v>1196</v>
      </c>
      <c r="P55" s="26"/>
      <c r="Q55" s="26"/>
      <c r="R55" s="26">
        <v>1183</v>
      </c>
      <c r="S55" s="26">
        <v>1183</v>
      </c>
      <c r="T55" s="26">
        <v>1181</v>
      </c>
      <c r="U55" s="26">
        <v>1181</v>
      </c>
      <c r="V55" s="26"/>
      <c r="W55" s="26"/>
      <c r="X55" s="26">
        <v>1178</v>
      </c>
      <c r="Y55" s="26">
        <v>1175</v>
      </c>
    </row>
    <row r="56" spans="1:25" x14ac:dyDescent="0.65">
      <c r="A56" s="108">
        <v>16</v>
      </c>
      <c r="B56" s="12">
        <v>1215</v>
      </c>
      <c r="C56" s="26">
        <v>1215</v>
      </c>
      <c r="D56" s="26"/>
      <c r="E56" s="26"/>
      <c r="F56" s="26">
        <v>1210</v>
      </c>
      <c r="G56" s="26">
        <v>1210</v>
      </c>
      <c r="H56" s="26">
        <v>1205</v>
      </c>
      <c r="I56" s="26">
        <v>1205</v>
      </c>
      <c r="J56" s="26"/>
      <c r="K56" s="26"/>
      <c r="L56" s="26">
        <v>1200</v>
      </c>
      <c r="M56" s="26">
        <v>1200</v>
      </c>
      <c r="N56" s="26">
        <v>1196</v>
      </c>
      <c r="O56" s="26">
        <v>1196</v>
      </c>
      <c r="P56" s="26"/>
      <c r="Q56" s="26"/>
      <c r="R56" s="26">
        <v>1183</v>
      </c>
      <c r="S56" s="26">
        <v>1183</v>
      </c>
      <c r="T56" s="26">
        <v>1181</v>
      </c>
      <c r="U56" s="26">
        <v>1181</v>
      </c>
      <c r="V56" s="26">
        <v>1181</v>
      </c>
      <c r="W56" s="26">
        <v>1178</v>
      </c>
      <c r="X56" s="26">
        <v>1178</v>
      </c>
      <c r="Y56" s="26">
        <v>1175</v>
      </c>
    </row>
    <row r="57" spans="1:25" x14ac:dyDescent="0.65">
      <c r="A57" s="108">
        <v>17</v>
      </c>
      <c r="B57" s="12">
        <v>1215</v>
      </c>
      <c r="C57" s="26">
        <v>1215</v>
      </c>
      <c r="D57" s="26">
        <v>1211</v>
      </c>
      <c r="E57" s="26">
        <v>1211</v>
      </c>
      <c r="F57" s="26">
        <v>1209</v>
      </c>
      <c r="G57" s="26">
        <v>1209</v>
      </c>
      <c r="H57" s="26">
        <v>1205</v>
      </c>
      <c r="I57" s="26">
        <v>1205</v>
      </c>
      <c r="J57" s="26"/>
      <c r="K57" s="26"/>
      <c r="L57" s="26">
        <v>1200</v>
      </c>
      <c r="M57" s="26">
        <v>1200</v>
      </c>
      <c r="N57" s="26">
        <v>1196</v>
      </c>
      <c r="O57" s="26">
        <v>1196</v>
      </c>
      <c r="P57" s="26">
        <v>1190</v>
      </c>
      <c r="Q57" s="26">
        <v>1190</v>
      </c>
      <c r="R57" s="26">
        <v>1183</v>
      </c>
      <c r="S57" s="26">
        <v>1183</v>
      </c>
      <c r="T57" s="26"/>
      <c r="U57" s="26"/>
      <c r="V57" s="26">
        <v>1181</v>
      </c>
      <c r="W57" s="26">
        <v>1178</v>
      </c>
      <c r="X57" s="26">
        <v>1178</v>
      </c>
      <c r="Y57" s="26">
        <v>1175</v>
      </c>
    </row>
    <row r="58" spans="1:25" x14ac:dyDescent="0.65">
      <c r="A58" s="108">
        <v>18</v>
      </c>
      <c r="B58" s="12"/>
      <c r="C58" s="26"/>
      <c r="D58" s="26">
        <v>1211</v>
      </c>
      <c r="E58" s="26">
        <v>1211</v>
      </c>
      <c r="F58" s="26">
        <v>1209</v>
      </c>
      <c r="G58" s="26">
        <v>1209</v>
      </c>
      <c r="H58" s="26"/>
      <c r="I58" s="26"/>
      <c r="J58" s="26">
        <v>1200</v>
      </c>
      <c r="K58" s="26">
        <v>1200</v>
      </c>
      <c r="L58" s="26">
        <v>1200</v>
      </c>
      <c r="M58" s="26">
        <v>1200</v>
      </c>
      <c r="N58" s="26"/>
      <c r="O58" s="26"/>
      <c r="P58" s="26">
        <v>1190</v>
      </c>
      <c r="Q58" s="26">
        <v>1190</v>
      </c>
      <c r="R58" s="26">
        <v>1183</v>
      </c>
      <c r="S58" s="26">
        <v>1183</v>
      </c>
      <c r="T58" s="26"/>
      <c r="U58" s="26"/>
      <c r="V58" s="26">
        <v>1181</v>
      </c>
      <c r="W58" s="26">
        <v>1178</v>
      </c>
      <c r="X58" s="26">
        <v>1178</v>
      </c>
      <c r="Y58" s="26">
        <v>1175</v>
      </c>
    </row>
    <row r="59" spans="1:25" x14ac:dyDescent="0.65">
      <c r="A59" s="108">
        <v>19</v>
      </c>
      <c r="B59" s="12"/>
      <c r="C59" s="26"/>
      <c r="D59" s="26">
        <v>1211</v>
      </c>
      <c r="E59" s="26">
        <v>1211</v>
      </c>
      <c r="F59" s="26">
        <v>1209</v>
      </c>
      <c r="G59" s="26">
        <v>1209</v>
      </c>
      <c r="H59" s="26"/>
      <c r="I59" s="26"/>
      <c r="J59" s="26">
        <v>1200</v>
      </c>
      <c r="K59" s="26">
        <v>1200</v>
      </c>
      <c r="L59" s="26">
        <v>1200</v>
      </c>
      <c r="M59" s="26">
        <v>1200</v>
      </c>
      <c r="N59" s="26"/>
      <c r="O59" s="26"/>
      <c r="P59" s="26">
        <v>1190</v>
      </c>
      <c r="Q59" s="26">
        <v>1190</v>
      </c>
      <c r="R59" s="26"/>
      <c r="S59" s="26"/>
      <c r="T59" s="26">
        <v>1180</v>
      </c>
      <c r="U59" s="26">
        <v>1180</v>
      </c>
      <c r="V59" s="26">
        <v>1181</v>
      </c>
      <c r="W59" s="26">
        <v>1178</v>
      </c>
      <c r="X59" s="26"/>
      <c r="Y59" s="26"/>
    </row>
    <row r="60" spans="1:25" x14ac:dyDescent="0.65">
      <c r="A60" s="108">
        <v>20</v>
      </c>
      <c r="B60" s="12">
        <v>1215</v>
      </c>
      <c r="C60" s="26">
        <v>1215</v>
      </c>
      <c r="D60" s="26">
        <v>1211</v>
      </c>
      <c r="E60" s="26">
        <v>1211</v>
      </c>
      <c r="F60" s="26"/>
      <c r="G60" s="26"/>
      <c r="H60" s="26">
        <v>1205</v>
      </c>
      <c r="I60" s="26">
        <v>1205</v>
      </c>
      <c r="J60" s="26">
        <v>1200</v>
      </c>
      <c r="K60" s="26">
        <v>1200</v>
      </c>
      <c r="L60" s="26"/>
      <c r="M60" s="26"/>
      <c r="N60" s="26">
        <v>1196</v>
      </c>
      <c r="O60" s="26">
        <v>1196</v>
      </c>
      <c r="P60" s="26">
        <v>1190</v>
      </c>
      <c r="Q60" s="26">
        <v>1190</v>
      </c>
      <c r="R60" s="26"/>
      <c r="S60" s="26"/>
      <c r="T60" s="26">
        <v>1180</v>
      </c>
      <c r="U60" s="26">
        <v>1180</v>
      </c>
      <c r="V60" s="26">
        <v>1181</v>
      </c>
      <c r="W60" s="26">
        <v>1178</v>
      </c>
      <c r="X60" s="26"/>
      <c r="Y60" s="26"/>
    </row>
    <row r="61" spans="1:25" x14ac:dyDescent="0.65">
      <c r="A61" s="108">
        <v>21</v>
      </c>
      <c r="B61" s="12">
        <v>1214</v>
      </c>
      <c r="C61" s="26">
        <v>1214</v>
      </c>
      <c r="D61" s="26">
        <v>1211</v>
      </c>
      <c r="E61" s="26">
        <v>1211</v>
      </c>
      <c r="F61" s="26"/>
      <c r="G61" s="26"/>
      <c r="H61" s="26">
        <v>1203</v>
      </c>
      <c r="I61" s="26">
        <v>1203</v>
      </c>
      <c r="J61" s="26">
        <v>1200</v>
      </c>
      <c r="K61" s="26">
        <v>1200</v>
      </c>
      <c r="L61" s="26"/>
      <c r="M61" s="26"/>
      <c r="N61" s="26">
        <v>1195</v>
      </c>
      <c r="O61" s="26">
        <v>1195</v>
      </c>
      <c r="P61" s="26">
        <v>1190</v>
      </c>
      <c r="Q61" s="26">
        <v>1190</v>
      </c>
      <c r="R61" s="26">
        <v>1183</v>
      </c>
      <c r="S61" s="26">
        <v>1183</v>
      </c>
      <c r="T61" s="26">
        <v>1180</v>
      </c>
      <c r="U61" s="26">
        <v>1180</v>
      </c>
      <c r="V61" s="26"/>
      <c r="W61" s="26"/>
      <c r="X61" s="26">
        <v>1178</v>
      </c>
      <c r="Y61" s="26">
        <v>1175</v>
      </c>
    </row>
    <row r="62" spans="1:25" x14ac:dyDescent="0.65">
      <c r="A62" s="108">
        <v>22</v>
      </c>
      <c r="B62" s="12">
        <v>1214</v>
      </c>
      <c r="C62" s="26">
        <v>1214</v>
      </c>
      <c r="D62" s="26"/>
      <c r="E62" s="26"/>
      <c r="F62" s="26"/>
      <c r="G62" s="26"/>
      <c r="H62" s="26">
        <v>1203</v>
      </c>
      <c r="I62" s="26">
        <v>1203</v>
      </c>
      <c r="J62" s="26">
        <v>1200</v>
      </c>
      <c r="K62" s="26">
        <v>1200</v>
      </c>
      <c r="L62" s="26">
        <v>1199</v>
      </c>
      <c r="M62" s="26">
        <v>1199</v>
      </c>
      <c r="N62" s="26">
        <v>1195</v>
      </c>
      <c r="O62" s="26">
        <v>1195</v>
      </c>
      <c r="P62" s="26"/>
      <c r="Q62" s="26"/>
      <c r="R62" s="26">
        <v>1182</v>
      </c>
      <c r="S62" s="26">
        <v>1182</v>
      </c>
      <c r="T62" s="26">
        <v>1180</v>
      </c>
      <c r="U62" s="26">
        <v>1180</v>
      </c>
      <c r="V62" s="26"/>
      <c r="W62" s="26"/>
      <c r="X62" s="26">
        <v>1178</v>
      </c>
      <c r="Y62" s="26">
        <v>1175</v>
      </c>
    </row>
    <row r="63" spans="1:25" x14ac:dyDescent="0.65">
      <c r="A63" s="108">
        <v>23</v>
      </c>
      <c r="B63" s="12">
        <v>1214</v>
      </c>
      <c r="C63" s="26">
        <v>1214</v>
      </c>
      <c r="D63" s="26"/>
      <c r="E63" s="26"/>
      <c r="F63" s="26">
        <v>1208</v>
      </c>
      <c r="G63" s="26">
        <v>1208</v>
      </c>
      <c r="H63" s="26">
        <v>1203</v>
      </c>
      <c r="I63" s="26">
        <v>1203</v>
      </c>
      <c r="J63" s="26"/>
      <c r="K63" s="26"/>
      <c r="L63" s="26">
        <v>1199</v>
      </c>
      <c r="M63" s="26">
        <v>1199</v>
      </c>
      <c r="N63" s="26">
        <v>1195</v>
      </c>
      <c r="O63" s="26">
        <v>1195</v>
      </c>
      <c r="P63" s="26"/>
      <c r="Q63" s="26"/>
      <c r="R63" s="26">
        <v>1182</v>
      </c>
      <c r="S63" s="26">
        <v>1182</v>
      </c>
      <c r="T63" s="26">
        <v>1180</v>
      </c>
      <c r="U63" s="26">
        <v>1180</v>
      </c>
      <c r="V63" s="26">
        <v>1180</v>
      </c>
      <c r="W63" s="26">
        <v>1177</v>
      </c>
      <c r="X63" s="26">
        <v>1178</v>
      </c>
      <c r="Y63" s="26">
        <v>1175</v>
      </c>
    </row>
    <row r="64" spans="1:25" x14ac:dyDescent="0.65">
      <c r="A64" s="108">
        <v>24</v>
      </c>
      <c r="B64" s="12">
        <v>1214</v>
      </c>
      <c r="C64" s="26">
        <v>1214</v>
      </c>
      <c r="D64" s="26">
        <v>1211</v>
      </c>
      <c r="E64" s="26">
        <v>1211</v>
      </c>
      <c r="F64" s="26">
        <v>1208</v>
      </c>
      <c r="G64" s="26">
        <v>1208</v>
      </c>
      <c r="H64" s="26">
        <v>1203</v>
      </c>
      <c r="I64" s="26">
        <v>1203</v>
      </c>
      <c r="J64" s="26"/>
      <c r="K64" s="26"/>
      <c r="L64" s="26">
        <v>1199</v>
      </c>
      <c r="M64" s="26">
        <v>1199</v>
      </c>
      <c r="N64" s="26">
        <v>1195</v>
      </c>
      <c r="O64" s="26">
        <v>1195</v>
      </c>
      <c r="P64" s="26">
        <v>1198</v>
      </c>
      <c r="Q64" s="26">
        <v>1189</v>
      </c>
      <c r="R64" s="26">
        <v>1182</v>
      </c>
      <c r="S64" s="26">
        <v>1182</v>
      </c>
      <c r="T64" s="26"/>
      <c r="U64" s="26"/>
      <c r="V64" s="26">
        <v>1180</v>
      </c>
      <c r="W64" s="26">
        <v>1177</v>
      </c>
      <c r="X64" s="26">
        <v>1178</v>
      </c>
      <c r="Y64" s="26">
        <v>1175</v>
      </c>
    </row>
    <row r="65" spans="1:28" x14ac:dyDescent="0.65">
      <c r="A65" s="108">
        <v>25</v>
      </c>
      <c r="B65" s="12"/>
      <c r="C65" s="26"/>
      <c r="D65" s="26">
        <v>1211</v>
      </c>
      <c r="E65" s="26">
        <v>1211</v>
      </c>
      <c r="F65" s="26">
        <v>1208</v>
      </c>
      <c r="G65" s="26">
        <v>1208</v>
      </c>
      <c r="H65" s="26"/>
      <c r="I65" s="26"/>
      <c r="J65" s="26">
        <v>1200</v>
      </c>
      <c r="K65" s="26">
        <v>1200</v>
      </c>
      <c r="L65" s="26">
        <v>1199</v>
      </c>
      <c r="M65" s="26">
        <v>1199</v>
      </c>
      <c r="N65" s="26"/>
      <c r="O65" s="26"/>
      <c r="P65" s="26">
        <v>1188</v>
      </c>
      <c r="Q65" s="26">
        <v>1188</v>
      </c>
      <c r="R65" s="26">
        <v>1182</v>
      </c>
      <c r="S65" s="26">
        <v>1182</v>
      </c>
      <c r="T65" s="26"/>
      <c r="U65" s="26"/>
      <c r="V65" s="26">
        <v>1180</v>
      </c>
      <c r="W65" s="26">
        <v>1177</v>
      </c>
      <c r="X65" s="26"/>
      <c r="Y65" s="26"/>
    </row>
    <row r="66" spans="1:28" x14ac:dyDescent="0.65">
      <c r="A66" s="108">
        <v>26</v>
      </c>
      <c r="B66" s="12"/>
      <c r="C66" s="26"/>
      <c r="D66" s="26">
        <v>1211</v>
      </c>
      <c r="E66" s="26">
        <v>1211</v>
      </c>
      <c r="F66" s="26">
        <v>1208</v>
      </c>
      <c r="G66" s="26">
        <v>1208</v>
      </c>
      <c r="H66" s="26"/>
      <c r="I66" s="26"/>
      <c r="J66" s="26">
        <v>1199</v>
      </c>
      <c r="K66" s="26">
        <v>1199</v>
      </c>
      <c r="L66" s="26">
        <v>1199</v>
      </c>
      <c r="M66" s="26">
        <v>1199</v>
      </c>
      <c r="N66" s="26"/>
      <c r="O66" s="26"/>
      <c r="P66" s="26">
        <v>1188</v>
      </c>
      <c r="Q66" s="26">
        <v>1188</v>
      </c>
      <c r="R66" s="26"/>
      <c r="S66" s="26"/>
      <c r="T66" s="26">
        <v>1179</v>
      </c>
      <c r="U66" s="26">
        <v>1179</v>
      </c>
      <c r="V66" s="26">
        <v>1180</v>
      </c>
      <c r="W66" s="26">
        <v>1177</v>
      </c>
      <c r="X66" s="26"/>
      <c r="Y66" s="26"/>
    </row>
    <row r="67" spans="1:28" x14ac:dyDescent="0.65">
      <c r="A67" s="108">
        <v>27</v>
      </c>
      <c r="B67" s="12">
        <v>1214</v>
      </c>
      <c r="C67" s="26">
        <v>1214</v>
      </c>
      <c r="D67" s="26">
        <v>1211</v>
      </c>
      <c r="E67" s="26">
        <v>1211</v>
      </c>
      <c r="F67" s="26">
        <v>1207</v>
      </c>
      <c r="G67" s="26">
        <v>1207</v>
      </c>
      <c r="H67" s="26">
        <v>1203</v>
      </c>
      <c r="I67" s="26">
        <v>1203</v>
      </c>
      <c r="J67" s="26">
        <v>1199</v>
      </c>
      <c r="K67" s="26">
        <v>1199</v>
      </c>
      <c r="L67" s="26"/>
      <c r="M67" s="26"/>
      <c r="N67" s="26">
        <v>1195</v>
      </c>
      <c r="O67" s="26">
        <v>1195</v>
      </c>
      <c r="P67" s="26">
        <v>1187</v>
      </c>
      <c r="Q67" s="26">
        <v>1187</v>
      </c>
      <c r="R67" s="26"/>
      <c r="S67" s="26"/>
      <c r="T67" s="26">
        <v>1179</v>
      </c>
      <c r="U67" s="26">
        <v>1179</v>
      </c>
      <c r="V67" s="26">
        <v>1180</v>
      </c>
      <c r="W67" s="26">
        <v>1177</v>
      </c>
      <c r="X67" s="26"/>
      <c r="Y67" s="26"/>
    </row>
    <row r="68" spans="1:28" x14ac:dyDescent="0.65">
      <c r="A68" s="108">
        <v>28</v>
      </c>
      <c r="B68" s="12"/>
      <c r="C68" s="26"/>
      <c r="D68" s="26">
        <v>1211</v>
      </c>
      <c r="E68" s="26">
        <v>1211</v>
      </c>
      <c r="F68" s="26"/>
      <c r="G68" s="26"/>
      <c r="H68" s="26">
        <v>1203</v>
      </c>
      <c r="I68" s="26">
        <v>1203</v>
      </c>
      <c r="J68" s="26">
        <v>1199</v>
      </c>
      <c r="K68" s="26">
        <v>1199</v>
      </c>
      <c r="L68" s="26"/>
      <c r="M68" s="26"/>
      <c r="N68" s="26">
        <v>1194</v>
      </c>
      <c r="O68" s="26">
        <v>1194</v>
      </c>
      <c r="P68" s="26">
        <v>1187</v>
      </c>
      <c r="Q68" s="26">
        <v>1187</v>
      </c>
      <c r="R68" s="26">
        <v>1182</v>
      </c>
      <c r="S68" s="26">
        <v>1182</v>
      </c>
      <c r="T68" s="26">
        <v>1179</v>
      </c>
      <c r="U68" s="26">
        <v>1179</v>
      </c>
      <c r="V68" s="26"/>
      <c r="W68" s="26"/>
      <c r="X68" s="26">
        <v>1178</v>
      </c>
      <c r="Y68" s="26">
        <v>1175</v>
      </c>
    </row>
    <row r="69" spans="1:28" x14ac:dyDescent="0.65">
      <c r="A69" s="108">
        <v>29</v>
      </c>
      <c r="B69" s="12">
        <v>1214</v>
      </c>
      <c r="C69" s="26">
        <v>1214</v>
      </c>
      <c r="D69" s="26"/>
      <c r="E69" s="26"/>
      <c r="F69" s="26"/>
      <c r="G69" s="26"/>
      <c r="H69" s="26">
        <v>1203</v>
      </c>
      <c r="I69" s="26">
        <v>1203</v>
      </c>
      <c r="J69" s="26">
        <v>1209</v>
      </c>
      <c r="K69" s="26">
        <v>1209</v>
      </c>
      <c r="L69" s="26">
        <v>1199</v>
      </c>
      <c r="M69" s="26">
        <v>1199</v>
      </c>
      <c r="N69" s="26"/>
      <c r="O69" s="26"/>
      <c r="P69" s="26"/>
      <c r="Q69" s="26"/>
      <c r="R69" s="26">
        <v>1182</v>
      </c>
      <c r="S69" s="26">
        <v>1182</v>
      </c>
      <c r="T69" s="26">
        <v>1179</v>
      </c>
      <c r="U69" s="26">
        <v>1179</v>
      </c>
      <c r="V69" s="26"/>
      <c r="W69" s="26"/>
      <c r="X69" s="26"/>
      <c r="Y69" s="53"/>
    </row>
    <row r="70" spans="1:28" x14ac:dyDescent="0.65">
      <c r="A70" s="108">
        <v>30</v>
      </c>
      <c r="B70" s="12">
        <v>1214</v>
      </c>
      <c r="C70" s="26">
        <v>1214</v>
      </c>
      <c r="D70" s="26"/>
      <c r="E70" s="27"/>
      <c r="F70" s="27"/>
      <c r="G70" s="26"/>
      <c r="H70" s="26">
        <v>1203</v>
      </c>
      <c r="I70" s="26">
        <v>1203</v>
      </c>
      <c r="J70" s="26"/>
      <c r="K70" s="26"/>
      <c r="L70" s="26">
        <v>1199</v>
      </c>
      <c r="M70" s="26">
        <v>1199</v>
      </c>
      <c r="N70" s="26">
        <v>1194</v>
      </c>
      <c r="O70" s="26">
        <v>1194</v>
      </c>
      <c r="P70" s="26"/>
      <c r="Q70" s="26"/>
      <c r="R70" s="26"/>
      <c r="S70" s="26"/>
      <c r="T70" s="26">
        <v>1179</v>
      </c>
      <c r="U70" s="26">
        <v>1179</v>
      </c>
      <c r="V70" s="26">
        <v>1179</v>
      </c>
      <c r="W70" s="26">
        <v>1176</v>
      </c>
      <c r="X70" s="26">
        <v>1178</v>
      </c>
      <c r="Y70" s="26">
        <v>1175</v>
      </c>
    </row>
    <row r="71" spans="1:28" ht="25.5" thickBot="1" x14ac:dyDescent="0.7">
      <c r="A71" s="109">
        <v>31</v>
      </c>
      <c r="B71" s="14">
        <v>1214</v>
      </c>
      <c r="C71" s="28">
        <v>1214</v>
      </c>
      <c r="D71" s="28"/>
      <c r="E71" s="28"/>
      <c r="F71" s="28">
        <v>1207</v>
      </c>
      <c r="G71" s="28">
        <v>1207</v>
      </c>
      <c r="H71" s="28"/>
      <c r="I71" s="54"/>
      <c r="J71" s="54"/>
      <c r="K71" s="28"/>
      <c r="L71" s="28"/>
      <c r="M71" s="54"/>
      <c r="N71" s="54">
        <v>1194</v>
      </c>
      <c r="O71" s="28">
        <v>1194</v>
      </c>
      <c r="P71" s="28">
        <v>1186</v>
      </c>
      <c r="Q71" s="28">
        <v>1186</v>
      </c>
      <c r="R71" s="28"/>
      <c r="S71" s="28"/>
      <c r="T71" s="54"/>
      <c r="U71" s="28"/>
      <c r="V71" s="28"/>
      <c r="W71" s="54"/>
      <c r="X71" s="54">
        <v>1178</v>
      </c>
      <c r="Y71" s="28">
        <v>1175</v>
      </c>
    </row>
    <row r="72" spans="1:28" ht="25.5" thickBot="1" x14ac:dyDescent="0.7">
      <c r="A72" s="17" t="s">
        <v>15</v>
      </c>
      <c r="B72" s="197">
        <f>AVERAGE(B41:B71)</f>
        <v>1214.8333333333333</v>
      </c>
      <c r="C72" s="197">
        <f t="shared" ref="C72:Y72" si="1">AVERAGE(C41:C71)</f>
        <v>1214.8333333333333</v>
      </c>
      <c r="D72" s="197">
        <f t="shared" si="1"/>
        <v>1211.2</v>
      </c>
      <c r="E72" s="197">
        <f t="shared" si="1"/>
        <v>1211.2</v>
      </c>
      <c r="F72" s="197">
        <f t="shared" si="1"/>
        <v>1209.45</v>
      </c>
      <c r="G72" s="197">
        <f t="shared" si="1"/>
        <v>1209.45</v>
      </c>
      <c r="H72" s="197">
        <f t="shared" si="1"/>
        <v>1204.4285714285713</v>
      </c>
      <c r="I72" s="197">
        <f t="shared" si="1"/>
        <v>1204.4285714285713</v>
      </c>
      <c r="J72" s="197">
        <f t="shared" si="1"/>
        <v>1201</v>
      </c>
      <c r="K72" s="197">
        <f t="shared" si="1"/>
        <v>1201</v>
      </c>
      <c r="L72" s="197">
        <f t="shared" si="1"/>
        <v>1199.3636363636363</v>
      </c>
      <c r="M72" s="197">
        <f t="shared" si="1"/>
        <v>1199.3636363636363</v>
      </c>
      <c r="N72" s="197">
        <f t="shared" si="1"/>
        <v>1196.0952380952381</v>
      </c>
      <c r="O72" s="197">
        <f t="shared" si="1"/>
        <v>1196.0952380952381</v>
      </c>
      <c r="P72" s="197">
        <f t="shared" si="1"/>
        <v>1190.3809523809523</v>
      </c>
      <c r="Q72" s="197">
        <f t="shared" si="1"/>
        <v>1189.952380952381</v>
      </c>
      <c r="R72" s="197">
        <f t="shared" si="1"/>
        <v>1183.3333333333333</v>
      </c>
      <c r="S72" s="197">
        <f t="shared" si="1"/>
        <v>1183.3333333333333</v>
      </c>
      <c r="T72" s="197">
        <f t="shared" si="1"/>
        <v>1180.5263157894738</v>
      </c>
      <c r="U72" s="197">
        <f t="shared" si="1"/>
        <v>1180.5263157894738</v>
      </c>
      <c r="V72" s="197">
        <f t="shared" si="1"/>
        <v>1180.3333333333333</v>
      </c>
      <c r="W72" s="197">
        <f t="shared" si="1"/>
        <v>1177.9047619047619</v>
      </c>
      <c r="X72" s="197">
        <f t="shared" si="1"/>
        <v>1178.1875</v>
      </c>
      <c r="Y72" s="197">
        <f t="shared" si="1"/>
        <v>1175.1875</v>
      </c>
      <c r="Z72" s="18"/>
      <c r="AA72" s="18"/>
      <c r="AB72" s="18"/>
    </row>
    <row r="73" spans="1:28" s="196" customFormat="1" ht="24" customHeight="1" x14ac:dyDescent="0.7">
      <c r="A73" s="234" t="s">
        <v>25</v>
      </c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</row>
    <row r="74" spans="1:28" ht="24" customHeight="1" thickBot="1" x14ac:dyDescent="0.7">
      <c r="A74" s="225" t="s">
        <v>71</v>
      </c>
      <c r="B74" s="225"/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</row>
    <row r="75" spans="1:28" ht="25.5" thickBot="1" x14ac:dyDescent="0.7">
      <c r="A75" s="226" t="s">
        <v>2</v>
      </c>
      <c r="B75" s="232" t="s">
        <v>3</v>
      </c>
      <c r="C75" s="233"/>
      <c r="D75" s="232" t="s">
        <v>76</v>
      </c>
      <c r="E75" s="233"/>
      <c r="F75" s="232" t="s">
        <v>5</v>
      </c>
      <c r="G75" s="233"/>
      <c r="H75" s="232" t="s">
        <v>6</v>
      </c>
      <c r="I75" s="233"/>
      <c r="J75" s="232" t="s">
        <v>7</v>
      </c>
      <c r="K75" s="233"/>
      <c r="L75" s="232" t="s">
        <v>41</v>
      </c>
      <c r="M75" s="233"/>
      <c r="N75" s="232" t="s">
        <v>9</v>
      </c>
      <c r="O75" s="233"/>
      <c r="P75" s="232" t="s">
        <v>10</v>
      </c>
      <c r="Q75" s="233"/>
      <c r="R75" s="232" t="s">
        <v>11</v>
      </c>
      <c r="S75" s="233"/>
      <c r="T75" s="232" t="s">
        <v>12</v>
      </c>
      <c r="U75" s="233"/>
      <c r="V75" s="232" t="s">
        <v>21</v>
      </c>
      <c r="W75" s="233"/>
      <c r="X75" s="232" t="s">
        <v>14</v>
      </c>
      <c r="Y75" s="233"/>
    </row>
    <row r="76" spans="1:28" ht="25.5" thickBot="1" x14ac:dyDescent="0.7">
      <c r="A76" s="227"/>
      <c r="B76" s="17" t="s">
        <v>74</v>
      </c>
      <c r="C76" s="17" t="s">
        <v>75</v>
      </c>
      <c r="D76" s="17" t="s">
        <v>74</v>
      </c>
      <c r="E76" s="17" t="s">
        <v>75</v>
      </c>
      <c r="F76" s="17" t="s">
        <v>74</v>
      </c>
      <c r="G76" s="17" t="s">
        <v>75</v>
      </c>
      <c r="H76" s="17" t="s">
        <v>74</v>
      </c>
      <c r="I76" s="17" t="s">
        <v>75</v>
      </c>
      <c r="J76" s="17" t="s">
        <v>74</v>
      </c>
      <c r="K76" s="17" t="s">
        <v>75</v>
      </c>
      <c r="L76" s="17" t="s">
        <v>74</v>
      </c>
      <c r="M76" s="17" t="s">
        <v>75</v>
      </c>
      <c r="N76" s="17" t="s">
        <v>74</v>
      </c>
      <c r="O76" s="17" t="s">
        <v>75</v>
      </c>
      <c r="P76" s="17" t="s">
        <v>74</v>
      </c>
      <c r="Q76" s="17" t="s">
        <v>75</v>
      </c>
      <c r="R76" s="17" t="s">
        <v>74</v>
      </c>
      <c r="S76" s="17" t="s">
        <v>75</v>
      </c>
      <c r="T76" s="17" t="s">
        <v>74</v>
      </c>
      <c r="U76" s="17" t="s">
        <v>75</v>
      </c>
      <c r="V76" s="17" t="s">
        <v>74</v>
      </c>
      <c r="W76" s="17" t="s">
        <v>75</v>
      </c>
      <c r="X76" s="17" t="s">
        <v>74</v>
      </c>
      <c r="Y76" s="17" t="s">
        <v>75</v>
      </c>
    </row>
    <row r="77" spans="1:28" x14ac:dyDescent="0.65">
      <c r="A77" s="39">
        <v>1</v>
      </c>
      <c r="B77" s="10"/>
      <c r="C77" s="10"/>
      <c r="D77" s="10"/>
      <c r="E77" s="10"/>
      <c r="F77" s="55">
        <v>1176</v>
      </c>
      <c r="G77" s="55">
        <v>1173</v>
      </c>
      <c r="H77" s="55">
        <v>1176</v>
      </c>
      <c r="I77" s="55">
        <v>1173</v>
      </c>
      <c r="J77" s="55"/>
      <c r="K77" s="55"/>
      <c r="L77" s="55">
        <v>1176</v>
      </c>
      <c r="M77" s="55">
        <v>1173</v>
      </c>
      <c r="N77" s="55">
        <v>1183</v>
      </c>
      <c r="O77" s="55">
        <v>1173</v>
      </c>
      <c r="P77" s="55"/>
      <c r="Q77" s="55"/>
      <c r="R77" s="55">
        <v>1183</v>
      </c>
      <c r="S77" s="55">
        <v>1173</v>
      </c>
      <c r="T77" s="55">
        <v>1183</v>
      </c>
      <c r="U77" s="55">
        <v>1173</v>
      </c>
      <c r="V77" s="55">
        <v>1183</v>
      </c>
      <c r="W77" s="55">
        <v>1173</v>
      </c>
      <c r="X77" s="55"/>
      <c r="Y77" s="55"/>
    </row>
    <row r="78" spans="1:28" x14ac:dyDescent="0.65">
      <c r="A78" s="108">
        <v>2</v>
      </c>
      <c r="B78" s="12"/>
      <c r="C78" s="26"/>
      <c r="D78" s="26">
        <v>1176</v>
      </c>
      <c r="E78" s="26">
        <v>1173</v>
      </c>
      <c r="F78" s="26">
        <v>1176</v>
      </c>
      <c r="G78" s="26">
        <v>1173</v>
      </c>
      <c r="H78" s="26">
        <v>1176</v>
      </c>
      <c r="I78" s="26">
        <v>1173</v>
      </c>
      <c r="J78" s="26"/>
      <c r="K78" s="26"/>
      <c r="L78" s="26">
        <v>1176</v>
      </c>
      <c r="M78" s="26">
        <v>1173</v>
      </c>
      <c r="N78" s="26">
        <v>1183</v>
      </c>
      <c r="O78" s="26">
        <v>1173</v>
      </c>
      <c r="P78" s="26">
        <v>1183</v>
      </c>
      <c r="Q78" s="26">
        <v>1173</v>
      </c>
      <c r="R78" s="26">
        <v>1183</v>
      </c>
      <c r="S78" s="26">
        <v>1173</v>
      </c>
      <c r="T78" s="26"/>
      <c r="U78" s="26"/>
      <c r="V78" s="26">
        <v>1183</v>
      </c>
      <c r="W78" s="26">
        <v>1173</v>
      </c>
      <c r="X78" s="26">
        <v>1183</v>
      </c>
      <c r="Y78" s="26">
        <v>1173</v>
      </c>
    </row>
    <row r="79" spans="1:28" x14ac:dyDescent="0.65">
      <c r="A79" s="108">
        <v>3</v>
      </c>
      <c r="B79" s="12"/>
      <c r="C79" s="26"/>
      <c r="D79" s="26">
        <v>1176</v>
      </c>
      <c r="E79" s="26">
        <v>1173</v>
      </c>
      <c r="F79" s="26">
        <v>1176</v>
      </c>
      <c r="G79" s="26">
        <v>1173</v>
      </c>
      <c r="H79" s="26"/>
      <c r="I79" s="26"/>
      <c r="J79" s="26">
        <v>1176</v>
      </c>
      <c r="K79" s="26">
        <v>1173</v>
      </c>
      <c r="L79" s="26">
        <v>1176</v>
      </c>
      <c r="M79" s="26">
        <v>1173</v>
      </c>
      <c r="N79" s="26"/>
      <c r="O79" s="26"/>
      <c r="P79" s="26">
        <v>1183</v>
      </c>
      <c r="Q79" s="26">
        <v>1173</v>
      </c>
      <c r="R79" s="26">
        <v>1183</v>
      </c>
      <c r="S79" s="26">
        <v>1173</v>
      </c>
      <c r="T79" s="26"/>
      <c r="U79" s="26"/>
      <c r="V79" s="26">
        <v>1183</v>
      </c>
      <c r="W79" s="26">
        <v>1173</v>
      </c>
      <c r="X79" s="26">
        <v>1183</v>
      </c>
      <c r="Y79" s="26">
        <v>1173</v>
      </c>
    </row>
    <row r="80" spans="1:28" x14ac:dyDescent="0.65">
      <c r="A80" s="108">
        <v>4</v>
      </c>
      <c r="B80" s="12"/>
      <c r="C80" s="26"/>
      <c r="D80" s="26">
        <v>1176</v>
      </c>
      <c r="E80" s="26">
        <v>1173</v>
      </c>
      <c r="F80" s="26">
        <v>1176</v>
      </c>
      <c r="G80" s="26">
        <v>1173</v>
      </c>
      <c r="H80" s="26"/>
      <c r="I80" s="26"/>
      <c r="J80" s="26">
        <v>1176</v>
      </c>
      <c r="K80" s="26">
        <v>1173</v>
      </c>
      <c r="L80" s="26">
        <v>1176</v>
      </c>
      <c r="M80" s="26">
        <v>1173</v>
      </c>
      <c r="N80" s="26"/>
      <c r="O80" s="26"/>
      <c r="P80" s="26">
        <v>1183</v>
      </c>
      <c r="Q80" s="26">
        <v>1173</v>
      </c>
      <c r="R80" s="26"/>
      <c r="S80" s="26"/>
      <c r="T80" s="26">
        <v>1183</v>
      </c>
      <c r="U80" s="26">
        <v>1173</v>
      </c>
      <c r="V80" s="26">
        <v>1183</v>
      </c>
      <c r="W80" s="26">
        <v>1173</v>
      </c>
      <c r="X80" s="26"/>
      <c r="Y80" s="26"/>
    </row>
    <row r="81" spans="1:25" x14ac:dyDescent="0.65">
      <c r="A81" s="108">
        <v>5</v>
      </c>
      <c r="B81" s="12">
        <v>1177</v>
      </c>
      <c r="C81" s="26">
        <v>1174</v>
      </c>
      <c r="D81" s="26">
        <v>1176</v>
      </c>
      <c r="E81" s="26">
        <v>1173</v>
      </c>
      <c r="F81" s="26">
        <v>1176</v>
      </c>
      <c r="G81" s="26">
        <v>1173</v>
      </c>
      <c r="H81" s="26">
        <v>1176</v>
      </c>
      <c r="I81" s="26">
        <v>1173</v>
      </c>
      <c r="J81" s="26">
        <v>1176</v>
      </c>
      <c r="K81" s="26">
        <v>1173</v>
      </c>
      <c r="L81" s="26"/>
      <c r="M81" s="26"/>
      <c r="N81" s="26">
        <v>1183</v>
      </c>
      <c r="O81" s="26">
        <v>1173</v>
      </c>
      <c r="P81" s="26">
        <v>1183</v>
      </c>
      <c r="Q81" s="26">
        <v>1173</v>
      </c>
      <c r="R81" s="26"/>
      <c r="S81" s="26"/>
      <c r="T81" s="26">
        <v>1183</v>
      </c>
      <c r="U81" s="26">
        <v>1173</v>
      </c>
      <c r="V81" s="26">
        <v>1183</v>
      </c>
      <c r="W81" s="26">
        <v>1173</v>
      </c>
      <c r="X81" s="26"/>
      <c r="Y81" s="26"/>
    </row>
    <row r="82" spans="1:25" x14ac:dyDescent="0.65">
      <c r="A82" s="108">
        <v>6</v>
      </c>
      <c r="B82" s="12"/>
      <c r="C82" s="26"/>
      <c r="D82" s="26"/>
      <c r="E82" s="26"/>
      <c r="F82" s="26"/>
      <c r="G82" s="26"/>
      <c r="H82" s="26">
        <v>1176</v>
      </c>
      <c r="I82" s="26">
        <v>1173</v>
      </c>
      <c r="J82" s="26">
        <v>1176</v>
      </c>
      <c r="K82" s="26">
        <v>1173</v>
      </c>
      <c r="L82" s="26"/>
      <c r="M82" s="26"/>
      <c r="N82" s="26">
        <v>1183</v>
      </c>
      <c r="O82" s="26">
        <v>1173</v>
      </c>
      <c r="P82" s="26">
        <v>1183</v>
      </c>
      <c r="Q82" s="26">
        <v>1173</v>
      </c>
      <c r="R82" s="26">
        <v>1183</v>
      </c>
      <c r="S82" s="26">
        <v>1173</v>
      </c>
      <c r="T82" s="26">
        <v>1183</v>
      </c>
      <c r="U82" s="26">
        <v>1173</v>
      </c>
      <c r="V82" s="26"/>
      <c r="W82" s="26"/>
      <c r="X82" s="26">
        <v>1183</v>
      </c>
      <c r="Y82" s="26">
        <v>1173</v>
      </c>
    </row>
    <row r="83" spans="1:25" x14ac:dyDescent="0.65">
      <c r="A83" s="108">
        <v>7</v>
      </c>
      <c r="B83" s="12"/>
      <c r="C83" s="53"/>
      <c r="D83" s="53"/>
      <c r="E83" s="26"/>
      <c r="F83" s="26"/>
      <c r="G83" s="26"/>
      <c r="H83" s="26">
        <v>1176</v>
      </c>
      <c r="I83" s="26">
        <v>1173</v>
      </c>
      <c r="J83" s="26">
        <v>1176</v>
      </c>
      <c r="K83" s="26">
        <v>1173</v>
      </c>
      <c r="L83" s="26">
        <v>1176</v>
      </c>
      <c r="M83" s="26">
        <v>1173</v>
      </c>
      <c r="N83" s="26">
        <v>1183</v>
      </c>
      <c r="O83" s="26">
        <v>1173</v>
      </c>
      <c r="P83" s="26"/>
      <c r="Q83" s="26"/>
      <c r="R83" s="26">
        <v>1183</v>
      </c>
      <c r="S83" s="26">
        <v>1173</v>
      </c>
      <c r="T83" s="26">
        <v>1183</v>
      </c>
      <c r="U83" s="26">
        <v>1173</v>
      </c>
      <c r="V83" s="26"/>
      <c r="W83" s="26"/>
      <c r="X83" s="26">
        <v>1183</v>
      </c>
      <c r="Y83" s="26">
        <v>1173</v>
      </c>
    </row>
    <row r="84" spans="1:25" x14ac:dyDescent="0.65">
      <c r="A84" s="108">
        <v>8</v>
      </c>
      <c r="B84" s="12">
        <v>1177</v>
      </c>
      <c r="C84" s="26">
        <v>1174</v>
      </c>
      <c r="D84" s="26">
        <v>1176</v>
      </c>
      <c r="E84" s="26">
        <v>1173</v>
      </c>
      <c r="F84" s="26">
        <v>1176</v>
      </c>
      <c r="G84" s="26">
        <v>1173</v>
      </c>
      <c r="H84" s="26">
        <v>1176</v>
      </c>
      <c r="I84" s="26">
        <v>1173</v>
      </c>
      <c r="J84" s="26"/>
      <c r="K84" s="26"/>
      <c r="L84" s="26">
        <v>1176</v>
      </c>
      <c r="M84" s="26">
        <v>1173</v>
      </c>
      <c r="N84" s="26">
        <v>1183</v>
      </c>
      <c r="O84" s="26">
        <v>1173</v>
      </c>
      <c r="P84" s="26"/>
      <c r="Q84" s="26"/>
      <c r="R84" s="26">
        <v>1183</v>
      </c>
      <c r="S84" s="26">
        <v>1173</v>
      </c>
      <c r="T84" s="26"/>
      <c r="U84" s="26">
        <v>1173</v>
      </c>
      <c r="V84" s="26">
        <v>1183</v>
      </c>
      <c r="W84" s="26">
        <v>1173</v>
      </c>
      <c r="X84" s="26">
        <v>1183</v>
      </c>
      <c r="Y84" s="26">
        <v>1173</v>
      </c>
    </row>
    <row r="85" spans="1:25" x14ac:dyDescent="0.65">
      <c r="A85" s="108">
        <v>9</v>
      </c>
      <c r="B85" s="12"/>
      <c r="C85" s="26"/>
      <c r="D85" s="26">
        <v>1176</v>
      </c>
      <c r="E85" s="26">
        <v>1173</v>
      </c>
      <c r="F85" s="26"/>
      <c r="G85" s="26"/>
      <c r="H85" s="26">
        <v>1176</v>
      </c>
      <c r="I85" s="26">
        <v>1173</v>
      </c>
      <c r="J85" s="26"/>
      <c r="K85" s="26"/>
      <c r="L85" s="26">
        <v>1176</v>
      </c>
      <c r="M85" s="26">
        <v>1173</v>
      </c>
      <c r="N85" s="26">
        <v>1183</v>
      </c>
      <c r="O85" s="26">
        <v>1173</v>
      </c>
      <c r="P85" s="26">
        <v>1183</v>
      </c>
      <c r="Q85" s="26">
        <v>1173</v>
      </c>
      <c r="R85" s="26">
        <v>1183</v>
      </c>
      <c r="S85" s="26">
        <v>1173</v>
      </c>
      <c r="T85" s="26"/>
      <c r="U85" s="26"/>
      <c r="V85" s="26">
        <v>1183</v>
      </c>
      <c r="W85" s="26">
        <v>1173</v>
      </c>
      <c r="X85" s="26">
        <v>1183</v>
      </c>
      <c r="Y85" s="26">
        <v>1173</v>
      </c>
    </row>
    <row r="86" spans="1:25" x14ac:dyDescent="0.65">
      <c r="A86" s="108">
        <v>10</v>
      </c>
      <c r="B86" s="12"/>
      <c r="C86" s="26"/>
      <c r="D86" s="26">
        <v>1176</v>
      </c>
      <c r="E86" s="26">
        <v>1173</v>
      </c>
      <c r="F86" s="26">
        <v>1176</v>
      </c>
      <c r="G86" s="26">
        <v>1173</v>
      </c>
      <c r="H86" s="26"/>
      <c r="I86" s="26">
        <v>1173</v>
      </c>
      <c r="J86" s="26">
        <v>1176</v>
      </c>
      <c r="K86" s="26">
        <v>1173</v>
      </c>
      <c r="L86" s="26">
        <v>1176</v>
      </c>
      <c r="M86" s="26">
        <v>1173</v>
      </c>
      <c r="N86" s="26"/>
      <c r="O86" s="26"/>
      <c r="P86" s="26">
        <v>1183</v>
      </c>
      <c r="Q86" s="26">
        <v>1173</v>
      </c>
      <c r="R86" s="26">
        <v>1183</v>
      </c>
      <c r="S86" s="26">
        <v>1173</v>
      </c>
      <c r="T86" s="26"/>
      <c r="U86" s="26"/>
      <c r="V86" s="26">
        <v>1183</v>
      </c>
      <c r="W86" s="26">
        <v>1173</v>
      </c>
      <c r="X86" s="26">
        <v>1183</v>
      </c>
      <c r="Y86" s="26">
        <v>1173</v>
      </c>
    </row>
    <row r="87" spans="1:25" x14ac:dyDescent="0.65">
      <c r="A87" s="108">
        <v>11</v>
      </c>
      <c r="B87" s="26">
        <v>1177</v>
      </c>
      <c r="C87" s="26">
        <v>1174</v>
      </c>
      <c r="D87" s="26">
        <v>1176</v>
      </c>
      <c r="E87" s="26">
        <v>1173</v>
      </c>
      <c r="F87" s="26">
        <v>1176</v>
      </c>
      <c r="G87" s="26">
        <v>1173</v>
      </c>
      <c r="H87" s="26"/>
      <c r="I87" s="26"/>
      <c r="J87" s="26">
        <v>1176</v>
      </c>
      <c r="K87" s="26">
        <v>1173</v>
      </c>
      <c r="L87" s="26">
        <v>1176</v>
      </c>
      <c r="M87" s="26">
        <v>1173</v>
      </c>
      <c r="N87" s="26"/>
      <c r="O87" s="26"/>
      <c r="P87" s="26">
        <v>1183</v>
      </c>
      <c r="Q87" s="26">
        <v>1173</v>
      </c>
      <c r="R87" s="26"/>
      <c r="S87" s="26"/>
      <c r="T87" s="26">
        <v>1183</v>
      </c>
      <c r="U87" s="26">
        <v>1173</v>
      </c>
      <c r="V87" s="26">
        <v>1183</v>
      </c>
      <c r="W87" s="26">
        <v>1173</v>
      </c>
      <c r="X87" s="26"/>
      <c r="Y87" s="26"/>
    </row>
    <row r="88" spans="1:25" x14ac:dyDescent="0.65">
      <c r="A88" s="108">
        <v>12</v>
      </c>
      <c r="B88" s="26">
        <v>1177</v>
      </c>
      <c r="C88" s="26">
        <v>1174</v>
      </c>
      <c r="D88" s="26">
        <v>1176</v>
      </c>
      <c r="E88" s="26">
        <v>1173</v>
      </c>
      <c r="F88" s="26">
        <v>1176</v>
      </c>
      <c r="G88" s="26">
        <v>1173</v>
      </c>
      <c r="H88" s="26">
        <v>1176</v>
      </c>
      <c r="I88" s="26">
        <v>1173</v>
      </c>
      <c r="J88" s="26">
        <v>1176</v>
      </c>
      <c r="K88" s="26">
        <v>1173</v>
      </c>
      <c r="L88" s="26"/>
      <c r="M88" s="26"/>
      <c r="N88" s="26">
        <v>1183</v>
      </c>
      <c r="O88" s="26">
        <v>1173</v>
      </c>
      <c r="P88" s="26">
        <v>1183</v>
      </c>
      <c r="Q88" s="26">
        <v>1173</v>
      </c>
      <c r="R88" s="26"/>
      <c r="S88" s="26"/>
      <c r="T88" s="26">
        <v>1183</v>
      </c>
      <c r="U88" s="26">
        <v>1173</v>
      </c>
      <c r="V88" s="26">
        <v>1183</v>
      </c>
      <c r="W88" s="26">
        <v>1173</v>
      </c>
      <c r="X88" s="26"/>
      <c r="Y88" s="26"/>
    </row>
    <row r="89" spans="1:25" x14ac:dyDescent="0.65">
      <c r="A89" s="108">
        <v>13</v>
      </c>
      <c r="B89" s="26">
        <v>1177</v>
      </c>
      <c r="C89" s="26">
        <v>1174</v>
      </c>
      <c r="D89" s="26"/>
      <c r="E89" s="26"/>
      <c r="F89" s="26"/>
      <c r="G89" s="26"/>
      <c r="H89" s="26">
        <v>1176</v>
      </c>
      <c r="I89" s="26">
        <v>1173</v>
      </c>
      <c r="J89" s="26">
        <v>1176</v>
      </c>
      <c r="K89" s="26">
        <v>1173</v>
      </c>
      <c r="L89" s="26"/>
      <c r="M89" s="26"/>
      <c r="N89" s="26">
        <v>1183</v>
      </c>
      <c r="O89" s="26">
        <v>1173</v>
      </c>
      <c r="P89" s="26">
        <v>1183</v>
      </c>
      <c r="Q89" s="26">
        <v>1173</v>
      </c>
      <c r="R89" s="26">
        <v>1183</v>
      </c>
      <c r="S89" s="26">
        <v>1173</v>
      </c>
      <c r="T89" s="26">
        <v>1183</v>
      </c>
      <c r="U89" s="26">
        <v>1173</v>
      </c>
      <c r="V89" s="26"/>
      <c r="W89" s="26"/>
      <c r="X89" s="26">
        <v>1183</v>
      </c>
      <c r="Y89" s="26">
        <v>1173</v>
      </c>
    </row>
    <row r="90" spans="1:25" x14ac:dyDescent="0.65">
      <c r="A90" s="108">
        <v>14</v>
      </c>
      <c r="B90" s="26">
        <v>1177</v>
      </c>
      <c r="C90" s="26">
        <v>1174</v>
      </c>
      <c r="D90" s="26"/>
      <c r="E90" s="26"/>
      <c r="F90" s="26"/>
      <c r="G90" s="26"/>
      <c r="H90" s="26">
        <v>1176</v>
      </c>
      <c r="I90" s="26">
        <v>1173</v>
      </c>
      <c r="J90" s="26">
        <v>1176</v>
      </c>
      <c r="K90" s="26">
        <v>1173</v>
      </c>
      <c r="L90" s="26">
        <v>1176</v>
      </c>
      <c r="M90" s="26">
        <v>1173</v>
      </c>
      <c r="N90" s="26"/>
      <c r="O90" s="26"/>
      <c r="P90" s="26"/>
      <c r="Q90" s="26"/>
      <c r="R90" s="26">
        <v>1183</v>
      </c>
      <c r="S90" s="26">
        <v>1173</v>
      </c>
      <c r="T90" s="26">
        <v>1183</v>
      </c>
      <c r="U90" s="26">
        <v>1173</v>
      </c>
      <c r="V90" s="26"/>
      <c r="W90" s="26"/>
      <c r="X90" s="26">
        <v>1183</v>
      </c>
      <c r="Y90" s="26">
        <v>1173</v>
      </c>
    </row>
    <row r="91" spans="1:25" x14ac:dyDescent="0.65">
      <c r="A91" s="108">
        <v>15</v>
      </c>
      <c r="B91" s="26">
        <v>1177</v>
      </c>
      <c r="C91" s="26">
        <v>1174</v>
      </c>
      <c r="D91" s="26">
        <v>1176</v>
      </c>
      <c r="E91" s="26">
        <v>1173</v>
      </c>
      <c r="F91" s="26">
        <v>1176</v>
      </c>
      <c r="G91" s="26">
        <v>1173</v>
      </c>
      <c r="H91" s="26">
        <v>1176</v>
      </c>
      <c r="I91" s="26">
        <v>1173</v>
      </c>
      <c r="J91" s="26"/>
      <c r="K91" s="26"/>
      <c r="L91" s="26">
        <v>1176</v>
      </c>
      <c r="M91" s="26">
        <v>1173</v>
      </c>
      <c r="N91" s="26">
        <v>1183</v>
      </c>
      <c r="O91" s="26">
        <v>1183</v>
      </c>
      <c r="P91" s="26"/>
      <c r="Q91" s="26"/>
      <c r="R91" s="26">
        <v>1183</v>
      </c>
      <c r="S91" s="26">
        <v>1173</v>
      </c>
      <c r="T91" s="26">
        <v>1183</v>
      </c>
      <c r="U91" s="26">
        <v>1173</v>
      </c>
      <c r="V91" s="26">
        <v>1183</v>
      </c>
      <c r="W91" s="26">
        <v>1173</v>
      </c>
      <c r="X91" s="26">
        <v>1183</v>
      </c>
      <c r="Y91" s="26">
        <v>1173</v>
      </c>
    </row>
    <row r="92" spans="1:25" x14ac:dyDescent="0.65">
      <c r="A92" s="108">
        <v>16</v>
      </c>
      <c r="B92" s="12"/>
      <c r="C92" s="26"/>
      <c r="D92" s="26">
        <v>1176</v>
      </c>
      <c r="E92" s="26">
        <v>1173</v>
      </c>
      <c r="F92" s="26">
        <v>1176</v>
      </c>
      <c r="G92" s="26">
        <v>1173</v>
      </c>
      <c r="H92" s="26">
        <v>1176</v>
      </c>
      <c r="I92" s="26">
        <v>1173</v>
      </c>
      <c r="J92" s="26"/>
      <c r="K92" s="26"/>
      <c r="L92" s="26">
        <v>1176</v>
      </c>
      <c r="M92" s="26">
        <v>1173</v>
      </c>
      <c r="N92" s="26">
        <v>1183</v>
      </c>
      <c r="O92" s="26">
        <v>1173</v>
      </c>
      <c r="P92" s="26">
        <v>1183</v>
      </c>
      <c r="Q92" s="26">
        <v>1173</v>
      </c>
      <c r="R92" s="26">
        <v>1183</v>
      </c>
      <c r="S92" s="26">
        <v>1173</v>
      </c>
      <c r="T92" s="26"/>
      <c r="U92" s="26"/>
      <c r="V92" s="26">
        <v>1183</v>
      </c>
      <c r="W92" s="26">
        <v>1173</v>
      </c>
      <c r="X92" s="26">
        <v>1183</v>
      </c>
      <c r="Y92" s="26">
        <v>1173</v>
      </c>
    </row>
    <row r="93" spans="1:25" x14ac:dyDescent="0.65">
      <c r="A93" s="108">
        <v>17</v>
      </c>
      <c r="B93" s="12"/>
      <c r="C93" s="26"/>
      <c r="D93" s="26">
        <v>1176</v>
      </c>
      <c r="E93" s="26">
        <v>1173</v>
      </c>
      <c r="F93" s="26">
        <v>1176</v>
      </c>
      <c r="G93" s="26">
        <v>1173</v>
      </c>
      <c r="H93" s="26"/>
      <c r="I93" s="26">
        <v>1173</v>
      </c>
      <c r="J93" s="26">
        <v>1176</v>
      </c>
      <c r="K93" s="26">
        <v>1173</v>
      </c>
      <c r="L93" s="26">
        <v>1176</v>
      </c>
      <c r="M93" s="26">
        <v>1173</v>
      </c>
      <c r="N93" s="26"/>
      <c r="O93" s="26">
        <v>1173</v>
      </c>
      <c r="P93" s="26">
        <v>1183</v>
      </c>
      <c r="Q93" s="26">
        <v>1173</v>
      </c>
      <c r="R93" s="26">
        <v>1183</v>
      </c>
      <c r="S93" s="26">
        <v>1173</v>
      </c>
      <c r="T93" s="26"/>
      <c r="U93" s="26"/>
      <c r="V93" s="26">
        <v>1183</v>
      </c>
      <c r="W93" s="26">
        <v>1173</v>
      </c>
      <c r="X93" s="26">
        <v>1183</v>
      </c>
      <c r="Y93" s="26">
        <v>1173</v>
      </c>
    </row>
    <row r="94" spans="1:25" x14ac:dyDescent="0.65">
      <c r="A94" s="108">
        <v>18</v>
      </c>
      <c r="B94" s="26">
        <v>1176</v>
      </c>
      <c r="C94" s="26">
        <v>1173</v>
      </c>
      <c r="D94" s="26">
        <v>1176</v>
      </c>
      <c r="E94" s="26">
        <v>1173</v>
      </c>
      <c r="F94" s="26">
        <v>1176</v>
      </c>
      <c r="G94" s="26">
        <v>1173</v>
      </c>
      <c r="H94" s="26"/>
      <c r="I94" s="26"/>
      <c r="J94" s="26">
        <v>1176</v>
      </c>
      <c r="K94" s="26">
        <v>1173</v>
      </c>
      <c r="L94" s="26">
        <v>1176</v>
      </c>
      <c r="M94" s="26">
        <v>1173</v>
      </c>
      <c r="N94" s="26"/>
      <c r="O94" s="26"/>
      <c r="P94" s="26">
        <v>1183</v>
      </c>
      <c r="Q94" s="26">
        <v>1173</v>
      </c>
      <c r="R94" s="26"/>
      <c r="S94" s="26"/>
      <c r="T94" s="26">
        <v>1183</v>
      </c>
      <c r="U94" s="26">
        <v>1173</v>
      </c>
      <c r="V94" s="26">
        <v>1183</v>
      </c>
      <c r="W94" s="26">
        <v>1173</v>
      </c>
      <c r="X94" s="26"/>
      <c r="Y94" s="26"/>
    </row>
    <row r="95" spans="1:25" x14ac:dyDescent="0.65">
      <c r="A95" s="108">
        <v>19</v>
      </c>
      <c r="B95" s="26">
        <v>1176</v>
      </c>
      <c r="C95" s="26">
        <v>1173</v>
      </c>
      <c r="D95" s="26">
        <v>1176</v>
      </c>
      <c r="E95" s="26">
        <v>1173</v>
      </c>
      <c r="F95" s="26">
        <v>1176</v>
      </c>
      <c r="G95" s="26">
        <v>1173</v>
      </c>
      <c r="H95" s="26">
        <v>1176</v>
      </c>
      <c r="I95" s="26">
        <v>1173</v>
      </c>
      <c r="J95" s="26">
        <v>1176</v>
      </c>
      <c r="K95" s="26">
        <v>1173</v>
      </c>
      <c r="L95" s="26"/>
      <c r="M95" s="26"/>
      <c r="N95" s="26">
        <v>1183</v>
      </c>
      <c r="O95" s="26">
        <v>1173</v>
      </c>
      <c r="P95" s="26">
        <v>1183</v>
      </c>
      <c r="Q95" s="26">
        <v>1173</v>
      </c>
      <c r="R95" s="26"/>
      <c r="S95" s="26"/>
      <c r="T95" s="26">
        <v>1183</v>
      </c>
      <c r="U95" s="26">
        <v>1173</v>
      </c>
      <c r="V95" s="26">
        <v>1183</v>
      </c>
      <c r="W95" s="26">
        <v>1173</v>
      </c>
      <c r="X95" s="26"/>
      <c r="Y95" s="26"/>
    </row>
    <row r="96" spans="1:25" x14ac:dyDescent="0.65">
      <c r="A96" s="108">
        <v>20</v>
      </c>
      <c r="B96" s="26">
        <v>1176</v>
      </c>
      <c r="C96" s="26">
        <v>1173</v>
      </c>
      <c r="D96" s="26"/>
      <c r="E96" s="26"/>
      <c r="F96" s="26"/>
      <c r="G96" s="26"/>
      <c r="H96" s="26">
        <v>1176</v>
      </c>
      <c r="I96" s="26">
        <v>1173</v>
      </c>
      <c r="J96" s="26">
        <v>1176</v>
      </c>
      <c r="K96" s="26">
        <v>1173</v>
      </c>
      <c r="L96" s="26"/>
      <c r="M96" s="26"/>
      <c r="N96" s="26">
        <v>1183</v>
      </c>
      <c r="O96" s="26">
        <v>1173</v>
      </c>
      <c r="P96" s="26">
        <v>1183</v>
      </c>
      <c r="Q96" s="26">
        <v>1173</v>
      </c>
      <c r="R96" s="26"/>
      <c r="S96" s="26"/>
      <c r="T96" s="26">
        <v>1183</v>
      </c>
      <c r="U96" s="26">
        <v>1173</v>
      </c>
      <c r="V96" s="26"/>
      <c r="W96" s="26"/>
      <c r="X96" s="26">
        <v>1183</v>
      </c>
      <c r="Y96" s="26">
        <v>1173</v>
      </c>
    </row>
    <row r="97" spans="1:27" x14ac:dyDescent="0.65">
      <c r="A97" s="108">
        <v>21</v>
      </c>
      <c r="B97" s="26">
        <v>1176</v>
      </c>
      <c r="C97" s="26">
        <v>1173</v>
      </c>
      <c r="D97" s="26"/>
      <c r="E97" s="26"/>
      <c r="F97" s="26"/>
      <c r="G97" s="26"/>
      <c r="H97" s="26">
        <v>1176</v>
      </c>
      <c r="I97" s="26">
        <v>1173</v>
      </c>
      <c r="J97" s="26">
        <v>1176</v>
      </c>
      <c r="K97" s="26">
        <v>1173</v>
      </c>
      <c r="L97" s="26">
        <v>1176</v>
      </c>
      <c r="M97" s="26">
        <v>1173</v>
      </c>
      <c r="N97" s="26">
        <v>1183</v>
      </c>
      <c r="O97" s="26">
        <v>1173</v>
      </c>
      <c r="P97" s="26"/>
      <c r="Q97" s="26"/>
      <c r="R97" s="26"/>
      <c r="S97" s="26"/>
      <c r="T97" s="26">
        <v>1183</v>
      </c>
      <c r="U97" s="26">
        <v>1173</v>
      </c>
      <c r="V97" s="26"/>
      <c r="W97" s="26"/>
      <c r="X97" s="26">
        <v>1183</v>
      </c>
      <c r="Y97" s="26">
        <v>1173</v>
      </c>
    </row>
    <row r="98" spans="1:27" x14ac:dyDescent="0.65">
      <c r="A98" s="108">
        <v>22</v>
      </c>
      <c r="B98" s="26">
        <v>1176</v>
      </c>
      <c r="C98" s="26">
        <v>1173</v>
      </c>
      <c r="D98" s="26">
        <v>1176</v>
      </c>
      <c r="E98" s="26">
        <v>1173</v>
      </c>
      <c r="F98" s="26">
        <v>1176</v>
      </c>
      <c r="G98" s="26">
        <v>1173</v>
      </c>
      <c r="H98" s="26">
        <v>1176</v>
      </c>
      <c r="I98" s="26">
        <v>1173</v>
      </c>
      <c r="J98" s="26"/>
      <c r="K98" s="26"/>
      <c r="L98" s="26">
        <v>1183</v>
      </c>
      <c r="M98" s="26">
        <v>1173</v>
      </c>
      <c r="N98" s="26">
        <v>1183</v>
      </c>
      <c r="O98" s="26">
        <v>1173</v>
      </c>
      <c r="P98" s="26"/>
      <c r="Q98" s="26"/>
      <c r="R98" s="26"/>
      <c r="S98" s="26"/>
      <c r="T98" s="26">
        <v>1183</v>
      </c>
      <c r="U98" s="26">
        <v>1173</v>
      </c>
      <c r="V98" s="26">
        <v>1183</v>
      </c>
      <c r="W98" s="26">
        <v>1173</v>
      </c>
      <c r="X98" s="26">
        <v>1183</v>
      </c>
      <c r="Y98" s="26">
        <v>1173</v>
      </c>
    </row>
    <row r="99" spans="1:27" x14ac:dyDescent="0.65">
      <c r="A99" s="108">
        <v>23</v>
      </c>
      <c r="B99" s="12"/>
      <c r="C99" s="26"/>
      <c r="D99" s="26">
        <v>1176</v>
      </c>
      <c r="E99" s="26">
        <v>1173</v>
      </c>
      <c r="F99" s="26">
        <v>1176</v>
      </c>
      <c r="G99" s="26">
        <v>1173</v>
      </c>
      <c r="H99" s="26">
        <v>1176</v>
      </c>
      <c r="I99" s="26">
        <v>1173</v>
      </c>
      <c r="J99" s="26"/>
      <c r="K99" s="26"/>
      <c r="L99" s="26">
        <v>1183</v>
      </c>
      <c r="M99" s="26">
        <v>1173</v>
      </c>
      <c r="N99" s="26">
        <v>1183</v>
      </c>
      <c r="O99" s="26">
        <v>1173</v>
      </c>
      <c r="P99" s="26">
        <v>1183</v>
      </c>
      <c r="Q99" s="26">
        <v>1173</v>
      </c>
      <c r="R99" s="26"/>
      <c r="S99" s="26"/>
      <c r="T99" s="26"/>
      <c r="U99" s="26"/>
      <c r="V99" s="26">
        <v>1183</v>
      </c>
      <c r="W99" s="26">
        <v>1173</v>
      </c>
      <c r="X99" s="26">
        <v>1183</v>
      </c>
      <c r="Y99" s="26">
        <v>1173</v>
      </c>
    </row>
    <row r="100" spans="1:27" x14ac:dyDescent="0.65">
      <c r="A100" s="108">
        <v>24</v>
      </c>
      <c r="B100" s="12"/>
      <c r="C100" s="26"/>
      <c r="D100" s="26">
        <v>1176</v>
      </c>
      <c r="E100" s="26">
        <v>1173</v>
      </c>
      <c r="F100" s="26">
        <v>1176</v>
      </c>
      <c r="G100" s="26">
        <v>1173</v>
      </c>
      <c r="H100" s="26"/>
      <c r="I100" s="26">
        <v>1173</v>
      </c>
      <c r="J100" s="26">
        <v>1176</v>
      </c>
      <c r="K100" s="26">
        <v>1173</v>
      </c>
      <c r="L100" s="26">
        <v>1183</v>
      </c>
      <c r="M100" s="26">
        <v>1173</v>
      </c>
      <c r="N100" s="26"/>
      <c r="O100" s="26"/>
      <c r="P100" s="26">
        <v>1183</v>
      </c>
      <c r="Q100" s="26">
        <v>1173</v>
      </c>
      <c r="R100" s="26">
        <v>1183</v>
      </c>
      <c r="S100" s="26">
        <v>1173</v>
      </c>
      <c r="T100" s="26"/>
      <c r="U100" s="26"/>
      <c r="V100" s="26">
        <v>1183</v>
      </c>
      <c r="W100" s="26">
        <v>1173</v>
      </c>
      <c r="X100" s="26">
        <v>1183</v>
      </c>
      <c r="Y100" s="26">
        <v>1173</v>
      </c>
    </row>
    <row r="101" spans="1:27" x14ac:dyDescent="0.65">
      <c r="A101" s="108">
        <v>25</v>
      </c>
      <c r="B101" s="26">
        <v>1176</v>
      </c>
      <c r="C101" s="26">
        <v>1173</v>
      </c>
      <c r="D101" s="26">
        <v>1176</v>
      </c>
      <c r="E101" s="26">
        <v>1173</v>
      </c>
      <c r="F101" s="26">
        <v>1176</v>
      </c>
      <c r="G101" s="26">
        <v>1173</v>
      </c>
      <c r="H101" s="26"/>
      <c r="I101" s="26"/>
      <c r="J101" s="26">
        <v>1176</v>
      </c>
      <c r="K101" s="26">
        <v>1173</v>
      </c>
      <c r="L101" s="26">
        <v>1183</v>
      </c>
      <c r="M101" s="26">
        <v>1173</v>
      </c>
      <c r="N101" s="26"/>
      <c r="O101" s="26"/>
      <c r="P101" s="26">
        <v>1183</v>
      </c>
      <c r="Q101" s="26">
        <v>1173</v>
      </c>
      <c r="R101" s="26"/>
      <c r="S101" s="26"/>
      <c r="T101" s="26">
        <v>1183</v>
      </c>
      <c r="U101" s="26">
        <v>1173</v>
      </c>
      <c r="V101" s="26">
        <v>1183</v>
      </c>
      <c r="W101" s="26">
        <v>1173</v>
      </c>
      <c r="X101" s="26"/>
      <c r="Y101" s="26"/>
    </row>
    <row r="102" spans="1:27" x14ac:dyDescent="0.65">
      <c r="A102" s="108">
        <v>26</v>
      </c>
      <c r="B102" s="26">
        <v>1176</v>
      </c>
      <c r="C102" s="26">
        <v>1173</v>
      </c>
      <c r="D102" s="26">
        <v>1176</v>
      </c>
      <c r="E102" s="26">
        <v>1173</v>
      </c>
      <c r="F102" s="26">
        <v>1176</v>
      </c>
      <c r="G102" s="26">
        <v>1173</v>
      </c>
      <c r="H102" s="26">
        <v>1176</v>
      </c>
      <c r="I102" s="26">
        <v>1173</v>
      </c>
      <c r="J102" s="26">
        <v>1176</v>
      </c>
      <c r="K102" s="26">
        <v>1173</v>
      </c>
      <c r="L102" s="26"/>
      <c r="M102" s="26"/>
      <c r="N102" s="26">
        <v>1183</v>
      </c>
      <c r="O102" s="26">
        <v>1173</v>
      </c>
      <c r="P102" s="26">
        <v>1183</v>
      </c>
      <c r="Q102" s="26">
        <v>1173</v>
      </c>
      <c r="R102" s="26"/>
      <c r="S102" s="26"/>
      <c r="T102" s="26">
        <v>1183</v>
      </c>
      <c r="U102" s="26">
        <v>1173</v>
      </c>
      <c r="V102" s="26">
        <v>1183</v>
      </c>
      <c r="W102" s="26">
        <v>1173</v>
      </c>
      <c r="X102" s="26"/>
      <c r="Y102" s="26"/>
    </row>
    <row r="103" spans="1:27" x14ac:dyDescent="0.65">
      <c r="A103" s="108">
        <v>27</v>
      </c>
      <c r="B103" s="26">
        <v>1176</v>
      </c>
      <c r="C103" s="26">
        <v>1173</v>
      </c>
      <c r="D103" s="26"/>
      <c r="E103" s="26"/>
      <c r="F103" s="26"/>
      <c r="G103" s="26"/>
      <c r="H103" s="26">
        <v>1176</v>
      </c>
      <c r="I103" s="26">
        <v>1173</v>
      </c>
      <c r="J103" s="26">
        <v>1176</v>
      </c>
      <c r="K103" s="26">
        <v>1173</v>
      </c>
      <c r="L103" s="26"/>
      <c r="M103" s="26"/>
      <c r="N103" s="26">
        <v>1183</v>
      </c>
      <c r="O103" s="26">
        <v>1173</v>
      </c>
      <c r="P103" s="26">
        <v>1183</v>
      </c>
      <c r="Q103" s="26">
        <v>1173</v>
      </c>
      <c r="R103" s="26">
        <v>1183</v>
      </c>
      <c r="S103" s="26">
        <v>1173</v>
      </c>
      <c r="T103" s="26">
        <v>1183</v>
      </c>
      <c r="U103" s="26">
        <v>1173</v>
      </c>
      <c r="V103" s="26"/>
      <c r="W103" s="26"/>
      <c r="X103" s="26"/>
      <c r="Y103" s="26"/>
    </row>
    <row r="104" spans="1:27" x14ac:dyDescent="0.65">
      <c r="A104" s="108">
        <v>28</v>
      </c>
      <c r="B104" s="26">
        <v>1176</v>
      </c>
      <c r="C104" s="26">
        <v>1173</v>
      </c>
      <c r="D104" s="26"/>
      <c r="E104" s="26"/>
      <c r="F104" s="26"/>
      <c r="G104" s="26"/>
      <c r="H104" s="26">
        <v>1176</v>
      </c>
      <c r="I104" s="26">
        <v>1173</v>
      </c>
      <c r="J104" s="26">
        <v>1176</v>
      </c>
      <c r="K104" s="26">
        <v>1173</v>
      </c>
      <c r="L104" s="26">
        <v>1183</v>
      </c>
      <c r="M104" s="26">
        <v>1173</v>
      </c>
      <c r="N104" s="26">
        <v>1183</v>
      </c>
      <c r="O104" s="26">
        <v>1173</v>
      </c>
      <c r="P104" s="26"/>
      <c r="Q104" s="26"/>
      <c r="R104" s="26">
        <v>1183</v>
      </c>
      <c r="S104" s="26">
        <v>1173</v>
      </c>
      <c r="T104" s="26">
        <v>1183</v>
      </c>
      <c r="U104" s="26">
        <v>1173</v>
      </c>
      <c r="V104" s="26"/>
      <c r="W104" s="26"/>
      <c r="X104" s="26">
        <v>1183</v>
      </c>
      <c r="Y104" s="26">
        <v>1173</v>
      </c>
    </row>
    <row r="105" spans="1:27" x14ac:dyDescent="0.65">
      <c r="A105" s="108">
        <v>29</v>
      </c>
      <c r="B105" s="26">
        <v>1176</v>
      </c>
      <c r="C105" s="26">
        <v>1173</v>
      </c>
      <c r="D105" s="26"/>
      <c r="E105" s="27"/>
      <c r="F105" s="26">
        <v>1176</v>
      </c>
      <c r="G105" s="26">
        <v>1173</v>
      </c>
      <c r="H105" s="26">
        <v>1176</v>
      </c>
      <c r="I105" s="26">
        <v>1173</v>
      </c>
      <c r="J105" s="26"/>
      <c r="K105" s="26"/>
      <c r="L105" s="26">
        <v>1183</v>
      </c>
      <c r="M105" s="26">
        <v>1173</v>
      </c>
      <c r="N105" s="26">
        <v>1183</v>
      </c>
      <c r="O105" s="26">
        <v>1173</v>
      </c>
      <c r="P105" s="26"/>
      <c r="Q105" s="26"/>
      <c r="R105" s="26">
        <v>1183</v>
      </c>
      <c r="S105" s="26">
        <v>1173</v>
      </c>
      <c r="T105" s="26">
        <v>1183</v>
      </c>
      <c r="U105" s="26">
        <v>1173</v>
      </c>
      <c r="V105" s="26"/>
      <c r="W105" s="26"/>
      <c r="X105" s="26">
        <v>1183</v>
      </c>
      <c r="Y105" s="26">
        <v>1173</v>
      </c>
    </row>
    <row r="106" spans="1:27" x14ac:dyDescent="0.65">
      <c r="A106" s="108">
        <v>30</v>
      </c>
      <c r="B106" s="12"/>
      <c r="C106" s="26"/>
      <c r="D106" s="26"/>
      <c r="E106" s="27"/>
      <c r="F106" s="26">
        <v>1176</v>
      </c>
      <c r="G106" s="26">
        <v>1173</v>
      </c>
      <c r="H106" s="26">
        <v>1176</v>
      </c>
      <c r="I106" s="26">
        <v>1173</v>
      </c>
      <c r="J106" s="26"/>
      <c r="K106" s="26"/>
      <c r="L106" s="26"/>
      <c r="M106" s="26"/>
      <c r="N106" s="26">
        <v>1183</v>
      </c>
      <c r="O106" s="26">
        <v>1173</v>
      </c>
      <c r="P106" s="26">
        <v>1183</v>
      </c>
      <c r="Q106" s="26">
        <v>1173</v>
      </c>
      <c r="R106" s="26">
        <v>1183</v>
      </c>
      <c r="S106" s="26">
        <v>1173</v>
      </c>
      <c r="T106" s="26"/>
      <c r="U106" s="26"/>
      <c r="V106" s="26"/>
      <c r="W106" s="26"/>
      <c r="X106" s="26">
        <v>1183</v>
      </c>
      <c r="Y106" s="26">
        <v>1173</v>
      </c>
    </row>
    <row r="107" spans="1:27" ht="25.5" thickBot="1" x14ac:dyDescent="0.7">
      <c r="A107" s="109">
        <v>31</v>
      </c>
      <c r="B107" s="52"/>
      <c r="C107" s="32"/>
      <c r="D107" s="30"/>
      <c r="E107" s="31"/>
      <c r="F107" s="32">
        <v>1176</v>
      </c>
      <c r="G107" s="32">
        <v>1173</v>
      </c>
      <c r="H107" s="30"/>
      <c r="I107" s="54"/>
      <c r="J107" s="56">
        <v>1176</v>
      </c>
      <c r="K107" s="32">
        <v>1173</v>
      </c>
      <c r="L107" s="30"/>
      <c r="M107" s="54"/>
      <c r="N107" s="56"/>
      <c r="O107" s="32"/>
      <c r="P107" s="32">
        <v>1183</v>
      </c>
      <c r="Q107" s="32">
        <v>1173</v>
      </c>
      <c r="R107" s="30"/>
      <c r="S107" s="30"/>
      <c r="T107" s="56"/>
      <c r="U107" s="32"/>
      <c r="V107" s="30"/>
      <c r="W107" s="54"/>
      <c r="X107" s="32">
        <v>1183</v>
      </c>
      <c r="Y107" s="32">
        <v>1173</v>
      </c>
    </row>
    <row r="108" spans="1:27" ht="25.5" thickBot="1" x14ac:dyDescent="0.7">
      <c r="A108" s="17" t="s">
        <v>15</v>
      </c>
      <c r="B108" s="197">
        <f>AVERAGE(B77:B107)</f>
        <v>1176.4117647058824</v>
      </c>
      <c r="C108" s="197">
        <f t="shared" ref="C108:Y108" si="2">AVERAGE(C77:C107)</f>
        <v>1173.4117647058824</v>
      </c>
      <c r="D108" s="197">
        <f t="shared" si="2"/>
        <v>1176</v>
      </c>
      <c r="E108" s="197">
        <f t="shared" si="2"/>
        <v>1173</v>
      </c>
      <c r="F108" s="197">
        <f t="shared" si="2"/>
        <v>1176</v>
      </c>
      <c r="G108" s="197">
        <f t="shared" si="2"/>
        <v>1173</v>
      </c>
      <c r="H108" s="197">
        <f t="shared" si="2"/>
        <v>1176</v>
      </c>
      <c r="I108" s="197">
        <f t="shared" si="2"/>
        <v>1173</v>
      </c>
      <c r="J108" s="197">
        <f t="shared" si="2"/>
        <v>1176</v>
      </c>
      <c r="K108" s="197">
        <f t="shared" si="2"/>
        <v>1173</v>
      </c>
      <c r="L108" s="197">
        <f t="shared" si="2"/>
        <v>1178</v>
      </c>
      <c r="M108" s="197">
        <f t="shared" si="2"/>
        <v>1173</v>
      </c>
      <c r="N108" s="197">
        <f t="shared" si="2"/>
        <v>1183</v>
      </c>
      <c r="O108" s="197">
        <f t="shared" si="2"/>
        <v>1173.4545454545455</v>
      </c>
      <c r="P108" s="197">
        <f t="shared" si="2"/>
        <v>1183</v>
      </c>
      <c r="Q108" s="197">
        <f t="shared" si="2"/>
        <v>1173</v>
      </c>
      <c r="R108" s="197">
        <f t="shared" si="2"/>
        <v>1183</v>
      </c>
      <c r="S108" s="197">
        <f t="shared" si="2"/>
        <v>1173</v>
      </c>
      <c r="T108" s="197">
        <f t="shared" si="2"/>
        <v>1183</v>
      </c>
      <c r="U108" s="197">
        <f t="shared" si="2"/>
        <v>1173</v>
      </c>
      <c r="V108" s="197">
        <f t="shared" si="2"/>
        <v>1183</v>
      </c>
      <c r="W108" s="197">
        <f t="shared" si="2"/>
        <v>1173</v>
      </c>
      <c r="X108" s="197">
        <f t="shared" si="2"/>
        <v>1183</v>
      </c>
      <c r="Y108" s="197">
        <f t="shared" si="2"/>
        <v>1173</v>
      </c>
      <c r="Z108" s="57"/>
      <c r="AA108" s="57"/>
    </row>
    <row r="109" spans="1:27" ht="42" customHeight="1" x14ac:dyDescent="0.65">
      <c r="A109" s="224" t="s">
        <v>26</v>
      </c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</row>
    <row r="110" spans="1:27" ht="24.75" customHeight="1" thickBot="1" x14ac:dyDescent="0.7">
      <c r="A110" s="225" t="s">
        <v>71</v>
      </c>
      <c r="B110" s="225"/>
      <c r="C110" s="225"/>
      <c r="D110" s="225"/>
      <c r="E110" s="225"/>
      <c r="F110" s="22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</row>
    <row r="111" spans="1:27" s="58" customFormat="1" ht="25.5" thickBot="1" x14ac:dyDescent="0.7">
      <c r="A111" s="226" t="s">
        <v>2</v>
      </c>
      <c r="B111" s="231" t="s">
        <v>3</v>
      </c>
      <c r="C111" s="231"/>
      <c r="D111" s="231" t="s">
        <v>4</v>
      </c>
      <c r="E111" s="231"/>
      <c r="F111" s="231" t="s">
        <v>5</v>
      </c>
      <c r="G111" s="231"/>
      <c r="H111" s="231" t="s">
        <v>6</v>
      </c>
      <c r="I111" s="231"/>
      <c r="J111" s="231" t="s">
        <v>7</v>
      </c>
      <c r="K111" s="231"/>
      <c r="L111" s="231" t="s">
        <v>8</v>
      </c>
      <c r="M111" s="231"/>
      <c r="N111" s="231" t="s">
        <v>9</v>
      </c>
      <c r="O111" s="231"/>
      <c r="P111" s="231" t="s">
        <v>10</v>
      </c>
      <c r="Q111" s="231"/>
      <c r="R111" s="231" t="s">
        <v>11</v>
      </c>
      <c r="S111" s="231"/>
      <c r="T111" s="231" t="s">
        <v>12</v>
      </c>
      <c r="U111" s="231"/>
      <c r="V111" s="231" t="s">
        <v>21</v>
      </c>
      <c r="W111" s="231"/>
      <c r="X111" s="231" t="s">
        <v>14</v>
      </c>
      <c r="Y111" s="231"/>
    </row>
    <row r="112" spans="1:27" s="58" customFormat="1" ht="25.5" thickBot="1" x14ac:dyDescent="0.7">
      <c r="A112" s="227"/>
      <c r="B112" s="17" t="s">
        <v>74</v>
      </c>
      <c r="C112" s="17" t="s">
        <v>75</v>
      </c>
      <c r="D112" s="17" t="s">
        <v>74</v>
      </c>
      <c r="E112" s="17" t="s">
        <v>75</v>
      </c>
      <c r="F112" s="17" t="s">
        <v>74</v>
      </c>
      <c r="G112" s="17" t="s">
        <v>75</v>
      </c>
      <c r="H112" s="17" t="s">
        <v>74</v>
      </c>
      <c r="I112" s="17" t="s">
        <v>75</v>
      </c>
      <c r="J112" s="17" t="s">
        <v>74</v>
      </c>
      <c r="K112" s="17" t="s">
        <v>75</v>
      </c>
      <c r="L112" s="17" t="s">
        <v>74</v>
      </c>
      <c r="M112" s="17" t="s">
        <v>75</v>
      </c>
      <c r="N112" s="17" t="s">
        <v>74</v>
      </c>
      <c r="O112" s="17" t="s">
        <v>75</v>
      </c>
      <c r="P112" s="17" t="s">
        <v>74</v>
      </c>
      <c r="Q112" s="17" t="s">
        <v>75</v>
      </c>
      <c r="R112" s="17" t="s">
        <v>74</v>
      </c>
      <c r="S112" s="17" t="s">
        <v>75</v>
      </c>
      <c r="T112" s="17" t="s">
        <v>74</v>
      </c>
      <c r="U112" s="17" t="s">
        <v>75</v>
      </c>
      <c r="V112" s="17" t="s">
        <v>74</v>
      </c>
      <c r="W112" s="17" t="s">
        <v>75</v>
      </c>
      <c r="X112" s="17" t="s">
        <v>74</v>
      </c>
      <c r="Y112" s="17" t="s">
        <v>75</v>
      </c>
    </row>
    <row r="113" spans="1:25" s="58" customFormat="1" x14ac:dyDescent="0.65">
      <c r="A113" s="39">
        <v>1</v>
      </c>
      <c r="B113" s="24"/>
      <c r="C113" s="24"/>
      <c r="D113" s="24">
        <v>1183</v>
      </c>
      <c r="E113" s="24">
        <v>1173</v>
      </c>
      <c r="F113" s="24">
        <v>1183</v>
      </c>
      <c r="G113" s="24">
        <v>1173</v>
      </c>
      <c r="H113" s="24">
        <v>1183</v>
      </c>
      <c r="I113" s="24">
        <v>1173</v>
      </c>
      <c r="J113" s="24"/>
      <c r="K113" s="24"/>
      <c r="L113" s="24">
        <v>1183</v>
      </c>
      <c r="M113" s="24">
        <v>1175</v>
      </c>
      <c r="N113" s="24">
        <v>1183</v>
      </c>
      <c r="O113" s="24">
        <v>1177</v>
      </c>
      <c r="P113" s="24">
        <v>1183</v>
      </c>
      <c r="Q113" s="24">
        <v>1179</v>
      </c>
      <c r="R113" s="24">
        <v>1183</v>
      </c>
      <c r="S113" s="24">
        <v>1179</v>
      </c>
      <c r="T113" s="24"/>
      <c r="U113" s="24"/>
      <c r="V113" s="24">
        <v>1183</v>
      </c>
      <c r="W113" s="24">
        <v>1179</v>
      </c>
      <c r="X113" s="24">
        <v>1183</v>
      </c>
      <c r="Y113" s="24">
        <v>1183</v>
      </c>
    </row>
    <row r="114" spans="1:25" s="58" customFormat="1" x14ac:dyDescent="0.65">
      <c r="A114" s="108">
        <v>2</v>
      </c>
      <c r="B114" s="26"/>
      <c r="C114" s="26"/>
      <c r="D114" s="26">
        <v>1183</v>
      </c>
      <c r="E114" s="26">
        <v>1173</v>
      </c>
      <c r="F114" s="26">
        <v>1183</v>
      </c>
      <c r="G114" s="26">
        <v>1173</v>
      </c>
      <c r="H114" s="26"/>
      <c r="I114" s="26"/>
      <c r="J114" s="26">
        <v>1183</v>
      </c>
      <c r="K114" s="26">
        <v>1175</v>
      </c>
      <c r="L114" s="26">
        <v>1183</v>
      </c>
      <c r="M114" s="26">
        <v>1175</v>
      </c>
      <c r="N114" s="26"/>
      <c r="O114" s="26"/>
      <c r="P114" s="26">
        <v>1183</v>
      </c>
      <c r="Q114" s="26">
        <v>1179</v>
      </c>
      <c r="R114" s="26">
        <v>1183</v>
      </c>
      <c r="S114" s="26">
        <v>1179</v>
      </c>
      <c r="T114" s="26"/>
      <c r="U114" s="26"/>
      <c r="V114" s="26">
        <v>1183</v>
      </c>
      <c r="W114" s="26">
        <v>1179</v>
      </c>
      <c r="X114" s="26">
        <v>1183</v>
      </c>
      <c r="Y114" s="26">
        <v>1183</v>
      </c>
    </row>
    <row r="115" spans="1:25" s="58" customFormat="1" x14ac:dyDescent="0.65">
      <c r="A115" s="108">
        <v>3</v>
      </c>
      <c r="B115" s="26"/>
      <c r="C115" s="26"/>
      <c r="D115" s="26">
        <v>1183</v>
      </c>
      <c r="E115" s="26">
        <v>1173</v>
      </c>
      <c r="F115" s="26">
        <v>1183</v>
      </c>
      <c r="G115" s="26">
        <v>1173</v>
      </c>
      <c r="H115" s="26"/>
      <c r="I115" s="26"/>
      <c r="J115" s="26">
        <v>1183</v>
      </c>
      <c r="K115" s="26">
        <v>1175</v>
      </c>
      <c r="L115" s="26">
        <v>1183</v>
      </c>
      <c r="M115" s="26">
        <v>1175</v>
      </c>
      <c r="N115" s="26"/>
      <c r="O115" s="26"/>
      <c r="P115" s="26">
        <v>1183</v>
      </c>
      <c r="Q115" s="26">
        <v>1179</v>
      </c>
      <c r="R115" s="26"/>
      <c r="S115" s="26"/>
      <c r="T115" s="26">
        <v>1183</v>
      </c>
      <c r="U115" s="26">
        <v>1179</v>
      </c>
      <c r="V115" s="26">
        <v>1183</v>
      </c>
      <c r="W115" s="26">
        <v>1179</v>
      </c>
      <c r="X115" s="26"/>
      <c r="Y115" s="26"/>
    </row>
    <row r="116" spans="1:25" s="58" customFormat="1" x14ac:dyDescent="0.65">
      <c r="A116" s="108">
        <v>4</v>
      </c>
      <c r="B116" s="26">
        <v>1183</v>
      </c>
      <c r="C116" s="26">
        <v>1173</v>
      </c>
      <c r="D116" s="26">
        <v>1183</v>
      </c>
      <c r="E116" s="26">
        <v>1173</v>
      </c>
      <c r="F116" s="26"/>
      <c r="G116" s="26"/>
      <c r="H116" s="26">
        <v>1183</v>
      </c>
      <c r="I116" s="26">
        <v>1175</v>
      </c>
      <c r="J116" s="26">
        <v>1183</v>
      </c>
      <c r="K116" s="26">
        <v>1175</v>
      </c>
      <c r="L116" s="26"/>
      <c r="M116" s="26"/>
      <c r="N116" s="26">
        <v>1183</v>
      </c>
      <c r="O116" s="26">
        <v>1177</v>
      </c>
      <c r="P116" s="26">
        <v>1183</v>
      </c>
      <c r="Q116" s="26">
        <v>1179</v>
      </c>
      <c r="R116" s="26"/>
      <c r="S116" s="26"/>
      <c r="T116" s="26">
        <v>1183</v>
      </c>
      <c r="U116" s="26">
        <v>1179</v>
      </c>
      <c r="V116" s="26">
        <v>1183</v>
      </c>
      <c r="W116" s="26">
        <v>1179</v>
      </c>
      <c r="X116" s="26"/>
      <c r="Y116" s="26"/>
    </row>
    <row r="117" spans="1:25" s="58" customFormat="1" x14ac:dyDescent="0.65">
      <c r="A117" s="108">
        <v>5</v>
      </c>
      <c r="B117" s="26">
        <v>1183</v>
      </c>
      <c r="C117" s="26">
        <v>1173</v>
      </c>
      <c r="D117" s="26"/>
      <c r="E117" s="26"/>
      <c r="F117" s="26"/>
      <c r="G117" s="26"/>
      <c r="H117" s="26">
        <v>1183</v>
      </c>
      <c r="I117" s="26">
        <v>1175</v>
      </c>
      <c r="J117" s="26">
        <v>1183</v>
      </c>
      <c r="K117" s="26">
        <v>1175</v>
      </c>
      <c r="L117" s="26"/>
      <c r="M117" s="26"/>
      <c r="N117" s="26">
        <v>1183</v>
      </c>
      <c r="O117" s="26">
        <v>1177</v>
      </c>
      <c r="P117" s="26">
        <v>1183</v>
      </c>
      <c r="Q117" s="26">
        <v>1179</v>
      </c>
      <c r="R117" s="26">
        <v>1183</v>
      </c>
      <c r="S117" s="26">
        <v>1179</v>
      </c>
      <c r="T117" s="26">
        <v>1183</v>
      </c>
      <c r="U117" s="26">
        <v>1179</v>
      </c>
      <c r="V117" s="26"/>
      <c r="W117" s="26"/>
      <c r="X117" s="26">
        <v>1183</v>
      </c>
      <c r="Y117" s="26">
        <v>1183</v>
      </c>
    </row>
    <row r="118" spans="1:25" s="58" customFormat="1" x14ac:dyDescent="0.65">
      <c r="A118" s="108">
        <v>6</v>
      </c>
      <c r="B118" s="26"/>
      <c r="C118" s="26"/>
      <c r="D118" s="26"/>
      <c r="E118" s="26"/>
      <c r="F118" s="26"/>
      <c r="G118" s="26"/>
      <c r="H118" s="26">
        <v>1183</v>
      </c>
      <c r="I118" s="26">
        <v>1175</v>
      </c>
      <c r="J118" s="26">
        <v>1183</v>
      </c>
      <c r="K118" s="26">
        <v>1175</v>
      </c>
      <c r="L118" s="26">
        <v>1183</v>
      </c>
      <c r="M118" s="26">
        <v>1175</v>
      </c>
      <c r="N118" s="26">
        <v>1183</v>
      </c>
      <c r="O118" s="26">
        <v>1177</v>
      </c>
      <c r="P118" s="26"/>
      <c r="Q118" s="26"/>
      <c r="R118" s="26">
        <v>1183</v>
      </c>
      <c r="S118" s="26">
        <v>1179</v>
      </c>
      <c r="T118" s="26">
        <v>1183</v>
      </c>
      <c r="U118" s="26">
        <v>1179</v>
      </c>
      <c r="V118" s="26"/>
      <c r="W118" s="26"/>
      <c r="X118" s="26">
        <v>1183</v>
      </c>
      <c r="Y118" s="26">
        <v>1183</v>
      </c>
    </row>
    <row r="119" spans="1:25" s="58" customFormat="1" x14ac:dyDescent="0.65">
      <c r="A119" s="108">
        <v>7</v>
      </c>
      <c r="B119" s="26">
        <v>1183</v>
      </c>
      <c r="C119" s="26">
        <v>1173</v>
      </c>
      <c r="D119" s="26">
        <v>1183</v>
      </c>
      <c r="E119" s="26">
        <v>1173</v>
      </c>
      <c r="F119" s="26"/>
      <c r="G119" s="26"/>
      <c r="H119" s="26">
        <v>1183</v>
      </c>
      <c r="I119" s="26">
        <v>1175</v>
      </c>
      <c r="J119" s="26"/>
      <c r="K119" s="26"/>
      <c r="L119" s="26">
        <v>1183</v>
      </c>
      <c r="M119" s="26">
        <v>1175</v>
      </c>
      <c r="N119" s="26">
        <v>1183</v>
      </c>
      <c r="O119" s="26"/>
      <c r="P119" s="26"/>
      <c r="Q119" s="26"/>
      <c r="R119" s="26">
        <v>1183</v>
      </c>
      <c r="S119" s="26">
        <v>1179</v>
      </c>
      <c r="T119" s="26">
        <v>1183</v>
      </c>
      <c r="U119" s="26">
        <v>1179</v>
      </c>
      <c r="V119" s="26">
        <v>1183</v>
      </c>
      <c r="W119" s="26">
        <v>1179</v>
      </c>
      <c r="X119" s="26"/>
      <c r="Y119" s="53"/>
    </row>
    <row r="120" spans="1:25" s="58" customFormat="1" x14ac:dyDescent="0.65">
      <c r="A120" s="108">
        <v>8</v>
      </c>
      <c r="B120" s="26"/>
      <c r="C120" s="26"/>
      <c r="D120" s="26">
        <v>1183</v>
      </c>
      <c r="E120" s="26">
        <v>1173</v>
      </c>
      <c r="F120" s="26"/>
      <c r="G120" s="26"/>
      <c r="H120" s="26">
        <v>1183</v>
      </c>
      <c r="I120" s="26">
        <v>1175</v>
      </c>
      <c r="J120" s="26"/>
      <c r="K120" s="26"/>
      <c r="L120" s="26">
        <v>1183</v>
      </c>
      <c r="M120" s="26">
        <v>1175</v>
      </c>
      <c r="N120" s="26">
        <v>1183</v>
      </c>
      <c r="O120" s="26"/>
      <c r="P120" s="26">
        <v>1183</v>
      </c>
      <c r="Q120" s="26">
        <v>1179</v>
      </c>
      <c r="R120" s="26">
        <v>1183</v>
      </c>
      <c r="S120" s="26">
        <v>1179</v>
      </c>
      <c r="T120" s="26"/>
      <c r="U120" s="26"/>
      <c r="V120" s="26">
        <v>1183</v>
      </c>
      <c r="W120" s="26">
        <v>1179</v>
      </c>
      <c r="X120" s="26">
        <v>1183</v>
      </c>
      <c r="Y120" s="26">
        <v>1183</v>
      </c>
    </row>
    <row r="121" spans="1:25" s="58" customFormat="1" x14ac:dyDescent="0.65">
      <c r="A121" s="108">
        <v>9</v>
      </c>
      <c r="B121" s="26"/>
      <c r="C121" s="26"/>
      <c r="D121" s="26">
        <v>1183</v>
      </c>
      <c r="E121" s="26">
        <v>1173</v>
      </c>
      <c r="F121" s="26">
        <v>1183</v>
      </c>
      <c r="G121" s="26">
        <v>1173</v>
      </c>
      <c r="H121" s="26"/>
      <c r="I121" s="26"/>
      <c r="J121" s="26">
        <v>1183</v>
      </c>
      <c r="K121" s="26">
        <v>1175</v>
      </c>
      <c r="L121" s="26">
        <v>1183</v>
      </c>
      <c r="M121" s="26">
        <v>1175</v>
      </c>
      <c r="N121" s="26"/>
      <c r="O121" s="26"/>
      <c r="P121" s="26">
        <v>1183</v>
      </c>
      <c r="Q121" s="26">
        <v>1179</v>
      </c>
      <c r="R121" s="26"/>
      <c r="S121" s="26"/>
      <c r="T121" s="26"/>
      <c r="U121" s="26"/>
      <c r="V121" s="26">
        <v>1183</v>
      </c>
      <c r="W121" s="26">
        <v>1179</v>
      </c>
      <c r="X121" s="26">
        <v>1183</v>
      </c>
      <c r="Y121" s="26">
        <v>1183</v>
      </c>
    </row>
    <row r="122" spans="1:25" s="58" customFormat="1" x14ac:dyDescent="0.65">
      <c r="A122" s="108">
        <v>10</v>
      </c>
      <c r="B122" s="26">
        <v>1183</v>
      </c>
      <c r="C122" s="26">
        <v>1173</v>
      </c>
      <c r="D122" s="26">
        <v>1183</v>
      </c>
      <c r="E122" s="26">
        <v>1173</v>
      </c>
      <c r="F122" s="26">
        <v>1183</v>
      </c>
      <c r="G122" s="26">
        <v>1173</v>
      </c>
      <c r="H122" s="26"/>
      <c r="I122" s="26"/>
      <c r="J122" s="26">
        <v>1183</v>
      </c>
      <c r="K122" s="26">
        <v>1175</v>
      </c>
      <c r="L122" s="26">
        <v>1183</v>
      </c>
      <c r="M122" s="26">
        <v>1175</v>
      </c>
      <c r="N122" s="26"/>
      <c r="O122" s="26"/>
      <c r="P122" s="26">
        <v>1183</v>
      </c>
      <c r="Q122" s="26">
        <v>1179</v>
      </c>
      <c r="R122" s="26"/>
      <c r="S122" s="26"/>
      <c r="T122" s="26">
        <v>1183</v>
      </c>
      <c r="U122" s="26">
        <v>1179</v>
      </c>
      <c r="V122" s="26">
        <v>1183</v>
      </c>
      <c r="W122" s="26">
        <v>1179</v>
      </c>
      <c r="X122" s="26"/>
      <c r="Y122" s="26"/>
    </row>
    <row r="123" spans="1:25" s="58" customFormat="1" x14ac:dyDescent="0.65">
      <c r="A123" s="108">
        <v>11</v>
      </c>
      <c r="B123" s="26">
        <v>1183</v>
      </c>
      <c r="C123" s="26">
        <v>1173</v>
      </c>
      <c r="D123" s="26">
        <v>1183</v>
      </c>
      <c r="E123" s="26">
        <v>1183</v>
      </c>
      <c r="F123" s="26">
        <v>1183</v>
      </c>
      <c r="G123" s="26">
        <v>1173</v>
      </c>
      <c r="H123" s="26">
        <v>1183</v>
      </c>
      <c r="I123" s="26">
        <v>1175</v>
      </c>
      <c r="J123" s="26">
        <v>1183</v>
      </c>
      <c r="K123" s="26">
        <v>1175</v>
      </c>
      <c r="L123" s="26"/>
      <c r="M123" s="26"/>
      <c r="N123" s="26">
        <v>1183</v>
      </c>
      <c r="O123" s="26">
        <v>1177</v>
      </c>
      <c r="P123" s="26">
        <v>1183</v>
      </c>
      <c r="Q123" s="26">
        <v>1179</v>
      </c>
      <c r="R123" s="26"/>
      <c r="S123" s="26"/>
      <c r="T123" s="26">
        <v>1183</v>
      </c>
      <c r="U123" s="26">
        <v>1179</v>
      </c>
      <c r="V123" s="26">
        <v>1183</v>
      </c>
      <c r="W123" s="26">
        <v>1179</v>
      </c>
      <c r="X123" s="26"/>
      <c r="Y123" s="26"/>
    </row>
    <row r="124" spans="1:25" s="58" customFormat="1" x14ac:dyDescent="0.65">
      <c r="A124" s="108">
        <v>12</v>
      </c>
      <c r="B124" s="26"/>
      <c r="C124" s="26"/>
      <c r="D124" s="26"/>
      <c r="E124" s="26"/>
      <c r="F124" s="26"/>
      <c r="G124" s="26"/>
      <c r="H124" s="26">
        <v>1183</v>
      </c>
      <c r="I124" s="26">
        <v>1175</v>
      </c>
      <c r="J124" s="26">
        <v>1183</v>
      </c>
      <c r="K124" s="26">
        <v>1175</v>
      </c>
      <c r="L124" s="26"/>
      <c r="M124" s="26"/>
      <c r="N124" s="26">
        <v>1183</v>
      </c>
      <c r="O124" s="26">
        <v>1177</v>
      </c>
      <c r="P124" s="26">
        <v>1183</v>
      </c>
      <c r="Q124" s="26">
        <v>1179</v>
      </c>
      <c r="R124" s="26"/>
      <c r="S124" s="26"/>
      <c r="T124" s="26">
        <v>1183</v>
      </c>
      <c r="U124" s="26">
        <v>1179</v>
      </c>
      <c r="V124" s="26"/>
      <c r="W124" s="26"/>
      <c r="X124" s="26">
        <v>1183</v>
      </c>
      <c r="Y124" s="26">
        <v>1183</v>
      </c>
    </row>
    <row r="125" spans="1:25" s="58" customFormat="1" x14ac:dyDescent="0.65">
      <c r="A125" s="108">
        <v>13</v>
      </c>
      <c r="B125" s="26">
        <v>1183</v>
      </c>
      <c r="C125" s="26">
        <v>1173</v>
      </c>
      <c r="D125" s="26"/>
      <c r="E125" s="26"/>
      <c r="F125" s="26"/>
      <c r="G125" s="26"/>
      <c r="H125" s="26">
        <v>1183</v>
      </c>
      <c r="I125" s="26">
        <v>1175</v>
      </c>
      <c r="J125" s="26">
        <v>1183</v>
      </c>
      <c r="K125" s="26">
        <v>1175</v>
      </c>
      <c r="L125" s="26">
        <v>1183</v>
      </c>
      <c r="M125" s="26">
        <v>1177</v>
      </c>
      <c r="N125" s="26">
        <v>1183</v>
      </c>
      <c r="O125" s="26">
        <v>1177</v>
      </c>
      <c r="P125" s="26"/>
      <c r="Q125" s="26"/>
      <c r="R125" s="26"/>
      <c r="S125" s="26"/>
      <c r="T125" s="26">
        <v>1183</v>
      </c>
      <c r="U125" s="26">
        <v>1179</v>
      </c>
      <c r="V125" s="26"/>
      <c r="W125" s="26"/>
      <c r="X125" s="26">
        <v>1183</v>
      </c>
      <c r="Y125" s="26">
        <v>1183</v>
      </c>
    </row>
    <row r="126" spans="1:25" s="58" customFormat="1" x14ac:dyDescent="0.65">
      <c r="A126" s="108">
        <v>14</v>
      </c>
      <c r="B126" s="26">
        <v>1183</v>
      </c>
      <c r="C126" s="26">
        <v>1173</v>
      </c>
      <c r="D126" s="26">
        <v>1183</v>
      </c>
      <c r="E126" s="26">
        <v>1173</v>
      </c>
      <c r="F126" s="26">
        <v>1183</v>
      </c>
      <c r="G126" s="26">
        <v>1173</v>
      </c>
      <c r="H126" s="26">
        <v>1183</v>
      </c>
      <c r="I126" s="26">
        <v>1175</v>
      </c>
      <c r="J126" s="26"/>
      <c r="K126" s="26"/>
      <c r="L126" s="26">
        <v>1183</v>
      </c>
      <c r="M126" s="26">
        <v>1177</v>
      </c>
      <c r="N126" s="26">
        <v>1183</v>
      </c>
      <c r="O126" s="26"/>
      <c r="P126" s="26"/>
      <c r="Q126" s="26"/>
      <c r="R126" s="26">
        <v>1183</v>
      </c>
      <c r="S126" s="26">
        <v>1179</v>
      </c>
      <c r="T126" s="26">
        <v>1183</v>
      </c>
      <c r="U126" s="26">
        <v>1179</v>
      </c>
      <c r="V126" s="26">
        <v>1183</v>
      </c>
      <c r="W126" s="26">
        <v>1179</v>
      </c>
      <c r="X126" s="26">
        <v>1183</v>
      </c>
      <c r="Y126" s="26">
        <v>1183</v>
      </c>
    </row>
    <row r="127" spans="1:25" s="58" customFormat="1" x14ac:dyDescent="0.65">
      <c r="A127" s="108">
        <v>15</v>
      </c>
      <c r="B127" s="26"/>
      <c r="C127" s="26"/>
      <c r="D127" s="26">
        <v>1183</v>
      </c>
      <c r="E127" s="26">
        <v>1173</v>
      </c>
      <c r="F127" s="26">
        <v>1183</v>
      </c>
      <c r="G127" s="26">
        <v>1173</v>
      </c>
      <c r="H127" s="26">
        <v>1183</v>
      </c>
      <c r="I127" s="26">
        <v>1175</v>
      </c>
      <c r="J127" s="26"/>
      <c r="K127" s="26"/>
      <c r="L127" s="26">
        <v>1183</v>
      </c>
      <c r="M127" s="26">
        <v>1177</v>
      </c>
      <c r="N127" s="26">
        <v>1183</v>
      </c>
      <c r="O127" s="26">
        <v>1177</v>
      </c>
      <c r="P127" s="26">
        <v>1183</v>
      </c>
      <c r="Q127" s="26">
        <v>1179</v>
      </c>
      <c r="R127" s="26">
        <v>1183</v>
      </c>
      <c r="S127" s="26">
        <v>1179</v>
      </c>
      <c r="T127" s="26"/>
      <c r="U127" s="26"/>
      <c r="V127" s="26">
        <v>1183</v>
      </c>
      <c r="W127" s="26">
        <v>1179</v>
      </c>
      <c r="X127" s="26">
        <v>1183</v>
      </c>
      <c r="Y127" s="26">
        <v>1183</v>
      </c>
    </row>
    <row r="128" spans="1:25" s="58" customFormat="1" x14ac:dyDescent="0.65">
      <c r="A128" s="108">
        <v>16</v>
      </c>
      <c r="B128" s="26"/>
      <c r="C128" s="26"/>
      <c r="D128" s="26">
        <v>1183</v>
      </c>
      <c r="E128" s="26">
        <v>1173</v>
      </c>
      <c r="F128" s="26">
        <v>1183</v>
      </c>
      <c r="G128" s="26">
        <v>1173</v>
      </c>
      <c r="H128" s="26"/>
      <c r="I128" s="26"/>
      <c r="J128" s="26">
        <v>1183</v>
      </c>
      <c r="K128" s="26">
        <v>1175</v>
      </c>
      <c r="L128" s="26">
        <v>1183</v>
      </c>
      <c r="M128" s="26">
        <v>1177</v>
      </c>
      <c r="N128" s="26"/>
      <c r="O128" s="26"/>
      <c r="P128" s="26">
        <v>1183</v>
      </c>
      <c r="Q128" s="26">
        <v>1179</v>
      </c>
      <c r="R128" s="26">
        <v>1183</v>
      </c>
      <c r="S128" s="26">
        <v>1179</v>
      </c>
      <c r="T128" s="26"/>
      <c r="U128" s="26"/>
      <c r="V128" s="26"/>
      <c r="W128" s="26"/>
      <c r="X128" s="26"/>
      <c r="Y128" s="53"/>
    </row>
    <row r="129" spans="1:27" s="58" customFormat="1" x14ac:dyDescent="0.65">
      <c r="A129" s="108">
        <v>17</v>
      </c>
      <c r="B129" s="26">
        <v>1183</v>
      </c>
      <c r="C129" s="26">
        <v>1173</v>
      </c>
      <c r="D129" s="26">
        <v>1183</v>
      </c>
      <c r="E129" s="26">
        <v>1173</v>
      </c>
      <c r="F129" s="26">
        <v>1183</v>
      </c>
      <c r="G129" s="26">
        <v>1173</v>
      </c>
      <c r="H129" s="26"/>
      <c r="I129" s="26"/>
      <c r="J129" s="26">
        <v>1183</v>
      </c>
      <c r="K129" s="26">
        <v>1175</v>
      </c>
      <c r="L129" s="26">
        <v>1183</v>
      </c>
      <c r="M129" s="26">
        <v>1177</v>
      </c>
      <c r="N129" s="26"/>
      <c r="O129" s="26"/>
      <c r="P129" s="26">
        <v>1183</v>
      </c>
      <c r="Q129" s="26">
        <v>1179</v>
      </c>
      <c r="R129" s="26"/>
      <c r="S129" s="26"/>
      <c r="T129" s="26">
        <v>1183</v>
      </c>
      <c r="U129" s="26">
        <v>1179</v>
      </c>
      <c r="V129" s="26"/>
      <c r="W129" s="26"/>
      <c r="X129" s="26"/>
      <c r="Y129" s="26"/>
    </row>
    <row r="130" spans="1:27" s="58" customFormat="1" x14ac:dyDescent="0.65">
      <c r="A130" s="108">
        <v>18</v>
      </c>
      <c r="B130" s="26">
        <v>1183</v>
      </c>
      <c r="C130" s="26">
        <v>1173</v>
      </c>
      <c r="D130" s="26">
        <v>1183</v>
      </c>
      <c r="E130" s="26">
        <v>1173</v>
      </c>
      <c r="F130" s="26">
        <v>1183</v>
      </c>
      <c r="G130" s="26">
        <v>1173</v>
      </c>
      <c r="H130" s="26">
        <v>1183</v>
      </c>
      <c r="I130" s="26">
        <v>1175</v>
      </c>
      <c r="J130" s="26">
        <v>1183</v>
      </c>
      <c r="K130" s="26">
        <v>1175</v>
      </c>
      <c r="L130" s="26"/>
      <c r="M130" s="26"/>
      <c r="N130" s="26">
        <v>1183</v>
      </c>
      <c r="O130" s="26">
        <v>1177</v>
      </c>
      <c r="P130" s="26">
        <v>1183</v>
      </c>
      <c r="Q130" s="26">
        <v>1179</v>
      </c>
      <c r="R130" s="26"/>
      <c r="S130" s="26"/>
      <c r="T130" s="26">
        <v>1183</v>
      </c>
      <c r="U130" s="26">
        <v>1179</v>
      </c>
      <c r="V130" s="26"/>
      <c r="W130" s="26"/>
      <c r="X130" s="26"/>
      <c r="Y130" s="26"/>
    </row>
    <row r="131" spans="1:27" s="58" customFormat="1" x14ac:dyDescent="0.65">
      <c r="A131" s="108">
        <v>19</v>
      </c>
      <c r="B131" s="26">
        <v>1183</v>
      </c>
      <c r="C131" s="26">
        <v>1173</v>
      </c>
      <c r="D131" s="26"/>
      <c r="E131" s="26">
        <v>1173</v>
      </c>
      <c r="F131" s="26"/>
      <c r="G131" s="26"/>
      <c r="H131" s="26">
        <v>1183</v>
      </c>
      <c r="I131" s="26">
        <v>1175</v>
      </c>
      <c r="J131" s="26">
        <v>1183</v>
      </c>
      <c r="K131" s="26">
        <v>1175</v>
      </c>
      <c r="L131" s="26"/>
      <c r="M131" s="26"/>
      <c r="N131" s="26">
        <v>1183</v>
      </c>
      <c r="O131" s="26">
        <v>1177</v>
      </c>
      <c r="P131" s="26">
        <v>1183</v>
      </c>
      <c r="Q131" s="26">
        <v>1179</v>
      </c>
      <c r="R131" s="26">
        <v>1183</v>
      </c>
      <c r="S131" s="26">
        <v>1179</v>
      </c>
      <c r="T131" s="26">
        <v>1183</v>
      </c>
      <c r="U131" s="26">
        <v>1179</v>
      </c>
      <c r="V131" s="26"/>
      <c r="W131" s="26"/>
      <c r="X131" s="26">
        <v>1183</v>
      </c>
      <c r="Y131" s="26">
        <v>1183</v>
      </c>
    </row>
    <row r="132" spans="1:27" s="58" customFormat="1" x14ac:dyDescent="0.65">
      <c r="A132" s="108">
        <v>20</v>
      </c>
      <c r="B132" s="26">
        <v>1183</v>
      </c>
      <c r="C132" s="26">
        <v>1173</v>
      </c>
      <c r="D132" s="26"/>
      <c r="E132" s="26">
        <v>1173</v>
      </c>
      <c r="F132" s="26"/>
      <c r="G132" s="26"/>
      <c r="H132" s="26">
        <v>1183</v>
      </c>
      <c r="I132" s="26">
        <v>1175</v>
      </c>
      <c r="J132" s="26">
        <v>1183</v>
      </c>
      <c r="K132" s="26">
        <v>1175</v>
      </c>
      <c r="L132" s="26">
        <v>1183</v>
      </c>
      <c r="M132" s="26">
        <v>1177</v>
      </c>
      <c r="N132" s="26">
        <v>1183</v>
      </c>
      <c r="O132" s="26">
        <v>1177</v>
      </c>
      <c r="P132" s="26"/>
      <c r="Q132" s="26"/>
      <c r="R132" s="26">
        <v>1183</v>
      </c>
      <c r="S132" s="26">
        <v>1179</v>
      </c>
      <c r="T132" s="26">
        <v>1183</v>
      </c>
      <c r="U132" s="26">
        <v>1179</v>
      </c>
      <c r="V132" s="26"/>
      <c r="W132" s="26"/>
      <c r="X132" s="26">
        <v>1183</v>
      </c>
      <c r="Y132" s="26">
        <v>1183</v>
      </c>
    </row>
    <row r="133" spans="1:27" s="58" customFormat="1" x14ac:dyDescent="0.65">
      <c r="A133" s="108">
        <v>21</v>
      </c>
      <c r="B133" s="26">
        <v>1183</v>
      </c>
      <c r="C133" s="26">
        <v>1173</v>
      </c>
      <c r="D133" s="26">
        <v>1183</v>
      </c>
      <c r="E133" s="26">
        <v>1173</v>
      </c>
      <c r="F133" s="26"/>
      <c r="G133" s="26"/>
      <c r="H133" s="26">
        <v>1183</v>
      </c>
      <c r="I133" s="26">
        <v>1175</v>
      </c>
      <c r="J133" s="26"/>
      <c r="K133" s="26"/>
      <c r="L133" s="26">
        <v>1183</v>
      </c>
      <c r="M133" s="26">
        <v>1177</v>
      </c>
      <c r="N133" s="26">
        <v>1183</v>
      </c>
      <c r="O133" s="26">
        <v>1177</v>
      </c>
      <c r="P133" s="26"/>
      <c r="Q133" s="26"/>
      <c r="R133" s="26">
        <v>1183</v>
      </c>
      <c r="S133" s="26">
        <v>1179</v>
      </c>
      <c r="T133" s="26">
        <v>1183</v>
      </c>
      <c r="U133" s="26">
        <v>1179</v>
      </c>
      <c r="V133" s="26">
        <v>1183</v>
      </c>
      <c r="W133" s="26">
        <v>1183</v>
      </c>
      <c r="X133" s="26">
        <v>1183</v>
      </c>
      <c r="Y133" s="26">
        <v>1183</v>
      </c>
    </row>
    <row r="134" spans="1:27" s="58" customFormat="1" x14ac:dyDescent="0.65">
      <c r="A134" s="108">
        <v>22</v>
      </c>
      <c r="B134" s="26"/>
      <c r="C134" s="26"/>
      <c r="D134" s="26">
        <v>1183</v>
      </c>
      <c r="E134" s="26">
        <v>1173</v>
      </c>
      <c r="F134" s="26">
        <v>1183</v>
      </c>
      <c r="G134" s="26">
        <v>1173</v>
      </c>
      <c r="H134" s="26">
        <v>1183</v>
      </c>
      <c r="I134" s="26">
        <v>1175</v>
      </c>
      <c r="J134" s="26"/>
      <c r="K134" s="26"/>
      <c r="L134" s="26">
        <v>1183</v>
      </c>
      <c r="M134" s="26">
        <v>1177</v>
      </c>
      <c r="N134" s="26">
        <v>1183</v>
      </c>
      <c r="O134" s="26">
        <v>1177</v>
      </c>
      <c r="P134" s="26">
        <v>1183</v>
      </c>
      <c r="Q134" s="26">
        <v>1179</v>
      </c>
      <c r="R134" s="26">
        <v>1183</v>
      </c>
      <c r="S134" s="26">
        <v>1179</v>
      </c>
      <c r="T134" s="26"/>
      <c r="U134" s="26"/>
      <c r="V134" s="26">
        <v>1183</v>
      </c>
      <c r="W134" s="26">
        <v>1183</v>
      </c>
      <c r="X134" s="26">
        <v>1183</v>
      </c>
      <c r="Y134" s="26">
        <v>1183</v>
      </c>
    </row>
    <row r="135" spans="1:27" s="58" customFormat="1" x14ac:dyDescent="0.65">
      <c r="A135" s="108">
        <v>23</v>
      </c>
      <c r="B135" s="26"/>
      <c r="C135" s="26"/>
      <c r="D135" s="26">
        <v>1183</v>
      </c>
      <c r="E135" s="26">
        <v>1173</v>
      </c>
      <c r="F135" s="26">
        <v>1183</v>
      </c>
      <c r="G135" s="26">
        <v>1173</v>
      </c>
      <c r="H135" s="26"/>
      <c r="I135" s="26"/>
      <c r="J135" s="26">
        <v>1183</v>
      </c>
      <c r="K135" s="26">
        <v>1175</v>
      </c>
      <c r="L135" s="26">
        <v>1183</v>
      </c>
      <c r="M135" s="26">
        <v>1177</v>
      </c>
      <c r="N135" s="26"/>
      <c r="O135" s="26"/>
      <c r="P135" s="26">
        <v>1183</v>
      </c>
      <c r="Q135" s="26">
        <v>1179</v>
      </c>
      <c r="R135" s="26">
        <v>1183</v>
      </c>
      <c r="S135" s="26">
        <v>1179</v>
      </c>
      <c r="T135" s="26"/>
      <c r="U135" s="26"/>
      <c r="V135" s="26">
        <v>1183</v>
      </c>
      <c r="W135" s="26">
        <v>1183</v>
      </c>
      <c r="X135" s="26">
        <v>1183</v>
      </c>
      <c r="Y135" s="26">
        <v>1183</v>
      </c>
    </row>
    <row r="136" spans="1:27" s="58" customFormat="1" x14ac:dyDescent="0.65">
      <c r="A136" s="108">
        <v>24</v>
      </c>
      <c r="B136" s="26">
        <v>1183</v>
      </c>
      <c r="C136" s="26">
        <v>1173</v>
      </c>
      <c r="D136" s="26">
        <v>1183</v>
      </c>
      <c r="E136" s="26">
        <v>1173</v>
      </c>
      <c r="F136" s="26">
        <v>1183</v>
      </c>
      <c r="G136" s="26">
        <v>1173</v>
      </c>
      <c r="H136" s="26"/>
      <c r="I136" s="26"/>
      <c r="J136" s="26">
        <v>1183</v>
      </c>
      <c r="K136" s="26">
        <v>1175</v>
      </c>
      <c r="L136" s="26">
        <v>1183</v>
      </c>
      <c r="M136" s="26">
        <v>1177</v>
      </c>
      <c r="N136" s="26"/>
      <c r="O136" s="26"/>
      <c r="P136" s="26">
        <v>1183</v>
      </c>
      <c r="Q136" s="26">
        <v>1179</v>
      </c>
      <c r="R136" s="26"/>
      <c r="S136" s="26"/>
      <c r="T136" s="26">
        <v>1183</v>
      </c>
      <c r="U136" s="26">
        <v>1179</v>
      </c>
      <c r="V136" s="26">
        <v>1183</v>
      </c>
      <c r="W136" s="26">
        <v>1183</v>
      </c>
      <c r="X136" s="26"/>
      <c r="Y136" s="26"/>
    </row>
    <row r="137" spans="1:27" s="58" customFormat="1" x14ac:dyDescent="0.65">
      <c r="A137" s="108">
        <v>25</v>
      </c>
      <c r="B137" s="26">
        <v>1183</v>
      </c>
      <c r="C137" s="26">
        <v>1173</v>
      </c>
      <c r="D137" s="26">
        <v>1183</v>
      </c>
      <c r="E137" s="26">
        <v>1173</v>
      </c>
      <c r="F137" s="26">
        <v>1183</v>
      </c>
      <c r="G137" s="26">
        <v>1173</v>
      </c>
      <c r="H137" s="26">
        <v>1183</v>
      </c>
      <c r="I137" s="26">
        <v>1175</v>
      </c>
      <c r="J137" s="26">
        <v>1183</v>
      </c>
      <c r="K137" s="26">
        <v>1175</v>
      </c>
      <c r="L137" s="26"/>
      <c r="M137" s="26"/>
      <c r="N137" s="26">
        <v>1183</v>
      </c>
      <c r="O137" s="26">
        <v>1177</v>
      </c>
      <c r="P137" s="26">
        <v>1183</v>
      </c>
      <c r="Q137" s="26">
        <v>1179</v>
      </c>
      <c r="R137" s="26"/>
      <c r="S137" s="26"/>
      <c r="T137" s="26">
        <v>1183</v>
      </c>
      <c r="U137" s="26">
        <v>1179</v>
      </c>
      <c r="V137" s="26">
        <v>1183</v>
      </c>
      <c r="W137" s="26">
        <v>1183</v>
      </c>
      <c r="X137" s="26"/>
      <c r="Y137" s="26"/>
    </row>
    <row r="138" spans="1:27" s="58" customFormat="1" x14ac:dyDescent="0.65">
      <c r="A138" s="108">
        <v>26</v>
      </c>
      <c r="B138" s="26">
        <v>1183</v>
      </c>
      <c r="C138" s="26">
        <v>1173</v>
      </c>
      <c r="D138" s="26"/>
      <c r="E138" s="26"/>
      <c r="F138" s="26"/>
      <c r="G138" s="26"/>
      <c r="H138" s="26">
        <v>1183</v>
      </c>
      <c r="I138" s="26">
        <v>1175</v>
      </c>
      <c r="J138" s="26">
        <v>1183</v>
      </c>
      <c r="K138" s="26">
        <v>1175</v>
      </c>
      <c r="L138" s="26"/>
      <c r="M138" s="26"/>
      <c r="N138" s="26">
        <v>1183</v>
      </c>
      <c r="O138" s="26">
        <v>1177</v>
      </c>
      <c r="P138" s="26">
        <v>1183</v>
      </c>
      <c r="Q138" s="26">
        <v>1179</v>
      </c>
      <c r="R138" s="26">
        <v>1183</v>
      </c>
      <c r="S138" s="26">
        <v>1179</v>
      </c>
      <c r="T138" s="26">
        <v>1183</v>
      </c>
      <c r="U138" s="26">
        <v>1179</v>
      </c>
      <c r="V138" s="26"/>
      <c r="W138" s="26"/>
      <c r="X138" s="26">
        <v>1183</v>
      </c>
      <c r="Y138" s="26">
        <v>1183</v>
      </c>
    </row>
    <row r="139" spans="1:27" s="58" customFormat="1" x14ac:dyDescent="0.65">
      <c r="A139" s="108">
        <v>27</v>
      </c>
      <c r="B139" s="26">
        <v>1183</v>
      </c>
      <c r="C139" s="26">
        <v>1173</v>
      </c>
      <c r="D139" s="26"/>
      <c r="E139" s="26"/>
      <c r="F139" s="26"/>
      <c r="G139" s="26"/>
      <c r="H139" s="26">
        <v>1183</v>
      </c>
      <c r="I139" s="26">
        <v>1175</v>
      </c>
      <c r="J139" s="26">
        <v>1183</v>
      </c>
      <c r="K139" s="26">
        <v>1175</v>
      </c>
      <c r="L139" s="26">
        <v>1183</v>
      </c>
      <c r="M139" s="26">
        <v>1177</v>
      </c>
      <c r="N139" s="26">
        <v>1183</v>
      </c>
      <c r="O139" s="26">
        <v>1177</v>
      </c>
      <c r="P139" s="26"/>
      <c r="Q139" s="26"/>
      <c r="R139" s="26">
        <v>1183</v>
      </c>
      <c r="S139" s="26">
        <v>1179</v>
      </c>
      <c r="T139" s="26">
        <v>1183</v>
      </c>
      <c r="U139" s="26">
        <v>1179</v>
      </c>
      <c r="V139" s="26"/>
      <c r="W139" s="26"/>
      <c r="X139" s="26">
        <v>1183</v>
      </c>
      <c r="Y139" s="26">
        <v>1183</v>
      </c>
    </row>
    <row r="140" spans="1:27" s="58" customFormat="1" x14ac:dyDescent="0.65">
      <c r="A140" s="108">
        <v>28</v>
      </c>
      <c r="B140" s="26">
        <v>1183</v>
      </c>
      <c r="C140" s="26">
        <v>1173</v>
      </c>
      <c r="D140" s="26">
        <v>1183</v>
      </c>
      <c r="E140" s="26">
        <v>1173</v>
      </c>
      <c r="F140" s="26">
        <v>1183</v>
      </c>
      <c r="G140" s="26">
        <v>1173</v>
      </c>
      <c r="H140" s="26">
        <v>1183</v>
      </c>
      <c r="I140" s="26">
        <v>1175</v>
      </c>
      <c r="J140" s="26"/>
      <c r="K140" s="26"/>
      <c r="L140" s="26">
        <v>1183</v>
      </c>
      <c r="M140" s="26">
        <v>1177</v>
      </c>
      <c r="N140" s="26">
        <v>1183</v>
      </c>
      <c r="O140" s="26">
        <v>1177</v>
      </c>
      <c r="P140" s="26"/>
      <c r="Q140" s="26"/>
      <c r="R140" s="26">
        <v>1183</v>
      </c>
      <c r="S140" s="26">
        <v>1179</v>
      </c>
      <c r="T140" s="26">
        <v>1183</v>
      </c>
      <c r="U140" s="26">
        <v>1179</v>
      </c>
      <c r="V140" s="26">
        <v>1183</v>
      </c>
      <c r="W140" s="26">
        <v>1183</v>
      </c>
      <c r="X140" s="26">
        <v>1183</v>
      </c>
      <c r="Y140" s="26">
        <v>1183</v>
      </c>
    </row>
    <row r="141" spans="1:27" s="58" customFormat="1" x14ac:dyDescent="0.65">
      <c r="A141" s="108">
        <v>29</v>
      </c>
      <c r="B141" s="26"/>
      <c r="C141" s="12"/>
      <c r="D141" s="27"/>
      <c r="E141" s="27"/>
      <c r="F141" s="26">
        <v>1183</v>
      </c>
      <c r="G141" s="26">
        <v>1173</v>
      </c>
      <c r="H141" s="26">
        <v>1183</v>
      </c>
      <c r="I141" s="26">
        <v>1175</v>
      </c>
      <c r="J141" s="26"/>
      <c r="K141" s="26"/>
      <c r="L141" s="26">
        <v>1183</v>
      </c>
      <c r="M141" s="26">
        <v>1177</v>
      </c>
      <c r="N141" s="26">
        <v>1183</v>
      </c>
      <c r="O141" s="26">
        <v>1177</v>
      </c>
      <c r="P141" s="26">
        <v>1183</v>
      </c>
      <c r="Q141" s="26">
        <v>1179</v>
      </c>
      <c r="R141" s="26">
        <v>1183</v>
      </c>
      <c r="S141" s="26">
        <v>1179</v>
      </c>
      <c r="T141" s="26"/>
      <c r="U141" s="26"/>
      <c r="V141" s="26">
        <v>1183</v>
      </c>
      <c r="W141" s="26">
        <v>1183</v>
      </c>
      <c r="X141" s="26">
        <v>1183</v>
      </c>
      <c r="Y141" s="26">
        <v>1183</v>
      </c>
    </row>
    <row r="142" spans="1:27" s="58" customFormat="1" x14ac:dyDescent="0.65">
      <c r="A142" s="108">
        <v>30</v>
      </c>
      <c r="B142" s="26"/>
      <c r="C142" s="26"/>
      <c r="D142" s="27"/>
      <c r="E142" s="27"/>
      <c r="F142" s="26">
        <v>1183</v>
      </c>
      <c r="G142" s="26">
        <v>1173</v>
      </c>
      <c r="H142" s="26"/>
      <c r="I142" s="26"/>
      <c r="J142" s="26">
        <v>1183</v>
      </c>
      <c r="K142" s="26">
        <v>1175</v>
      </c>
      <c r="L142" s="26">
        <v>1183</v>
      </c>
      <c r="M142" s="26">
        <v>1177</v>
      </c>
      <c r="N142" s="26"/>
      <c r="O142" s="26"/>
      <c r="P142" s="26">
        <v>1183</v>
      </c>
      <c r="Q142" s="26">
        <v>1179</v>
      </c>
      <c r="R142" s="26">
        <v>1183</v>
      </c>
      <c r="S142" s="26">
        <v>1179</v>
      </c>
      <c r="T142" s="26"/>
      <c r="U142" s="26"/>
      <c r="V142" s="26">
        <v>1183</v>
      </c>
      <c r="W142" s="26">
        <v>1183</v>
      </c>
      <c r="X142" s="26">
        <v>1183</v>
      </c>
      <c r="Y142" s="26">
        <v>1183</v>
      </c>
    </row>
    <row r="143" spans="1:27" s="58" customFormat="1" ht="25.5" thickBot="1" x14ac:dyDescent="0.7">
      <c r="A143" s="109">
        <v>31</v>
      </c>
      <c r="B143" s="28">
        <v>1183</v>
      </c>
      <c r="C143" s="28">
        <v>1173</v>
      </c>
      <c r="D143" s="28"/>
      <c r="E143" s="28"/>
      <c r="F143" s="28">
        <v>1183</v>
      </c>
      <c r="G143" s="28">
        <v>1173</v>
      </c>
      <c r="H143" s="14"/>
      <c r="I143" s="14"/>
      <c r="J143" s="28">
        <v>1183</v>
      </c>
      <c r="K143" s="28">
        <v>1175</v>
      </c>
      <c r="L143" s="54"/>
      <c r="M143" s="54"/>
      <c r="N143" s="28"/>
      <c r="O143" s="28"/>
      <c r="P143" s="28">
        <v>1183</v>
      </c>
      <c r="Q143" s="28">
        <v>1179</v>
      </c>
      <c r="R143" s="28"/>
      <c r="S143" s="28"/>
      <c r="T143" s="28">
        <v>1183</v>
      </c>
      <c r="U143" s="28">
        <v>1179</v>
      </c>
      <c r="V143" s="54"/>
      <c r="W143" s="54"/>
      <c r="X143" s="28"/>
      <c r="Y143" s="28"/>
    </row>
    <row r="144" spans="1:27" ht="25.5" thickBot="1" x14ac:dyDescent="0.7">
      <c r="A144" s="17" t="s">
        <v>15</v>
      </c>
      <c r="B144" s="197">
        <f>AVERAGE(B113:B143)</f>
        <v>1183</v>
      </c>
      <c r="C144" s="197">
        <f t="shared" ref="C144:Y144" si="3">AVERAGE(C113:C143)</f>
        <v>1173</v>
      </c>
      <c r="D144" s="197">
        <f t="shared" si="3"/>
        <v>1183</v>
      </c>
      <c r="E144" s="197">
        <f t="shared" si="3"/>
        <v>1173.4545454545455</v>
      </c>
      <c r="F144" s="197">
        <f t="shared" si="3"/>
        <v>1183</v>
      </c>
      <c r="G144" s="197">
        <f t="shared" si="3"/>
        <v>1173</v>
      </c>
      <c r="H144" s="197">
        <f t="shared" si="3"/>
        <v>1183</v>
      </c>
      <c r="I144" s="197">
        <f t="shared" si="3"/>
        <v>1174.9047619047619</v>
      </c>
      <c r="J144" s="197">
        <f t="shared" si="3"/>
        <v>1183</v>
      </c>
      <c r="K144" s="197">
        <f t="shared" si="3"/>
        <v>1175</v>
      </c>
      <c r="L144" s="197">
        <f t="shared" si="3"/>
        <v>1183</v>
      </c>
      <c r="M144" s="197">
        <f t="shared" si="3"/>
        <v>1176.2727272727273</v>
      </c>
      <c r="N144" s="197">
        <f t="shared" si="3"/>
        <v>1183</v>
      </c>
      <c r="O144" s="197">
        <f t="shared" si="3"/>
        <v>1177</v>
      </c>
      <c r="P144" s="197">
        <f t="shared" si="3"/>
        <v>1183</v>
      </c>
      <c r="Q144" s="197">
        <f t="shared" si="3"/>
        <v>1179</v>
      </c>
      <c r="R144" s="197">
        <f t="shared" si="3"/>
        <v>1183</v>
      </c>
      <c r="S144" s="197">
        <f t="shared" si="3"/>
        <v>1179</v>
      </c>
      <c r="T144" s="197">
        <f t="shared" si="3"/>
        <v>1183</v>
      </c>
      <c r="U144" s="197">
        <f t="shared" si="3"/>
        <v>1179</v>
      </c>
      <c r="V144" s="197">
        <f t="shared" si="3"/>
        <v>1183</v>
      </c>
      <c r="W144" s="197">
        <f t="shared" si="3"/>
        <v>1180.6842105263158</v>
      </c>
      <c r="X144" s="197">
        <f t="shared" si="3"/>
        <v>1183</v>
      </c>
      <c r="Y144" s="197">
        <f t="shared" si="3"/>
        <v>1183</v>
      </c>
      <c r="Z144" s="57"/>
      <c r="AA144" s="57"/>
    </row>
    <row r="145" spans="1:25" ht="42" customHeight="1" x14ac:dyDescent="0.65">
      <c r="A145" s="224" t="s">
        <v>27</v>
      </c>
      <c r="B145" s="224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</row>
    <row r="146" spans="1:25" ht="24.75" customHeight="1" thickBot="1" x14ac:dyDescent="0.7">
      <c r="A146" s="225" t="s">
        <v>71</v>
      </c>
      <c r="B146" s="225"/>
      <c r="C146" s="225"/>
      <c r="D146" s="225"/>
      <c r="E146" s="225"/>
      <c r="F146" s="22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</row>
    <row r="147" spans="1:25" s="58" customFormat="1" ht="25.5" thickBot="1" x14ac:dyDescent="0.7">
      <c r="A147" s="226" t="s">
        <v>2</v>
      </c>
      <c r="B147" s="228" t="s">
        <v>3</v>
      </c>
      <c r="C147" s="229"/>
      <c r="D147" s="228" t="s">
        <v>4</v>
      </c>
      <c r="E147" s="229"/>
      <c r="F147" s="228" t="s">
        <v>5</v>
      </c>
      <c r="G147" s="229"/>
      <c r="H147" s="228" t="s">
        <v>6</v>
      </c>
      <c r="I147" s="229"/>
      <c r="J147" s="228" t="s">
        <v>7</v>
      </c>
      <c r="K147" s="229"/>
      <c r="L147" s="228" t="s">
        <v>8</v>
      </c>
      <c r="M147" s="229"/>
      <c r="N147" s="228" t="s">
        <v>9</v>
      </c>
      <c r="O147" s="229"/>
      <c r="P147" s="228" t="s">
        <v>10</v>
      </c>
      <c r="Q147" s="229"/>
      <c r="R147" s="228" t="s">
        <v>11</v>
      </c>
      <c r="S147" s="229"/>
      <c r="T147" s="228" t="s">
        <v>12</v>
      </c>
      <c r="U147" s="229"/>
      <c r="V147" s="228" t="s">
        <v>21</v>
      </c>
      <c r="W147" s="229"/>
      <c r="X147" s="228" t="s">
        <v>14</v>
      </c>
      <c r="Y147" s="229"/>
    </row>
    <row r="148" spans="1:25" s="58" customFormat="1" ht="25.5" thickBot="1" x14ac:dyDescent="0.7">
      <c r="A148" s="227"/>
      <c r="B148" s="17" t="s">
        <v>74</v>
      </c>
      <c r="C148" s="17" t="s">
        <v>75</v>
      </c>
      <c r="D148" s="17" t="s">
        <v>74</v>
      </c>
      <c r="E148" s="17" t="s">
        <v>75</v>
      </c>
      <c r="F148" s="17" t="s">
        <v>74</v>
      </c>
      <c r="G148" s="17" t="s">
        <v>75</v>
      </c>
      <c r="H148" s="17" t="s">
        <v>74</v>
      </c>
      <c r="I148" s="17" t="s">
        <v>75</v>
      </c>
      <c r="J148" s="17" t="s">
        <v>74</v>
      </c>
      <c r="K148" s="17" t="s">
        <v>75</v>
      </c>
      <c r="L148" s="17" t="s">
        <v>74</v>
      </c>
      <c r="M148" s="17" t="s">
        <v>75</v>
      </c>
      <c r="N148" s="17" t="s">
        <v>74</v>
      </c>
      <c r="O148" s="17" t="s">
        <v>75</v>
      </c>
      <c r="P148" s="17" t="s">
        <v>74</v>
      </c>
      <c r="Q148" s="17" t="s">
        <v>75</v>
      </c>
      <c r="R148" s="17" t="s">
        <v>74</v>
      </c>
      <c r="S148" s="17" t="s">
        <v>75</v>
      </c>
      <c r="T148" s="17" t="s">
        <v>74</v>
      </c>
      <c r="U148" s="17" t="s">
        <v>75</v>
      </c>
      <c r="V148" s="17" t="s">
        <v>74</v>
      </c>
      <c r="W148" s="17" t="s">
        <v>75</v>
      </c>
      <c r="X148" s="17" t="s">
        <v>74</v>
      </c>
      <c r="Y148" s="17" t="s">
        <v>75</v>
      </c>
    </row>
    <row r="149" spans="1:25" s="58" customFormat="1" x14ac:dyDescent="0.65">
      <c r="A149" s="39">
        <v>1</v>
      </c>
      <c r="B149" s="30">
        <v>1183</v>
      </c>
      <c r="C149" s="55"/>
      <c r="D149" s="30">
        <v>1183</v>
      </c>
      <c r="E149" s="55">
        <v>1183</v>
      </c>
      <c r="F149" s="30">
        <v>1183</v>
      </c>
      <c r="G149" s="55">
        <v>1183</v>
      </c>
      <c r="H149" s="30"/>
      <c r="I149" s="55"/>
      <c r="J149" s="30"/>
      <c r="K149" s="55"/>
      <c r="L149" s="30">
        <v>1183</v>
      </c>
      <c r="M149" s="55">
        <v>1183</v>
      </c>
      <c r="N149" s="30"/>
      <c r="O149" s="55"/>
      <c r="P149" s="30"/>
      <c r="Q149" s="55"/>
      <c r="R149" s="30"/>
      <c r="S149" s="55"/>
      <c r="T149" s="30"/>
      <c r="U149" s="55"/>
      <c r="V149" s="30">
        <v>1183</v>
      </c>
      <c r="W149" s="55">
        <v>1183</v>
      </c>
      <c r="X149" s="30">
        <v>1183</v>
      </c>
      <c r="Y149" s="55">
        <v>1183</v>
      </c>
    </row>
    <row r="150" spans="1:25" s="58" customFormat="1" x14ac:dyDescent="0.65">
      <c r="A150" s="108">
        <v>2</v>
      </c>
      <c r="B150" s="26"/>
      <c r="C150" s="26"/>
      <c r="D150" s="26">
        <v>1183</v>
      </c>
      <c r="E150" s="26">
        <v>1183</v>
      </c>
      <c r="F150" s="26">
        <v>1183</v>
      </c>
      <c r="G150" s="26">
        <v>1183</v>
      </c>
      <c r="H150" s="26"/>
      <c r="I150" s="26"/>
      <c r="J150" s="26">
        <v>1183</v>
      </c>
      <c r="K150" s="26">
        <v>1183</v>
      </c>
      <c r="L150" s="26">
        <v>1183</v>
      </c>
      <c r="M150" s="26">
        <v>1183</v>
      </c>
      <c r="N150" s="26"/>
      <c r="O150" s="26"/>
      <c r="P150" s="26">
        <v>1183</v>
      </c>
      <c r="Q150" s="26">
        <v>1183</v>
      </c>
      <c r="R150" s="26"/>
      <c r="S150" s="26"/>
      <c r="T150" s="26"/>
      <c r="U150" s="26">
        <v>1183</v>
      </c>
      <c r="V150" s="26">
        <v>1183</v>
      </c>
      <c r="W150" s="26">
        <v>1183</v>
      </c>
      <c r="X150" s="26"/>
      <c r="Y150" s="26"/>
    </row>
    <row r="151" spans="1:25" s="58" customFormat="1" x14ac:dyDescent="0.65">
      <c r="A151" s="108">
        <v>3</v>
      </c>
      <c r="B151" s="26">
        <v>1183</v>
      </c>
      <c r="C151" s="26">
        <v>1183</v>
      </c>
      <c r="D151" s="26">
        <v>1183</v>
      </c>
      <c r="E151" s="26">
        <v>1183</v>
      </c>
      <c r="F151" s="26">
        <v>1183</v>
      </c>
      <c r="G151" s="26">
        <v>1183</v>
      </c>
      <c r="H151" s="26">
        <v>1183</v>
      </c>
      <c r="I151" s="26">
        <v>1183</v>
      </c>
      <c r="J151" s="26">
        <v>1183</v>
      </c>
      <c r="K151" s="26">
        <v>1183</v>
      </c>
      <c r="L151" s="26"/>
      <c r="M151" s="26"/>
      <c r="N151" s="26">
        <v>1183</v>
      </c>
      <c r="O151" s="26">
        <v>1183</v>
      </c>
      <c r="P151" s="26">
        <v>1183</v>
      </c>
      <c r="Q151" s="26">
        <v>1183</v>
      </c>
      <c r="R151" s="26"/>
      <c r="S151" s="26"/>
      <c r="T151" s="26">
        <v>1183</v>
      </c>
      <c r="U151" s="26">
        <v>1183</v>
      </c>
      <c r="V151" s="26">
        <v>1183</v>
      </c>
      <c r="W151" s="26">
        <v>1183</v>
      </c>
      <c r="X151" s="26"/>
      <c r="Y151" s="26"/>
    </row>
    <row r="152" spans="1:25" s="58" customFormat="1" x14ac:dyDescent="0.65">
      <c r="A152" s="108">
        <v>4</v>
      </c>
      <c r="B152" s="26">
        <v>1183</v>
      </c>
      <c r="C152" s="26">
        <v>1183</v>
      </c>
      <c r="D152" s="26"/>
      <c r="E152" s="26"/>
      <c r="F152" s="26"/>
      <c r="G152" s="26"/>
      <c r="H152" s="26">
        <v>1183</v>
      </c>
      <c r="I152" s="26">
        <v>1183</v>
      </c>
      <c r="J152" s="26">
        <v>1183</v>
      </c>
      <c r="K152" s="26">
        <v>1183</v>
      </c>
      <c r="L152" s="26"/>
      <c r="M152" s="26"/>
      <c r="N152" s="26">
        <v>1183</v>
      </c>
      <c r="O152" s="26">
        <v>1183</v>
      </c>
      <c r="P152" s="26">
        <v>1183</v>
      </c>
      <c r="Q152" s="26">
        <v>1183</v>
      </c>
      <c r="R152" s="26">
        <v>1183</v>
      </c>
      <c r="S152" s="26">
        <v>1183</v>
      </c>
      <c r="T152" s="26">
        <v>1183</v>
      </c>
      <c r="U152" s="26">
        <v>1183</v>
      </c>
      <c r="V152" s="26"/>
      <c r="W152" s="26"/>
      <c r="X152" s="26">
        <v>1183</v>
      </c>
      <c r="Y152" s="26">
        <v>1183</v>
      </c>
    </row>
    <row r="153" spans="1:25" s="58" customFormat="1" x14ac:dyDescent="0.65">
      <c r="A153" s="108">
        <v>5</v>
      </c>
      <c r="B153" s="26">
        <v>1183</v>
      </c>
      <c r="C153" s="26">
        <v>1183</v>
      </c>
      <c r="D153" s="26"/>
      <c r="E153" s="26"/>
      <c r="F153" s="26"/>
      <c r="G153" s="26"/>
      <c r="H153" s="26">
        <v>1183</v>
      </c>
      <c r="I153" s="26">
        <v>1183</v>
      </c>
      <c r="J153" s="26">
        <v>1183</v>
      </c>
      <c r="K153" s="26">
        <v>1183</v>
      </c>
      <c r="L153" s="26">
        <v>1183</v>
      </c>
      <c r="M153" s="26">
        <v>1183</v>
      </c>
      <c r="N153" s="26">
        <v>1183</v>
      </c>
      <c r="O153" s="26">
        <v>1183</v>
      </c>
      <c r="P153" s="26"/>
      <c r="Q153" s="26"/>
      <c r="R153" s="26">
        <v>1183</v>
      </c>
      <c r="S153" s="26">
        <v>1183</v>
      </c>
      <c r="T153" s="26">
        <v>1183</v>
      </c>
      <c r="U153" s="26">
        <v>1183</v>
      </c>
      <c r="V153" s="26"/>
      <c r="W153" s="26"/>
      <c r="X153" s="26">
        <v>1183</v>
      </c>
      <c r="Y153" s="26">
        <v>1183</v>
      </c>
    </row>
    <row r="154" spans="1:25" s="58" customFormat="1" x14ac:dyDescent="0.65">
      <c r="A154" s="108">
        <v>6</v>
      </c>
      <c r="B154" s="26"/>
      <c r="C154" s="26"/>
      <c r="D154" s="26">
        <v>1183</v>
      </c>
      <c r="E154" s="26">
        <v>1183</v>
      </c>
      <c r="F154" s="26">
        <v>1183</v>
      </c>
      <c r="G154" s="26">
        <v>1183</v>
      </c>
      <c r="H154" s="26">
        <v>1183</v>
      </c>
      <c r="I154" s="26">
        <v>1183</v>
      </c>
      <c r="J154" s="26"/>
      <c r="K154" s="26"/>
      <c r="L154" s="26">
        <v>1183</v>
      </c>
      <c r="M154" s="26">
        <v>1183</v>
      </c>
      <c r="N154" s="26">
        <v>1183</v>
      </c>
      <c r="O154" s="26">
        <v>1183</v>
      </c>
      <c r="P154" s="26"/>
      <c r="Q154" s="26"/>
      <c r="R154" s="26">
        <v>1183</v>
      </c>
      <c r="S154" s="26">
        <v>1183</v>
      </c>
      <c r="T154" s="26">
        <v>1183</v>
      </c>
      <c r="U154" s="26">
        <v>1183</v>
      </c>
      <c r="V154" s="26"/>
      <c r="W154" s="26"/>
      <c r="X154" s="26"/>
      <c r="Y154" s="53"/>
    </row>
    <row r="155" spans="1:25" s="58" customFormat="1" x14ac:dyDescent="0.65">
      <c r="A155" s="108">
        <v>7</v>
      </c>
      <c r="B155" s="26"/>
      <c r="C155" s="26"/>
      <c r="D155" s="26">
        <v>1183</v>
      </c>
      <c r="E155" s="26">
        <v>1183</v>
      </c>
      <c r="F155" s="26">
        <v>1183</v>
      </c>
      <c r="G155" s="26">
        <v>1183</v>
      </c>
      <c r="H155" s="26">
        <v>1183</v>
      </c>
      <c r="I155" s="26">
        <v>1183</v>
      </c>
      <c r="J155" s="26"/>
      <c r="K155" s="26"/>
      <c r="L155" s="26">
        <v>1183</v>
      </c>
      <c r="M155" s="26">
        <v>1183</v>
      </c>
      <c r="N155" s="26">
        <v>1183</v>
      </c>
      <c r="O155" s="26">
        <v>1183</v>
      </c>
      <c r="P155" s="26">
        <v>1183</v>
      </c>
      <c r="Q155" s="26">
        <v>1183</v>
      </c>
      <c r="R155" s="26">
        <v>1183</v>
      </c>
      <c r="S155" s="26">
        <v>1183</v>
      </c>
      <c r="T155" s="26"/>
      <c r="U155" s="26"/>
      <c r="V155" s="26"/>
      <c r="W155" s="26"/>
      <c r="X155" s="26">
        <v>1183</v>
      </c>
      <c r="Y155" s="26">
        <v>1183</v>
      </c>
    </row>
    <row r="156" spans="1:25" s="58" customFormat="1" x14ac:dyDescent="0.65">
      <c r="A156" s="108">
        <v>8</v>
      </c>
      <c r="B156" s="26"/>
      <c r="C156" s="26"/>
      <c r="D156" s="26">
        <v>1183</v>
      </c>
      <c r="E156" s="26">
        <v>1183</v>
      </c>
      <c r="F156" s="26">
        <v>1183</v>
      </c>
      <c r="G156" s="26">
        <v>1183</v>
      </c>
      <c r="H156" s="26"/>
      <c r="I156" s="26"/>
      <c r="J156" s="26">
        <v>1183</v>
      </c>
      <c r="K156" s="26">
        <v>1183</v>
      </c>
      <c r="L156" s="26">
        <v>1183</v>
      </c>
      <c r="M156" s="26">
        <v>1183</v>
      </c>
      <c r="N156" s="26"/>
      <c r="O156" s="26"/>
      <c r="P156" s="26">
        <v>1183</v>
      </c>
      <c r="Q156" s="26">
        <v>1183</v>
      </c>
      <c r="R156" s="26">
        <v>1183</v>
      </c>
      <c r="S156" s="26">
        <v>1183</v>
      </c>
      <c r="T156" s="26"/>
      <c r="U156" s="26"/>
      <c r="V156" s="26"/>
      <c r="W156" s="26"/>
      <c r="X156" s="26">
        <v>1183</v>
      </c>
      <c r="Y156" s="26">
        <v>1183</v>
      </c>
    </row>
    <row r="157" spans="1:25" s="58" customFormat="1" x14ac:dyDescent="0.65">
      <c r="A157" s="108">
        <v>9</v>
      </c>
      <c r="B157" s="26">
        <v>1183</v>
      </c>
      <c r="C157" s="26">
        <v>1183</v>
      </c>
      <c r="D157" s="26">
        <v>1183</v>
      </c>
      <c r="E157" s="26">
        <v>1183</v>
      </c>
      <c r="F157" s="26">
        <v>1183</v>
      </c>
      <c r="G157" s="26">
        <v>1183</v>
      </c>
      <c r="H157" s="26"/>
      <c r="I157" s="26"/>
      <c r="J157" s="26">
        <v>1183</v>
      </c>
      <c r="K157" s="26">
        <v>1183</v>
      </c>
      <c r="L157" s="26">
        <v>1183</v>
      </c>
      <c r="M157" s="26">
        <v>1183</v>
      </c>
      <c r="N157" s="26"/>
      <c r="O157" s="26"/>
      <c r="P157" s="26">
        <v>1183</v>
      </c>
      <c r="Q157" s="26">
        <v>1183</v>
      </c>
      <c r="R157" s="26"/>
      <c r="S157" s="26"/>
      <c r="T157" s="26">
        <v>1183</v>
      </c>
      <c r="U157" s="26">
        <v>1183</v>
      </c>
      <c r="V157" s="26"/>
      <c r="W157" s="26"/>
      <c r="X157" s="26"/>
      <c r="Y157" s="26"/>
    </row>
    <row r="158" spans="1:25" s="58" customFormat="1" x14ac:dyDescent="0.65">
      <c r="A158" s="108">
        <v>10</v>
      </c>
      <c r="B158" s="26">
        <v>1183</v>
      </c>
      <c r="C158" s="26">
        <v>1183</v>
      </c>
      <c r="D158" s="26">
        <v>1183</v>
      </c>
      <c r="E158" s="26">
        <v>1183</v>
      </c>
      <c r="F158" s="26">
        <v>1183</v>
      </c>
      <c r="G158" s="26">
        <v>1183</v>
      </c>
      <c r="H158" s="26">
        <v>1183</v>
      </c>
      <c r="I158" s="26">
        <v>1183</v>
      </c>
      <c r="J158" s="26">
        <v>1183</v>
      </c>
      <c r="K158" s="26">
        <v>1183</v>
      </c>
      <c r="L158" s="26"/>
      <c r="M158" s="26"/>
      <c r="N158" s="26">
        <v>1183</v>
      </c>
      <c r="O158" s="26">
        <v>1183</v>
      </c>
      <c r="P158" s="26">
        <v>1183</v>
      </c>
      <c r="Q158" s="26">
        <v>1183</v>
      </c>
      <c r="R158" s="26"/>
      <c r="S158" s="26"/>
      <c r="T158" s="26">
        <v>1183</v>
      </c>
      <c r="U158" s="26">
        <v>1183</v>
      </c>
      <c r="V158" s="26"/>
      <c r="W158" s="26"/>
      <c r="X158" s="26"/>
      <c r="Y158" s="26"/>
    </row>
    <row r="159" spans="1:25" s="58" customFormat="1" x14ac:dyDescent="0.65">
      <c r="A159" s="108">
        <v>11</v>
      </c>
      <c r="B159" s="26">
        <v>1183</v>
      </c>
      <c r="C159" s="26">
        <v>1183</v>
      </c>
      <c r="D159" s="26"/>
      <c r="E159" s="26"/>
      <c r="F159" s="26"/>
      <c r="G159" s="26"/>
      <c r="H159" s="26">
        <v>1183</v>
      </c>
      <c r="I159" s="26">
        <v>1183</v>
      </c>
      <c r="J159" s="26">
        <v>1183</v>
      </c>
      <c r="K159" s="26">
        <v>1183</v>
      </c>
      <c r="L159" s="26"/>
      <c r="M159" s="26"/>
      <c r="N159" s="26">
        <v>1183</v>
      </c>
      <c r="O159" s="26">
        <v>1183</v>
      </c>
      <c r="P159" s="26">
        <v>1183</v>
      </c>
      <c r="Q159" s="26">
        <v>1183</v>
      </c>
      <c r="R159" s="26">
        <v>1183</v>
      </c>
      <c r="S159" s="26">
        <v>1183</v>
      </c>
      <c r="T159" s="26">
        <v>1183</v>
      </c>
      <c r="U159" s="26">
        <v>1183</v>
      </c>
      <c r="V159" s="26"/>
      <c r="W159" s="26"/>
      <c r="X159" s="26">
        <v>1183</v>
      </c>
      <c r="Y159" s="26">
        <v>1183</v>
      </c>
    </row>
    <row r="160" spans="1:25" s="58" customFormat="1" x14ac:dyDescent="0.65">
      <c r="A160" s="108">
        <v>12</v>
      </c>
      <c r="B160" s="26">
        <v>1183</v>
      </c>
      <c r="C160" s="26">
        <v>1183</v>
      </c>
      <c r="D160" s="26"/>
      <c r="E160" s="26"/>
      <c r="F160" s="26"/>
      <c r="G160" s="26"/>
      <c r="H160" s="26">
        <v>1183</v>
      </c>
      <c r="I160" s="26">
        <v>1183</v>
      </c>
      <c r="J160" s="26">
        <v>1183</v>
      </c>
      <c r="K160" s="26">
        <v>1183</v>
      </c>
      <c r="L160" s="26">
        <v>1183</v>
      </c>
      <c r="M160" s="26">
        <v>1183</v>
      </c>
      <c r="N160" s="26">
        <v>1183</v>
      </c>
      <c r="O160" s="26">
        <v>1183</v>
      </c>
      <c r="P160" s="26"/>
      <c r="Q160" s="26"/>
      <c r="R160" s="26">
        <v>1183</v>
      </c>
      <c r="S160" s="26">
        <v>1183</v>
      </c>
      <c r="T160" s="26">
        <v>1183</v>
      </c>
      <c r="U160" s="26">
        <v>1183</v>
      </c>
      <c r="V160" s="26"/>
      <c r="W160" s="26"/>
      <c r="X160" s="26">
        <v>1183</v>
      </c>
      <c r="Y160" s="26">
        <v>1183</v>
      </c>
    </row>
    <row r="161" spans="1:25" s="58" customFormat="1" x14ac:dyDescent="0.65">
      <c r="A161" s="108">
        <v>13</v>
      </c>
      <c r="B161" s="26">
        <v>1183</v>
      </c>
      <c r="C161" s="26">
        <v>1183</v>
      </c>
      <c r="D161" s="26">
        <v>1183</v>
      </c>
      <c r="E161" s="26">
        <v>1183</v>
      </c>
      <c r="F161" s="26">
        <v>1183</v>
      </c>
      <c r="G161" s="26">
        <v>1183</v>
      </c>
      <c r="H161" s="26">
        <v>1183</v>
      </c>
      <c r="I161" s="26">
        <v>1183</v>
      </c>
      <c r="J161" s="26"/>
      <c r="K161" s="26"/>
      <c r="L161" s="26">
        <v>1183</v>
      </c>
      <c r="M161" s="26">
        <v>1183</v>
      </c>
      <c r="N161" s="26">
        <v>1183</v>
      </c>
      <c r="O161" s="26">
        <v>1183</v>
      </c>
      <c r="P161" s="26"/>
      <c r="Q161" s="26"/>
      <c r="R161" s="26">
        <v>1183</v>
      </c>
      <c r="S161" s="26">
        <v>1183</v>
      </c>
      <c r="T161" s="26">
        <v>1183</v>
      </c>
      <c r="U161" s="26">
        <v>1183</v>
      </c>
      <c r="V161" s="26">
        <v>1183</v>
      </c>
      <c r="W161" s="26">
        <v>1183</v>
      </c>
      <c r="X161" s="26">
        <v>1183</v>
      </c>
      <c r="Y161" s="26">
        <v>1183</v>
      </c>
    </row>
    <row r="162" spans="1:25" s="58" customFormat="1" x14ac:dyDescent="0.65">
      <c r="A162" s="108">
        <v>14</v>
      </c>
      <c r="B162" s="26"/>
      <c r="C162" s="26"/>
      <c r="D162" s="26">
        <v>1183</v>
      </c>
      <c r="E162" s="26">
        <v>1183</v>
      </c>
      <c r="F162" s="26">
        <v>1183</v>
      </c>
      <c r="G162" s="26">
        <v>1183</v>
      </c>
      <c r="H162" s="26">
        <v>1183</v>
      </c>
      <c r="I162" s="26">
        <v>1183</v>
      </c>
      <c r="J162" s="26"/>
      <c r="K162" s="26"/>
      <c r="L162" s="26">
        <v>1183</v>
      </c>
      <c r="M162" s="26">
        <v>1183</v>
      </c>
      <c r="N162" s="26"/>
      <c r="O162" s="26"/>
      <c r="P162" s="26">
        <v>1183</v>
      </c>
      <c r="Q162" s="26">
        <v>1183</v>
      </c>
      <c r="R162" s="26">
        <v>1183</v>
      </c>
      <c r="S162" s="26">
        <v>1183</v>
      </c>
      <c r="T162" s="26"/>
      <c r="U162" s="26"/>
      <c r="V162" s="26">
        <v>1183</v>
      </c>
      <c r="W162" s="26">
        <v>1183</v>
      </c>
      <c r="X162" s="26">
        <v>1183</v>
      </c>
      <c r="Y162" s="26">
        <v>1183</v>
      </c>
    </row>
    <row r="163" spans="1:25" s="58" customFormat="1" x14ac:dyDescent="0.65">
      <c r="A163" s="108">
        <v>15</v>
      </c>
      <c r="B163" s="26"/>
      <c r="C163" s="26"/>
      <c r="D163" s="26"/>
      <c r="E163" s="26"/>
      <c r="F163" s="26">
        <v>1183</v>
      </c>
      <c r="G163" s="26">
        <v>1183</v>
      </c>
      <c r="H163" s="26"/>
      <c r="I163" s="26"/>
      <c r="J163" s="26">
        <v>1183</v>
      </c>
      <c r="K163" s="26">
        <v>1183</v>
      </c>
      <c r="L163" s="26">
        <v>1183</v>
      </c>
      <c r="M163" s="26">
        <v>1183</v>
      </c>
      <c r="N163" s="26"/>
      <c r="O163" s="26"/>
      <c r="P163" s="26">
        <v>1183</v>
      </c>
      <c r="Q163" s="26">
        <v>1183</v>
      </c>
      <c r="R163" s="26">
        <v>1183</v>
      </c>
      <c r="S163" s="26">
        <v>1183</v>
      </c>
      <c r="T163" s="26"/>
      <c r="U163" s="26"/>
      <c r="V163" s="26">
        <v>1183</v>
      </c>
      <c r="W163" s="26">
        <v>1183</v>
      </c>
      <c r="X163" s="26">
        <v>1183</v>
      </c>
      <c r="Y163" s="26">
        <v>1183</v>
      </c>
    </row>
    <row r="164" spans="1:25" s="58" customFormat="1" x14ac:dyDescent="0.65">
      <c r="A164" s="108">
        <v>16</v>
      </c>
      <c r="B164" s="26">
        <v>1183</v>
      </c>
      <c r="C164" s="26">
        <v>1183</v>
      </c>
      <c r="D164" s="26">
        <v>1183</v>
      </c>
      <c r="E164" s="26">
        <v>1183</v>
      </c>
      <c r="F164" s="26">
        <v>1183</v>
      </c>
      <c r="G164" s="26">
        <v>1183</v>
      </c>
      <c r="H164" s="26"/>
      <c r="I164" s="26"/>
      <c r="J164" s="26">
        <v>1183</v>
      </c>
      <c r="K164" s="26">
        <v>1183</v>
      </c>
      <c r="L164" s="26">
        <v>1183</v>
      </c>
      <c r="M164" s="26">
        <v>1183</v>
      </c>
      <c r="N164" s="26"/>
      <c r="O164" s="26"/>
      <c r="P164" s="26">
        <v>1183</v>
      </c>
      <c r="Q164" s="26">
        <v>1183</v>
      </c>
      <c r="R164" s="26"/>
      <c r="S164" s="26"/>
      <c r="T164" s="26">
        <v>1183</v>
      </c>
      <c r="U164" s="26">
        <v>1183</v>
      </c>
      <c r="V164" s="26">
        <v>1183</v>
      </c>
      <c r="W164" s="26">
        <v>1183</v>
      </c>
      <c r="X164" s="26"/>
      <c r="Y164" s="26"/>
    </row>
    <row r="165" spans="1:25" s="58" customFormat="1" x14ac:dyDescent="0.65">
      <c r="A165" s="108">
        <v>17</v>
      </c>
      <c r="B165" s="26">
        <v>1183</v>
      </c>
      <c r="C165" s="26">
        <v>1183</v>
      </c>
      <c r="D165" s="26">
        <v>1183</v>
      </c>
      <c r="E165" s="26">
        <v>1183</v>
      </c>
      <c r="F165" s="26">
        <v>1183</v>
      </c>
      <c r="G165" s="26">
        <v>1183</v>
      </c>
      <c r="H165" s="26">
        <v>1183</v>
      </c>
      <c r="I165" s="26">
        <v>1183</v>
      </c>
      <c r="J165" s="26">
        <v>1183</v>
      </c>
      <c r="K165" s="26">
        <v>1183</v>
      </c>
      <c r="L165" s="26"/>
      <c r="M165" s="26"/>
      <c r="N165" s="26">
        <v>1183</v>
      </c>
      <c r="O165" s="26">
        <v>1183</v>
      </c>
      <c r="P165" s="26">
        <v>1183</v>
      </c>
      <c r="Q165" s="26">
        <v>1183</v>
      </c>
      <c r="R165" s="26"/>
      <c r="S165" s="26"/>
      <c r="T165" s="26">
        <v>1183</v>
      </c>
      <c r="U165" s="26">
        <v>1183</v>
      </c>
      <c r="V165" s="26">
        <v>1183</v>
      </c>
      <c r="W165" s="26">
        <v>1183</v>
      </c>
      <c r="X165" s="26"/>
      <c r="Y165" s="26"/>
    </row>
    <row r="166" spans="1:25" s="58" customFormat="1" x14ac:dyDescent="0.65">
      <c r="A166" s="108">
        <v>18</v>
      </c>
      <c r="B166" s="26">
        <v>1183</v>
      </c>
      <c r="C166" s="26">
        <v>1183</v>
      </c>
      <c r="D166" s="26"/>
      <c r="E166" s="26"/>
      <c r="F166" s="26"/>
      <c r="G166" s="26"/>
      <c r="H166" s="26">
        <v>1183</v>
      </c>
      <c r="I166" s="26">
        <v>1183</v>
      </c>
      <c r="J166" s="26">
        <v>1183</v>
      </c>
      <c r="K166" s="26">
        <v>1183</v>
      </c>
      <c r="L166" s="26"/>
      <c r="M166" s="26"/>
      <c r="N166" s="26">
        <v>1183</v>
      </c>
      <c r="O166" s="26">
        <v>1183</v>
      </c>
      <c r="P166" s="26">
        <v>1183</v>
      </c>
      <c r="Q166" s="26">
        <v>1183</v>
      </c>
      <c r="R166" s="26">
        <v>1183</v>
      </c>
      <c r="S166" s="26">
        <v>1183</v>
      </c>
      <c r="T166" s="26">
        <v>1183</v>
      </c>
      <c r="U166" s="26">
        <v>1183</v>
      </c>
      <c r="V166" s="26"/>
      <c r="W166" s="26"/>
      <c r="X166" s="26">
        <v>1183</v>
      </c>
      <c r="Y166" s="26">
        <v>1183</v>
      </c>
    </row>
    <row r="167" spans="1:25" s="58" customFormat="1" x14ac:dyDescent="0.65">
      <c r="A167" s="108">
        <v>19</v>
      </c>
      <c r="B167" s="26">
        <v>1183</v>
      </c>
      <c r="C167" s="26">
        <v>1183</v>
      </c>
      <c r="D167" s="26"/>
      <c r="E167" s="26"/>
      <c r="F167" s="26"/>
      <c r="G167" s="26"/>
      <c r="H167" s="26">
        <v>1183</v>
      </c>
      <c r="I167" s="26">
        <v>1183</v>
      </c>
      <c r="J167" s="26">
        <v>1183</v>
      </c>
      <c r="K167" s="26">
        <v>1183</v>
      </c>
      <c r="L167" s="26">
        <v>1183</v>
      </c>
      <c r="M167" s="26">
        <v>1183</v>
      </c>
      <c r="N167" s="26">
        <v>1183</v>
      </c>
      <c r="O167" s="26">
        <v>1183</v>
      </c>
      <c r="P167" s="26"/>
      <c r="Q167" s="26"/>
      <c r="R167" s="26">
        <v>1183</v>
      </c>
      <c r="S167" s="26">
        <v>1183</v>
      </c>
      <c r="T167" s="26">
        <v>1183</v>
      </c>
      <c r="U167" s="26">
        <v>1183</v>
      </c>
      <c r="V167" s="26"/>
      <c r="W167" s="26"/>
      <c r="X167" s="26">
        <v>1183</v>
      </c>
      <c r="Y167" s="26">
        <v>1183</v>
      </c>
    </row>
    <row r="168" spans="1:25" s="58" customFormat="1" x14ac:dyDescent="0.65">
      <c r="A168" s="108">
        <v>20</v>
      </c>
      <c r="B168" s="26">
        <v>1183</v>
      </c>
      <c r="C168" s="26">
        <v>1183</v>
      </c>
      <c r="D168" s="26">
        <v>1183</v>
      </c>
      <c r="E168" s="26">
        <v>1183</v>
      </c>
      <c r="F168" s="26">
        <v>1183</v>
      </c>
      <c r="G168" s="26">
        <v>1183</v>
      </c>
      <c r="H168" s="26">
        <v>1183</v>
      </c>
      <c r="I168" s="26">
        <v>1183</v>
      </c>
      <c r="J168" s="26"/>
      <c r="K168" s="26"/>
      <c r="L168" s="26">
        <v>1183</v>
      </c>
      <c r="M168" s="26">
        <v>1183</v>
      </c>
      <c r="N168" s="26">
        <v>1183</v>
      </c>
      <c r="O168" s="26">
        <v>1183</v>
      </c>
      <c r="P168" s="26"/>
      <c r="Q168" s="26"/>
      <c r="R168" s="26">
        <v>1183</v>
      </c>
      <c r="S168" s="26">
        <v>1183</v>
      </c>
      <c r="T168" s="26">
        <v>1183</v>
      </c>
      <c r="U168" s="26">
        <v>1183</v>
      </c>
      <c r="V168" s="26">
        <v>1183</v>
      </c>
      <c r="W168" s="26">
        <v>1183</v>
      </c>
      <c r="X168" s="26">
        <v>1183</v>
      </c>
      <c r="Y168" s="26">
        <v>1183</v>
      </c>
    </row>
    <row r="169" spans="1:25" s="58" customFormat="1" x14ac:dyDescent="0.65">
      <c r="A169" s="108">
        <v>21</v>
      </c>
      <c r="B169" s="26"/>
      <c r="C169" s="26"/>
      <c r="D169" s="26">
        <v>1183</v>
      </c>
      <c r="E169" s="26">
        <v>1183</v>
      </c>
      <c r="F169" s="26">
        <v>1183</v>
      </c>
      <c r="G169" s="26">
        <v>1183</v>
      </c>
      <c r="H169" s="26">
        <v>1183</v>
      </c>
      <c r="I169" s="26">
        <v>1183</v>
      </c>
      <c r="J169" s="26"/>
      <c r="K169" s="26"/>
      <c r="L169" s="26">
        <v>1183</v>
      </c>
      <c r="M169" s="26">
        <v>1183</v>
      </c>
      <c r="N169" s="26">
        <v>1183</v>
      </c>
      <c r="O169" s="26">
        <v>1183</v>
      </c>
      <c r="P169" s="26">
        <v>1183</v>
      </c>
      <c r="Q169" s="26">
        <v>1183</v>
      </c>
      <c r="R169" s="26">
        <v>1183</v>
      </c>
      <c r="S169" s="26">
        <v>1183</v>
      </c>
      <c r="T169" s="26"/>
      <c r="U169" s="26"/>
      <c r="V169" s="26">
        <v>1183</v>
      </c>
      <c r="W169" s="26">
        <v>1183</v>
      </c>
      <c r="X169" s="26">
        <v>1183</v>
      </c>
      <c r="Y169" s="26">
        <v>1183</v>
      </c>
    </row>
    <row r="170" spans="1:25" s="58" customFormat="1" x14ac:dyDescent="0.65">
      <c r="A170" s="108">
        <v>22</v>
      </c>
      <c r="B170" s="26"/>
      <c r="C170" s="26"/>
      <c r="D170" s="26">
        <v>1183</v>
      </c>
      <c r="E170" s="26">
        <v>1183</v>
      </c>
      <c r="F170" s="26">
        <v>1183</v>
      </c>
      <c r="G170" s="26">
        <v>1183</v>
      </c>
      <c r="H170" s="26"/>
      <c r="I170" s="26"/>
      <c r="J170" s="26">
        <v>1183</v>
      </c>
      <c r="K170" s="26">
        <v>1183</v>
      </c>
      <c r="L170" s="26">
        <v>1183</v>
      </c>
      <c r="M170" s="26">
        <v>1183</v>
      </c>
      <c r="N170" s="26"/>
      <c r="O170" s="26"/>
      <c r="P170" s="26">
        <v>1183</v>
      </c>
      <c r="Q170" s="26">
        <v>1183</v>
      </c>
      <c r="R170" s="26">
        <v>1183</v>
      </c>
      <c r="S170" s="26">
        <v>1183</v>
      </c>
      <c r="T170" s="26"/>
      <c r="U170" s="26"/>
      <c r="V170" s="26">
        <v>1183</v>
      </c>
      <c r="W170" s="26">
        <v>1183</v>
      </c>
      <c r="X170" s="26">
        <v>1183</v>
      </c>
      <c r="Y170" s="26">
        <v>1183</v>
      </c>
    </row>
    <row r="171" spans="1:25" s="58" customFormat="1" x14ac:dyDescent="0.65">
      <c r="A171" s="108">
        <v>23</v>
      </c>
      <c r="B171" s="26">
        <v>1183</v>
      </c>
      <c r="C171" s="26">
        <v>1183</v>
      </c>
      <c r="D171" s="26">
        <v>1183</v>
      </c>
      <c r="E171" s="26">
        <v>1183</v>
      </c>
      <c r="F171" s="26">
        <v>1183</v>
      </c>
      <c r="G171" s="26">
        <v>1183</v>
      </c>
      <c r="H171" s="26"/>
      <c r="I171" s="26"/>
      <c r="J171" s="26">
        <v>1183</v>
      </c>
      <c r="K171" s="26">
        <v>1183</v>
      </c>
      <c r="L171" s="26">
        <v>1183</v>
      </c>
      <c r="M171" s="26">
        <v>1183</v>
      </c>
      <c r="N171" s="26"/>
      <c r="O171" s="26"/>
      <c r="P171" s="26">
        <v>1183</v>
      </c>
      <c r="Q171" s="26">
        <v>1183</v>
      </c>
      <c r="R171" s="26"/>
      <c r="S171" s="26"/>
      <c r="T171" s="26">
        <v>1183</v>
      </c>
      <c r="U171" s="26">
        <v>1183</v>
      </c>
      <c r="V171" s="26">
        <v>1183</v>
      </c>
      <c r="W171" s="26">
        <v>1183</v>
      </c>
      <c r="X171" s="26"/>
      <c r="Y171" s="26"/>
    </row>
    <row r="172" spans="1:25" s="58" customFormat="1" x14ac:dyDescent="0.65">
      <c r="A172" s="108">
        <v>24</v>
      </c>
      <c r="B172" s="26">
        <v>1183</v>
      </c>
      <c r="C172" s="26">
        <v>1183</v>
      </c>
      <c r="D172" s="26">
        <v>1183</v>
      </c>
      <c r="E172" s="26">
        <v>1183</v>
      </c>
      <c r="F172" s="26">
        <v>1183</v>
      </c>
      <c r="G172" s="26">
        <v>1183</v>
      </c>
      <c r="H172" s="26">
        <v>1183</v>
      </c>
      <c r="I172" s="26">
        <v>1183</v>
      </c>
      <c r="J172" s="26">
        <v>1183</v>
      </c>
      <c r="K172" s="26">
        <v>1183</v>
      </c>
      <c r="L172" s="26"/>
      <c r="M172" s="26"/>
      <c r="N172" s="26">
        <v>1183</v>
      </c>
      <c r="O172" s="26">
        <v>1183</v>
      </c>
      <c r="P172" s="26">
        <v>1183</v>
      </c>
      <c r="Q172" s="26">
        <v>1183</v>
      </c>
      <c r="R172" s="26"/>
      <c r="S172" s="26"/>
      <c r="T172" s="26">
        <v>1183</v>
      </c>
      <c r="U172" s="26">
        <v>1183</v>
      </c>
      <c r="V172" s="26">
        <v>1183</v>
      </c>
      <c r="W172" s="26">
        <v>1183</v>
      </c>
      <c r="X172" s="26"/>
      <c r="Y172" s="26"/>
    </row>
    <row r="173" spans="1:25" s="58" customFormat="1" x14ac:dyDescent="0.65">
      <c r="A173" s="108">
        <v>25</v>
      </c>
      <c r="B173" s="26">
        <v>1183</v>
      </c>
      <c r="C173" s="26">
        <v>1183</v>
      </c>
      <c r="D173" s="26"/>
      <c r="E173" s="26"/>
      <c r="F173" s="26"/>
      <c r="G173" s="26"/>
      <c r="H173" s="26">
        <v>1183</v>
      </c>
      <c r="I173" s="26">
        <v>1183</v>
      </c>
      <c r="J173" s="26">
        <v>1183</v>
      </c>
      <c r="K173" s="26">
        <v>1183</v>
      </c>
      <c r="L173" s="26"/>
      <c r="M173" s="26"/>
      <c r="N173" s="26">
        <v>1183</v>
      </c>
      <c r="O173" s="26">
        <v>1183</v>
      </c>
      <c r="P173" s="26">
        <v>1183</v>
      </c>
      <c r="Q173" s="26">
        <v>1183</v>
      </c>
      <c r="R173" s="26">
        <v>1183</v>
      </c>
      <c r="S173" s="26">
        <v>1183</v>
      </c>
      <c r="T173" s="26">
        <v>1183</v>
      </c>
      <c r="U173" s="26">
        <v>1183</v>
      </c>
      <c r="V173" s="26"/>
      <c r="W173" s="26"/>
      <c r="X173" s="26">
        <v>1183</v>
      </c>
      <c r="Y173" s="26">
        <v>1183</v>
      </c>
    </row>
    <row r="174" spans="1:25" s="58" customFormat="1" x14ac:dyDescent="0.65">
      <c r="A174" s="108">
        <v>26</v>
      </c>
      <c r="B174" s="26">
        <v>1183</v>
      </c>
      <c r="C174" s="26">
        <v>1183</v>
      </c>
      <c r="D174" s="26"/>
      <c r="E174" s="26"/>
      <c r="F174" s="26"/>
      <c r="G174" s="26"/>
      <c r="H174" s="26">
        <v>1183</v>
      </c>
      <c r="I174" s="26">
        <v>1183</v>
      </c>
      <c r="J174" s="26">
        <v>1183</v>
      </c>
      <c r="K174" s="26">
        <v>1183</v>
      </c>
      <c r="L174" s="26">
        <v>1183</v>
      </c>
      <c r="M174" s="26">
        <v>1183</v>
      </c>
      <c r="N174" s="26">
        <v>1183</v>
      </c>
      <c r="O174" s="26">
        <v>1183</v>
      </c>
      <c r="P174" s="26"/>
      <c r="Q174" s="26"/>
      <c r="R174" s="26">
        <v>1183</v>
      </c>
      <c r="S174" s="26">
        <v>1183</v>
      </c>
      <c r="T174" s="26">
        <v>1183</v>
      </c>
      <c r="U174" s="26">
        <v>1183</v>
      </c>
      <c r="V174" s="26"/>
      <c r="W174" s="26"/>
      <c r="X174" s="26">
        <v>1183</v>
      </c>
      <c r="Y174" s="26">
        <v>1183</v>
      </c>
    </row>
    <row r="175" spans="1:25" s="58" customFormat="1" x14ac:dyDescent="0.65">
      <c r="A175" s="108">
        <v>27</v>
      </c>
      <c r="B175" s="26">
        <v>1183</v>
      </c>
      <c r="C175" s="26">
        <v>1183</v>
      </c>
      <c r="D175" s="26">
        <v>1183</v>
      </c>
      <c r="E175" s="26">
        <v>1183</v>
      </c>
      <c r="F175" s="26">
        <v>1183</v>
      </c>
      <c r="G175" s="26">
        <v>1183</v>
      </c>
      <c r="H175" s="26">
        <v>1183</v>
      </c>
      <c r="I175" s="26">
        <v>1183</v>
      </c>
      <c r="J175" s="26"/>
      <c r="K175" s="26"/>
      <c r="L175" s="26">
        <v>1183</v>
      </c>
      <c r="M175" s="26">
        <v>1183</v>
      </c>
      <c r="N175" s="26">
        <v>1183</v>
      </c>
      <c r="O175" s="26">
        <v>1183</v>
      </c>
      <c r="P175" s="26"/>
      <c r="Q175" s="26"/>
      <c r="R175" s="26">
        <v>1183</v>
      </c>
      <c r="S175" s="26">
        <v>1183</v>
      </c>
      <c r="T175" s="26">
        <v>1183</v>
      </c>
      <c r="U175" s="26">
        <v>1183</v>
      </c>
      <c r="V175" s="26"/>
      <c r="W175" s="53"/>
      <c r="X175" s="26">
        <v>1183</v>
      </c>
      <c r="Y175" s="26">
        <v>1183</v>
      </c>
    </row>
    <row r="176" spans="1:25" s="58" customFormat="1" x14ac:dyDescent="0.65">
      <c r="A176" s="108">
        <v>28</v>
      </c>
      <c r="B176" s="26"/>
      <c r="C176" s="26"/>
      <c r="D176" s="26">
        <v>1183</v>
      </c>
      <c r="E176" s="26">
        <v>1183</v>
      </c>
      <c r="F176" s="26">
        <v>1183</v>
      </c>
      <c r="G176" s="26">
        <v>1183</v>
      </c>
      <c r="H176" s="26">
        <v>1183</v>
      </c>
      <c r="I176" s="26">
        <v>1183</v>
      </c>
      <c r="J176" s="26"/>
      <c r="K176" s="26"/>
      <c r="L176" s="26">
        <v>1183</v>
      </c>
      <c r="M176" s="26">
        <v>1183</v>
      </c>
      <c r="N176" s="26">
        <v>1183</v>
      </c>
      <c r="O176" s="26">
        <v>1183</v>
      </c>
      <c r="P176" s="26">
        <v>1183</v>
      </c>
      <c r="Q176" s="26">
        <v>1183</v>
      </c>
      <c r="R176" s="26">
        <v>1183</v>
      </c>
      <c r="S176" s="26">
        <v>1183</v>
      </c>
      <c r="T176" s="26"/>
      <c r="U176" s="26"/>
      <c r="V176" s="26">
        <v>1183</v>
      </c>
      <c r="W176" s="26">
        <v>1183</v>
      </c>
      <c r="X176" s="26">
        <v>1183</v>
      </c>
      <c r="Y176" s="26">
        <v>1183</v>
      </c>
    </row>
    <row r="177" spans="1:27" s="58" customFormat="1" x14ac:dyDescent="0.65">
      <c r="A177" s="108">
        <v>29</v>
      </c>
      <c r="B177" s="26"/>
      <c r="C177" s="26"/>
      <c r="D177" s="26"/>
      <c r="E177" s="26"/>
      <c r="F177" s="26">
        <v>1183</v>
      </c>
      <c r="G177" s="26">
        <v>1183</v>
      </c>
      <c r="H177" s="26"/>
      <c r="I177" s="26"/>
      <c r="J177" s="26">
        <v>1183</v>
      </c>
      <c r="K177" s="26">
        <v>1183</v>
      </c>
      <c r="L177" s="26">
        <v>1183</v>
      </c>
      <c r="M177" s="26">
        <v>1183</v>
      </c>
      <c r="N177" s="26"/>
      <c r="O177" s="26"/>
      <c r="P177" s="26">
        <v>1183</v>
      </c>
      <c r="Q177" s="26">
        <v>1183</v>
      </c>
      <c r="R177" s="26">
        <v>1183</v>
      </c>
      <c r="S177" s="26">
        <v>1183</v>
      </c>
      <c r="T177" s="26"/>
      <c r="U177" s="26"/>
      <c r="V177" s="26">
        <v>1183</v>
      </c>
      <c r="W177" s="26">
        <v>1183</v>
      </c>
      <c r="X177" s="26">
        <v>1183</v>
      </c>
      <c r="Y177" s="26">
        <v>1183</v>
      </c>
    </row>
    <row r="178" spans="1:27" s="58" customFormat="1" x14ac:dyDescent="0.65">
      <c r="A178" s="108">
        <v>30</v>
      </c>
      <c r="B178" s="26">
        <v>1183</v>
      </c>
      <c r="C178" s="26">
        <v>1183</v>
      </c>
      <c r="D178" s="27"/>
      <c r="E178" s="27"/>
      <c r="F178" s="26">
        <v>1183</v>
      </c>
      <c r="G178" s="26">
        <v>1183</v>
      </c>
      <c r="H178" s="26"/>
      <c r="I178" s="26"/>
      <c r="J178" s="26">
        <v>1183</v>
      </c>
      <c r="K178" s="26">
        <v>1183</v>
      </c>
      <c r="L178" s="26">
        <v>1183</v>
      </c>
      <c r="M178" s="26">
        <v>1183</v>
      </c>
      <c r="N178" s="26"/>
      <c r="O178" s="26"/>
      <c r="P178" s="26"/>
      <c r="Q178" s="26"/>
      <c r="R178" s="26"/>
      <c r="S178" s="26"/>
      <c r="T178" s="26">
        <v>1183</v>
      </c>
      <c r="U178" s="26">
        <v>1183</v>
      </c>
      <c r="V178" s="26">
        <v>1183</v>
      </c>
      <c r="W178" s="26">
        <v>1183</v>
      </c>
      <c r="X178" s="26"/>
      <c r="Y178" s="26"/>
    </row>
    <row r="179" spans="1:27" s="58" customFormat="1" ht="25.5" thickBot="1" x14ac:dyDescent="0.7">
      <c r="A179" s="109">
        <v>31</v>
      </c>
      <c r="B179" s="32">
        <v>1183</v>
      </c>
      <c r="C179" s="32">
        <v>1183</v>
      </c>
      <c r="D179" s="31"/>
      <c r="E179" s="31"/>
      <c r="F179" s="32">
        <v>1183</v>
      </c>
      <c r="G179" s="32">
        <v>1183</v>
      </c>
      <c r="H179" s="54"/>
      <c r="I179" s="59"/>
      <c r="J179" s="32">
        <v>1183</v>
      </c>
      <c r="K179" s="32">
        <v>1183</v>
      </c>
      <c r="L179" s="54"/>
      <c r="M179" s="56"/>
      <c r="N179" s="32">
        <v>1183</v>
      </c>
      <c r="O179" s="32">
        <v>1183</v>
      </c>
      <c r="P179" s="32"/>
      <c r="Q179" s="32"/>
      <c r="R179" s="32"/>
      <c r="S179" s="56"/>
      <c r="T179" s="32">
        <v>1183</v>
      </c>
      <c r="U179" s="32">
        <v>1183</v>
      </c>
      <c r="V179" s="54"/>
      <c r="W179" s="54"/>
      <c r="X179" s="32"/>
      <c r="Y179" s="32"/>
    </row>
    <row r="180" spans="1:27" ht="25.5" thickBot="1" x14ac:dyDescent="0.7">
      <c r="A180" s="17" t="s">
        <v>15</v>
      </c>
      <c r="B180" s="197">
        <f>AVERAGE(B149:B179)</f>
        <v>1183</v>
      </c>
      <c r="C180" s="197">
        <f t="shared" ref="C180:Y180" si="4">AVERAGE(C149:C179)</f>
        <v>1183</v>
      </c>
      <c r="D180" s="197">
        <f t="shared" si="4"/>
        <v>1183</v>
      </c>
      <c r="E180" s="197">
        <f t="shared" si="4"/>
        <v>1183</v>
      </c>
      <c r="F180" s="197">
        <f t="shared" si="4"/>
        <v>1183</v>
      </c>
      <c r="G180" s="197">
        <f t="shared" si="4"/>
        <v>1183</v>
      </c>
      <c r="H180" s="197">
        <f t="shared" si="4"/>
        <v>1183</v>
      </c>
      <c r="I180" s="197">
        <f t="shared" si="4"/>
        <v>1183</v>
      </c>
      <c r="J180" s="197">
        <f t="shared" si="4"/>
        <v>1183</v>
      </c>
      <c r="K180" s="197">
        <f t="shared" si="4"/>
        <v>1183</v>
      </c>
      <c r="L180" s="197">
        <f t="shared" si="4"/>
        <v>1183</v>
      </c>
      <c r="M180" s="197">
        <f t="shared" si="4"/>
        <v>1183</v>
      </c>
      <c r="N180" s="197">
        <f t="shared" si="4"/>
        <v>1183</v>
      </c>
      <c r="O180" s="197">
        <f t="shared" si="4"/>
        <v>1183</v>
      </c>
      <c r="P180" s="197">
        <f t="shared" si="4"/>
        <v>1183</v>
      </c>
      <c r="Q180" s="197">
        <f t="shared" si="4"/>
        <v>1183</v>
      </c>
      <c r="R180" s="197">
        <f t="shared" si="4"/>
        <v>1183</v>
      </c>
      <c r="S180" s="197">
        <f t="shared" si="4"/>
        <v>1183</v>
      </c>
      <c r="T180" s="197">
        <f t="shared" si="4"/>
        <v>1183</v>
      </c>
      <c r="U180" s="197">
        <f t="shared" si="4"/>
        <v>1183</v>
      </c>
      <c r="V180" s="197">
        <f t="shared" si="4"/>
        <v>1183</v>
      </c>
      <c r="W180" s="197">
        <f t="shared" si="4"/>
        <v>1183</v>
      </c>
      <c r="X180" s="197">
        <f t="shared" si="4"/>
        <v>1183</v>
      </c>
      <c r="Y180" s="197">
        <f t="shared" si="4"/>
        <v>1183</v>
      </c>
      <c r="Z180" s="57"/>
      <c r="AA180" s="57"/>
    </row>
    <row r="181" spans="1:27" ht="42" customHeight="1" x14ac:dyDescent="0.65">
      <c r="A181" s="224" t="s">
        <v>28</v>
      </c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 spans="1:27" ht="24.75" customHeight="1" thickBot="1" x14ac:dyDescent="0.7">
      <c r="A182" s="225" t="s">
        <v>71</v>
      </c>
      <c r="B182" s="225"/>
      <c r="C182" s="225"/>
      <c r="D182" s="225"/>
      <c r="E182" s="225"/>
      <c r="F182" s="22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</row>
    <row r="183" spans="1:27" s="58" customFormat="1" ht="30" customHeight="1" thickBot="1" x14ac:dyDescent="0.7">
      <c r="A183" s="226" t="s">
        <v>2</v>
      </c>
      <c r="B183" s="228" t="s">
        <v>3</v>
      </c>
      <c r="C183" s="229"/>
      <c r="D183" s="228" t="s">
        <v>4</v>
      </c>
      <c r="E183" s="229"/>
      <c r="F183" s="228" t="s">
        <v>5</v>
      </c>
      <c r="G183" s="229"/>
      <c r="H183" s="228" t="s">
        <v>6</v>
      </c>
      <c r="I183" s="229"/>
      <c r="J183" s="228" t="s">
        <v>7</v>
      </c>
      <c r="K183" s="229"/>
      <c r="L183" s="228" t="s">
        <v>8</v>
      </c>
      <c r="M183" s="229"/>
      <c r="N183" s="228" t="s">
        <v>9</v>
      </c>
      <c r="O183" s="229"/>
      <c r="P183" s="228" t="s">
        <v>10</v>
      </c>
      <c r="Q183" s="229"/>
      <c r="R183" s="228" t="s">
        <v>11</v>
      </c>
      <c r="S183" s="229"/>
      <c r="T183" s="228" t="s">
        <v>12</v>
      </c>
      <c r="U183" s="229"/>
      <c r="V183" s="228" t="s">
        <v>21</v>
      </c>
      <c r="W183" s="229"/>
      <c r="X183" s="228" t="s">
        <v>14</v>
      </c>
      <c r="Y183" s="229"/>
    </row>
    <row r="184" spans="1:27" s="58" customFormat="1" ht="25.5" thickBot="1" x14ac:dyDescent="0.7">
      <c r="A184" s="227"/>
      <c r="B184" s="17" t="s">
        <v>74</v>
      </c>
      <c r="C184" s="17" t="s">
        <v>75</v>
      </c>
      <c r="D184" s="17" t="s">
        <v>74</v>
      </c>
      <c r="E184" s="17" t="s">
        <v>75</v>
      </c>
      <c r="F184" s="17" t="s">
        <v>74</v>
      </c>
      <c r="G184" s="17" t="s">
        <v>75</v>
      </c>
      <c r="H184" s="17" t="s">
        <v>74</v>
      </c>
      <c r="I184" s="17" t="s">
        <v>75</v>
      </c>
      <c r="J184" s="17" t="s">
        <v>74</v>
      </c>
      <c r="K184" s="17" t="s">
        <v>75</v>
      </c>
      <c r="L184" s="17" t="s">
        <v>74</v>
      </c>
      <c r="M184" s="17" t="s">
        <v>75</v>
      </c>
      <c r="N184" s="17" t="s">
        <v>74</v>
      </c>
      <c r="O184" s="17" t="s">
        <v>75</v>
      </c>
      <c r="P184" s="17" t="s">
        <v>74</v>
      </c>
      <c r="Q184" s="17" t="s">
        <v>75</v>
      </c>
      <c r="R184" s="17" t="s">
        <v>74</v>
      </c>
      <c r="S184" s="17" t="s">
        <v>75</v>
      </c>
      <c r="T184" s="17" t="s">
        <v>74</v>
      </c>
      <c r="U184" s="17" t="s">
        <v>75</v>
      </c>
      <c r="V184" s="17" t="s">
        <v>74</v>
      </c>
      <c r="W184" s="17" t="s">
        <v>75</v>
      </c>
      <c r="X184" s="17" t="s">
        <v>74</v>
      </c>
      <c r="Y184" s="17" t="s">
        <v>75</v>
      </c>
    </row>
    <row r="185" spans="1:27" s="58" customFormat="1" x14ac:dyDescent="0.65">
      <c r="A185" s="39">
        <v>1</v>
      </c>
      <c r="B185" s="30"/>
      <c r="C185" s="55"/>
      <c r="D185" s="60">
        <v>1179</v>
      </c>
      <c r="E185" s="60">
        <v>1179</v>
      </c>
      <c r="F185" s="60">
        <v>1179</v>
      </c>
      <c r="G185" s="60">
        <v>1179</v>
      </c>
      <c r="H185" s="60">
        <v>1179</v>
      </c>
      <c r="I185" s="60">
        <v>1179</v>
      </c>
      <c r="J185" s="55"/>
      <c r="K185" s="55"/>
      <c r="L185" s="10"/>
      <c r="M185" s="10"/>
      <c r="N185" s="10">
        <v>1179</v>
      </c>
      <c r="O185" s="10">
        <v>1179</v>
      </c>
      <c r="P185" s="10">
        <v>1179</v>
      </c>
      <c r="Q185" s="10">
        <v>1179</v>
      </c>
      <c r="R185" s="10"/>
      <c r="S185" s="10"/>
      <c r="T185" s="10">
        <v>1179</v>
      </c>
      <c r="U185" s="10">
        <v>1179</v>
      </c>
      <c r="V185" s="10">
        <v>1179</v>
      </c>
      <c r="W185" s="10">
        <v>1179</v>
      </c>
      <c r="X185" s="55"/>
      <c r="Y185" s="55"/>
    </row>
    <row r="186" spans="1:27" s="58" customFormat="1" x14ac:dyDescent="0.65">
      <c r="A186" s="108">
        <v>2</v>
      </c>
      <c r="B186" s="26"/>
      <c r="C186" s="26"/>
      <c r="D186" s="12">
        <v>1179</v>
      </c>
      <c r="E186" s="12">
        <v>1179</v>
      </c>
      <c r="F186" s="26"/>
      <c r="G186" s="26"/>
      <c r="H186" s="12">
        <v>1179</v>
      </c>
      <c r="I186" s="12">
        <v>1179</v>
      </c>
      <c r="J186" s="12">
        <v>1179</v>
      </c>
      <c r="K186" s="12">
        <v>1179</v>
      </c>
      <c r="L186" s="12"/>
      <c r="M186" s="12"/>
      <c r="N186" s="12">
        <v>1179</v>
      </c>
      <c r="O186" s="12">
        <v>1179</v>
      </c>
      <c r="P186" s="12"/>
      <c r="Q186" s="12"/>
      <c r="R186" s="12">
        <v>1179</v>
      </c>
      <c r="S186" s="12">
        <v>1179</v>
      </c>
      <c r="T186" s="12">
        <v>1179</v>
      </c>
      <c r="U186" s="12">
        <v>1179</v>
      </c>
      <c r="V186" s="26"/>
      <c r="W186" s="26"/>
      <c r="X186" s="12">
        <v>1179</v>
      </c>
      <c r="Y186" s="12">
        <v>1179</v>
      </c>
    </row>
    <row r="187" spans="1:27" s="58" customFormat="1" x14ac:dyDescent="0.65">
      <c r="A187" s="108">
        <v>3</v>
      </c>
      <c r="B187" s="26">
        <v>1183</v>
      </c>
      <c r="C187" s="26">
        <v>1183</v>
      </c>
      <c r="D187" s="26"/>
      <c r="E187" s="26"/>
      <c r="F187" s="26"/>
      <c r="G187" s="26"/>
      <c r="H187" s="12">
        <v>1179</v>
      </c>
      <c r="I187" s="12">
        <v>1179</v>
      </c>
      <c r="J187" s="12">
        <v>1179</v>
      </c>
      <c r="K187" s="12">
        <v>1179</v>
      </c>
      <c r="L187" s="12">
        <v>1179</v>
      </c>
      <c r="M187" s="12">
        <v>1179</v>
      </c>
      <c r="N187" s="12">
        <v>1179</v>
      </c>
      <c r="O187" s="12">
        <v>1179</v>
      </c>
      <c r="P187" s="12"/>
      <c r="Q187" s="12"/>
      <c r="R187" s="12">
        <v>1179</v>
      </c>
      <c r="S187" s="12">
        <v>1179</v>
      </c>
      <c r="T187" s="12">
        <v>1179</v>
      </c>
      <c r="U187" s="12">
        <v>1179</v>
      </c>
      <c r="V187" s="26"/>
      <c r="W187" s="26"/>
      <c r="X187" s="12">
        <v>1179</v>
      </c>
      <c r="Y187" s="12">
        <v>1179</v>
      </c>
    </row>
    <row r="188" spans="1:27" s="58" customFormat="1" x14ac:dyDescent="0.65">
      <c r="A188" s="108">
        <v>4</v>
      </c>
      <c r="B188" s="26">
        <v>1183</v>
      </c>
      <c r="C188" s="26">
        <v>1183</v>
      </c>
      <c r="D188" s="26"/>
      <c r="E188" s="26"/>
      <c r="F188" s="12">
        <v>1179</v>
      </c>
      <c r="G188" s="12">
        <v>1179</v>
      </c>
      <c r="H188" s="12">
        <v>1179</v>
      </c>
      <c r="I188" s="12">
        <v>1179</v>
      </c>
      <c r="J188" s="26"/>
      <c r="K188" s="26"/>
      <c r="L188" s="12">
        <v>1179</v>
      </c>
      <c r="M188" s="12">
        <v>1179</v>
      </c>
      <c r="N188" s="12">
        <v>1179</v>
      </c>
      <c r="O188" s="12">
        <v>1179</v>
      </c>
      <c r="P188" s="12"/>
      <c r="Q188" s="12"/>
      <c r="R188" s="12">
        <v>1179</v>
      </c>
      <c r="S188" s="12">
        <v>1179</v>
      </c>
      <c r="T188" s="12">
        <v>1179</v>
      </c>
      <c r="U188" s="12">
        <v>1179</v>
      </c>
      <c r="V188" s="12">
        <v>1179</v>
      </c>
      <c r="W188" s="12">
        <v>1179</v>
      </c>
      <c r="X188" s="12">
        <v>1179</v>
      </c>
      <c r="Y188" s="12">
        <v>1179</v>
      </c>
    </row>
    <row r="189" spans="1:27" s="58" customFormat="1" x14ac:dyDescent="0.65">
      <c r="A189" s="108">
        <v>5</v>
      </c>
      <c r="B189" s="26">
        <v>1183</v>
      </c>
      <c r="C189" s="26">
        <v>1183</v>
      </c>
      <c r="D189" s="26"/>
      <c r="E189" s="26"/>
      <c r="F189" s="12">
        <v>1179</v>
      </c>
      <c r="G189" s="12">
        <v>1179</v>
      </c>
      <c r="H189" s="12">
        <v>1179</v>
      </c>
      <c r="I189" s="12">
        <v>1179</v>
      </c>
      <c r="J189" s="26"/>
      <c r="K189" s="26"/>
      <c r="L189" s="12">
        <v>1179</v>
      </c>
      <c r="M189" s="12">
        <v>1179</v>
      </c>
      <c r="N189" s="12">
        <v>1179</v>
      </c>
      <c r="O189" s="12">
        <v>1179</v>
      </c>
      <c r="P189" s="12">
        <v>1179</v>
      </c>
      <c r="Q189" s="12">
        <v>1179</v>
      </c>
      <c r="R189" s="12">
        <v>1179</v>
      </c>
      <c r="S189" s="12">
        <v>1179</v>
      </c>
      <c r="T189" s="26"/>
      <c r="U189" s="26"/>
      <c r="V189" s="12">
        <v>1179</v>
      </c>
      <c r="W189" s="12">
        <v>1179</v>
      </c>
      <c r="X189" s="12">
        <v>1179</v>
      </c>
      <c r="Y189" s="12">
        <v>1179</v>
      </c>
    </row>
    <row r="190" spans="1:27" s="58" customFormat="1" x14ac:dyDescent="0.65">
      <c r="A190" s="108">
        <v>6</v>
      </c>
      <c r="B190" s="26"/>
      <c r="C190" s="26"/>
      <c r="D190" s="12">
        <v>1179</v>
      </c>
      <c r="E190" s="12">
        <v>1179</v>
      </c>
      <c r="F190" s="12">
        <v>1179</v>
      </c>
      <c r="G190" s="12">
        <v>1179</v>
      </c>
      <c r="H190" s="26"/>
      <c r="I190" s="26"/>
      <c r="J190" s="12">
        <v>1179</v>
      </c>
      <c r="K190" s="12">
        <v>1179</v>
      </c>
      <c r="L190" s="12">
        <v>1179</v>
      </c>
      <c r="M190" s="12">
        <v>1179</v>
      </c>
      <c r="N190" s="12"/>
      <c r="O190" s="12"/>
      <c r="P190" s="12">
        <v>1179</v>
      </c>
      <c r="Q190" s="12">
        <v>1179</v>
      </c>
      <c r="R190" s="12">
        <v>1179</v>
      </c>
      <c r="S190" s="12">
        <v>1179</v>
      </c>
      <c r="T190" s="26"/>
      <c r="U190" s="26"/>
      <c r="V190" s="12">
        <v>1179</v>
      </c>
      <c r="W190" s="12">
        <v>1179</v>
      </c>
      <c r="X190" s="12">
        <v>1179</v>
      </c>
      <c r="Y190" s="12">
        <v>1179</v>
      </c>
    </row>
    <row r="191" spans="1:27" s="58" customFormat="1" x14ac:dyDescent="0.65">
      <c r="A191" s="108">
        <v>7</v>
      </c>
      <c r="B191" s="26"/>
      <c r="C191" s="26"/>
      <c r="D191" s="12">
        <v>1179</v>
      </c>
      <c r="E191" s="12">
        <v>1179</v>
      </c>
      <c r="F191" s="12">
        <v>1179</v>
      </c>
      <c r="G191" s="12">
        <v>1179</v>
      </c>
      <c r="H191" s="26"/>
      <c r="I191" s="26"/>
      <c r="J191" s="12">
        <v>1179</v>
      </c>
      <c r="K191" s="12">
        <v>1179</v>
      </c>
      <c r="L191" s="12">
        <v>1179</v>
      </c>
      <c r="M191" s="12">
        <v>1179</v>
      </c>
      <c r="N191" s="12"/>
      <c r="O191" s="12"/>
      <c r="P191" s="12">
        <v>1179</v>
      </c>
      <c r="Q191" s="12">
        <v>1179</v>
      </c>
      <c r="R191" s="12"/>
      <c r="S191" s="12"/>
      <c r="T191" s="12">
        <v>1179</v>
      </c>
      <c r="U191" s="12">
        <v>1179</v>
      </c>
      <c r="V191" s="12">
        <v>1179</v>
      </c>
      <c r="W191" s="12">
        <v>1179</v>
      </c>
      <c r="X191" s="26"/>
      <c r="Y191" s="26"/>
    </row>
    <row r="192" spans="1:27" s="58" customFormat="1" x14ac:dyDescent="0.65">
      <c r="A192" s="108">
        <v>8</v>
      </c>
      <c r="B192" s="26">
        <v>1183</v>
      </c>
      <c r="C192" s="26">
        <v>1183</v>
      </c>
      <c r="D192" s="12">
        <v>1179</v>
      </c>
      <c r="E192" s="12">
        <v>1179</v>
      </c>
      <c r="F192" s="12">
        <v>1179</v>
      </c>
      <c r="G192" s="12">
        <v>1179</v>
      </c>
      <c r="H192" s="12">
        <v>1179</v>
      </c>
      <c r="I192" s="12">
        <v>1179</v>
      </c>
      <c r="J192" s="12">
        <v>1179</v>
      </c>
      <c r="K192" s="12">
        <v>1179</v>
      </c>
      <c r="L192" s="12"/>
      <c r="M192" s="12"/>
      <c r="N192" s="12">
        <v>1179</v>
      </c>
      <c r="O192" s="12">
        <v>1179</v>
      </c>
      <c r="P192" s="12">
        <v>1179</v>
      </c>
      <c r="Q192" s="12">
        <v>1179</v>
      </c>
      <c r="R192" s="12"/>
      <c r="S192" s="12"/>
      <c r="T192" s="12">
        <v>1179</v>
      </c>
      <c r="U192" s="12">
        <v>1179</v>
      </c>
      <c r="V192" s="12">
        <v>1179</v>
      </c>
      <c r="W192" s="12">
        <v>1179</v>
      </c>
      <c r="X192" s="26"/>
      <c r="Y192" s="26"/>
    </row>
    <row r="193" spans="1:25" s="58" customFormat="1" x14ac:dyDescent="0.65">
      <c r="A193" s="108">
        <v>9</v>
      </c>
      <c r="B193" s="26">
        <v>1183</v>
      </c>
      <c r="C193" s="26">
        <v>1183</v>
      </c>
      <c r="D193" s="12">
        <v>1179</v>
      </c>
      <c r="E193" s="12">
        <v>1179</v>
      </c>
      <c r="F193" s="26"/>
      <c r="G193" s="26"/>
      <c r="H193" s="12">
        <v>1179</v>
      </c>
      <c r="I193" s="12">
        <v>1179</v>
      </c>
      <c r="J193" s="12">
        <v>1179</v>
      </c>
      <c r="K193" s="12">
        <v>1179</v>
      </c>
      <c r="L193" s="12"/>
      <c r="M193" s="12"/>
      <c r="N193" s="12">
        <v>1179</v>
      </c>
      <c r="O193" s="12">
        <v>1179</v>
      </c>
      <c r="P193" s="12"/>
      <c r="Q193" s="12"/>
      <c r="R193" s="12">
        <v>1179</v>
      </c>
      <c r="S193" s="12">
        <v>1179</v>
      </c>
      <c r="T193" s="12">
        <v>1179</v>
      </c>
      <c r="U193" s="12">
        <v>1179</v>
      </c>
      <c r="V193" s="26"/>
      <c r="W193" s="26"/>
      <c r="X193" s="12">
        <v>1179</v>
      </c>
      <c r="Y193" s="12">
        <v>1179</v>
      </c>
    </row>
    <row r="194" spans="1:25" s="58" customFormat="1" x14ac:dyDescent="0.65">
      <c r="A194" s="108">
        <v>10</v>
      </c>
      <c r="B194" s="26">
        <v>1183</v>
      </c>
      <c r="C194" s="26">
        <v>1183</v>
      </c>
      <c r="D194" s="26"/>
      <c r="E194" s="26"/>
      <c r="F194" s="26"/>
      <c r="G194" s="26"/>
      <c r="H194" s="12">
        <v>1179</v>
      </c>
      <c r="I194" s="12">
        <v>1179</v>
      </c>
      <c r="J194" s="12">
        <v>1179</v>
      </c>
      <c r="K194" s="12">
        <v>1179</v>
      </c>
      <c r="L194" s="26">
        <v>1179</v>
      </c>
      <c r="M194" s="26">
        <v>1179</v>
      </c>
      <c r="N194" s="12">
        <v>1179</v>
      </c>
      <c r="O194" s="12">
        <v>1179</v>
      </c>
      <c r="P194" s="12"/>
      <c r="Q194" s="12"/>
      <c r="R194" s="12">
        <v>1179</v>
      </c>
      <c r="S194" s="12">
        <v>1179</v>
      </c>
      <c r="T194" s="12">
        <v>1179</v>
      </c>
      <c r="U194" s="12">
        <v>1179</v>
      </c>
      <c r="V194" s="26"/>
      <c r="W194" s="26"/>
      <c r="X194" s="12">
        <v>1179</v>
      </c>
      <c r="Y194" s="12">
        <v>1179</v>
      </c>
    </row>
    <row r="195" spans="1:25" s="58" customFormat="1" x14ac:dyDescent="0.65">
      <c r="A195" s="108">
        <v>11</v>
      </c>
      <c r="B195" s="26">
        <v>1183</v>
      </c>
      <c r="C195" s="26">
        <v>1183</v>
      </c>
      <c r="D195" s="26"/>
      <c r="E195" s="26"/>
      <c r="F195" s="12">
        <v>1179</v>
      </c>
      <c r="G195" s="12">
        <v>1179</v>
      </c>
      <c r="H195" s="12">
        <v>1179</v>
      </c>
      <c r="I195" s="12">
        <v>1179</v>
      </c>
      <c r="J195" s="26"/>
      <c r="K195" s="26"/>
      <c r="L195" s="26">
        <v>1179</v>
      </c>
      <c r="M195" s="26">
        <v>1179</v>
      </c>
      <c r="N195" s="12">
        <v>1179</v>
      </c>
      <c r="O195" s="12">
        <v>1179</v>
      </c>
      <c r="P195" s="12"/>
      <c r="Q195" s="12"/>
      <c r="R195" s="12">
        <v>1179</v>
      </c>
      <c r="S195" s="12">
        <v>1179</v>
      </c>
      <c r="T195" s="12">
        <v>1179</v>
      </c>
      <c r="U195" s="12">
        <v>1179</v>
      </c>
      <c r="V195" s="12">
        <v>1179</v>
      </c>
      <c r="W195" s="12">
        <v>1179</v>
      </c>
      <c r="X195" s="12">
        <v>1179</v>
      </c>
      <c r="Y195" s="12">
        <v>1179</v>
      </c>
    </row>
    <row r="196" spans="1:25" s="58" customFormat="1" x14ac:dyDescent="0.65">
      <c r="A196" s="108">
        <v>12</v>
      </c>
      <c r="B196" s="26">
        <v>1183</v>
      </c>
      <c r="C196" s="26">
        <v>1183</v>
      </c>
      <c r="D196" s="12">
        <v>1179</v>
      </c>
      <c r="E196" s="12">
        <v>1179</v>
      </c>
      <c r="F196" s="12">
        <v>1179</v>
      </c>
      <c r="G196" s="12">
        <v>1179</v>
      </c>
      <c r="H196" s="12">
        <v>1179</v>
      </c>
      <c r="I196" s="12">
        <v>1179</v>
      </c>
      <c r="J196" s="26"/>
      <c r="K196" s="26"/>
      <c r="L196" s="26">
        <v>1179</v>
      </c>
      <c r="M196" s="26">
        <v>1179</v>
      </c>
      <c r="N196" s="12">
        <v>1179</v>
      </c>
      <c r="O196" s="12">
        <v>1179</v>
      </c>
      <c r="P196" s="12">
        <v>1179</v>
      </c>
      <c r="Q196" s="12">
        <v>1179</v>
      </c>
      <c r="R196" s="12">
        <v>1179</v>
      </c>
      <c r="S196" s="12">
        <v>1179</v>
      </c>
      <c r="T196" s="26"/>
      <c r="U196" s="26"/>
      <c r="V196" s="12">
        <v>1179</v>
      </c>
      <c r="W196" s="12">
        <v>1179</v>
      </c>
      <c r="X196" s="12">
        <v>1179</v>
      </c>
      <c r="Y196" s="12">
        <v>1179</v>
      </c>
    </row>
    <row r="197" spans="1:25" s="58" customFormat="1" x14ac:dyDescent="0.65">
      <c r="A197" s="108">
        <v>13</v>
      </c>
      <c r="B197" s="26"/>
      <c r="C197" s="26"/>
      <c r="D197" s="12">
        <v>1179</v>
      </c>
      <c r="E197" s="12">
        <v>1179</v>
      </c>
      <c r="F197" s="12">
        <v>1179</v>
      </c>
      <c r="G197" s="12">
        <v>1179</v>
      </c>
      <c r="H197" s="26"/>
      <c r="I197" s="26"/>
      <c r="J197" s="12">
        <v>1179</v>
      </c>
      <c r="K197" s="12">
        <v>1179</v>
      </c>
      <c r="L197" s="26">
        <v>1179</v>
      </c>
      <c r="M197" s="26">
        <v>1179</v>
      </c>
      <c r="N197" s="12"/>
      <c r="O197" s="12"/>
      <c r="P197" s="12">
        <v>1179</v>
      </c>
      <c r="Q197" s="12">
        <v>1179</v>
      </c>
      <c r="R197" s="12">
        <v>1179</v>
      </c>
      <c r="S197" s="12">
        <v>1179</v>
      </c>
      <c r="T197" s="26"/>
      <c r="U197" s="26"/>
      <c r="V197" s="12">
        <v>1179</v>
      </c>
      <c r="W197" s="12">
        <v>1179</v>
      </c>
      <c r="X197" s="12">
        <v>1179</v>
      </c>
      <c r="Y197" s="12">
        <v>1179</v>
      </c>
    </row>
    <row r="198" spans="1:25" s="58" customFormat="1" x14ac:dyDescent="0.65">
      <c r="A198" s="108">
        <v>14</v>
      </c>
      <c r="B198" s="26"/>
      <c r="C198" s="26"/>
      <c r="D198" s="12">
        <v>1179</v>
      </c>
      <c r="E198" s="12">
        <v>1179</v>
      </c>
      <c r="F198" s="12">
        <v>1179</v>
      </c>
      <c r="G198" s="12">
        <v>1179</v>
      </c>
      <c r="H198" s="26"/>
      <c r="I198" s="26"/>
      <c r="J198" s="12">
        <v>1179</v>
      </c>
      <c r="K198" s="12">
        <v>1179</v>
      </c>
      <c r="L198" s="12"/>
      <c r="M198" s="12"/>
      <c r="N198" s="12"/>
      <c r="O198" s="12"/>
      <c r="P198" s="12">
        <v>1179</v>
      </c>
      <c r="Q198" s="12">
        <v>1179</v>
      </c>
      <c r="R198" s="12"/>
      <c r="S198" s="12"/>
      <c r="T198" s="12">
        <v>1179</v>
      </c>
      <c r="U198" s="12">
        <v>1179</v>
      </c>
      <c r="V198" s="12">
        <v>1179</v>
      </c>
      <c r="W198" s="12">
        <v>1179</v>
      </c>
      <c r="X198" s="26"/>
      <c r="Y198" s="26"/>
    </row>
    <row r="199" spans="1:25" s="58" customFormat="1" x14ac:dyDescent="0.65">
      <c r="A199" s="108">
        <v>15</v>
      </c>
      <c r="B199" s="26">
        <v>1183</v>
      </c>
      <c r="C199" s="26">
        <v>1183</v>
      </c>
      <c r="D199" s="12">
        <v>1179</v>
      </c>
      <c r="E199" s="12">
        <v>1179</v>
      </c>
      <c r="F199" s="12">
        <v>1179</v>
      </c>
      <c r="G199" s="12">
        <v>1179</v>
      </c>
      <c r="H199" s="12">
        <v>1179</v>
      </c>
      <c r="I199" s="12">
        <v>1179</v>
      </c>
      <c r="J199" s="12">
        <v>1179</v>
      </c>
      <c r="K199" s="12">
        <v>1179</v>
      </c>
      <c r="L199" s="12"/>
      <c r="M199" s="12"/>
      <c r="N199" s="12">
        <v>1179</v>
      </c>
      <c r="O199" s="12">
        <v>1179</v>
      </c>
      <c r="P199" s="12">
        <v>1179</v>
      </c>
      <c r="Q199" s="12">
        <v>1179</v>
      </c>
      <c r="R199" s="12"/>
      <c r="S199" s="12"/>
      <c r="T199" s="12">
        <v>1179</v>
      </c>
      <c r="U199" s="12">
        <v>1179</v>
      </c>
      <c r="V199" s="26"/>
      <c r="W199" s="26"/>
      <c r="X199" s="26"/>
      <c r="Y199" s="26"/>
    </row>
    <row r="200" spans="1:25" s="58" customFormat="1" x14ac:dyDescent="0.65">
      <c r="A200" s="108">
        <v>16</v>
      </c>
      <c r="B200" s="26">
        <v>1183</v>
      </c>
      <c r="C200" s="26">
        <v>1183</v>
      </c>
      <c r="D200" s="12">
        <v>1179</v>
      </c>
      <c r="E200" s="12">
        <v>1179</v>
      </c>
      <c r="F200" s="26"/>
      <c r="G200" s="26"/>
      <c r="H200" s="12">
        <v>1179</v>
      </c>
      <c r="I200" s="12">
        <v>1179</v>
      </c>
      <c r="J200" s="12">
        <v>1179</v>
      </c>
      <c r="K200" s="12">
        <v>1179</v>
      </c>
      <c r="L200" s="12"/>
      <c r="M200" s="12"/>
      <c r="N200" s="12">
        <v>1179</v>
      </c>
      <c r="O200" s="12">
        <v>1179</v>
      </c>
      <c r="P200" s="12">
        <v>1179</v>
      </c>
      <c r="Q200" s="12">
        <v>1179</v>
      </c>
      <c r="R200" s="12">
        <v>1179</v>
      </c>
      <c r="S200" s="12">
        <v>1179</v>
      </c>
      <c r="T200" s="12">
        <v>1179</v>
      </c>
      <c r="U200" s="12">
        <v>1179</v>
      </c>
      <c r="V200" s="26"/>
      <c r="W200" s="26"/>
      <c r="X200" s="12">
        <v>1179</v>
      </c>
      <c r="Y200" s="12">
        <v>1179</v>
      </c>
    </row>
    <row r="201" spans="1:25" s="58" customFormat="1" x14ac:dyDescent="0.65">
      <c r="A201" s="108">
        <v>17</v>
      </c>
      <c r="B201" s="26">
        <v>1183</v>
      </c>
      <c r="C201" s="26">
        <v>1183</v>
      </c>
      <c r="D201" s="26"/>
      <c r="E201" s="26"/>
      <c r="F201" s="26"/>
      <c r="G201" s="26"/>
      <c r="H201" s="12">
        <v>1179</v>
      </c>
      <c r="I201" s="12">
        <v>1179</v>
      </c>
      <c r="J201" s="12">
        <v>1179</v>
      </c>
      <c r="K201" s="12">
        <v>1179</v>
      </c>
      <c r="L201" s="26">
        <v>1179</v>
      </c>
      <c r="M201" s="26">
        <v>1179</v>
      </c>
      <c r="N201" s="12">
        <v>1179</v>
      </c>
      <c r="O201" s="12">
        <v>1179</v>
      </c>
      <c r="P201" s="12"/>
      <c r="Q201" s="12"/>
      <c r="R201" s="12">
        <v>1179</v>
      </c>
      <c r="S201" s="12">
        <v>1179</v>
      </c>
      <c r="T201" s="12">
        <v>1179</v>
      </c>
      <c r="U201" s="12">
        <v>1179</v>
      </c>
      <c r="V201" s="26"/>
      <c r="W201" s="26"/>
      <c r="X201" s="12">
        <v>1179</v>
      </c>
      <c r="Y201" s="12">
        <v>1179</v>
      </c>
    </row>
    <row r="202" spans="1:25" s="58" customFormat="1" x14ac:dyDescent="0.65">
      <c r="A202" s="108">
        <v>18</v>
      </c>
      <c r="B202" s="26">
        <v>1183</v>
      </c>
      <c r="C202" s="26">
        <v>1183</v>
      </c>
      <c r="D202" s="26"/>
      <c r="E202" s="26"/>
      <c r="F202" s="12">
        <v>1179</v>
      </c>
      <c r="G202" s="12">
        <v>1179</v>
      </c>
      <c r="H202" s="12">
        <v>1179</v>
      </c>
      <c r="I202" s="12">
        <v>1179</v>
      </c>
      <c r="J202" s="26"/>
      <c r="K202" s="26"/>
      <c r="L202" s="26">
        <v>1179</v>
      </c>
      <c r="M202" s="26">
        <v>1179</v>
      </c>
      <c r="N202" s="12">
        <v>1179</v>
      </c>
      <c r="O202" s="12">
        <v>1179</v>
      </c>
      <c r="P202" s="12"/>
      <c r="Q202" s="12"/>
      <c r="R202" s="12">
        <v>1179</v>
      </c>
      <c r="S202" s="12">
        <v>1179</v>
      </c>
      <c r="T202" s="12">
        <v>1179</v>
      </c>
      <c r="U202" s="12">
        <v>1179</v>
      </c>
      <c r="V202" s="12">
        <v>1179</v>
      </c>
      <c r="W202" s="12">
        <v>1179</v>
      </c>
      <c r="X202" s="12">
        <v>1179</v>
      </c>
      <c r="Y202" s="12">
        <v>1179</v>
      </c>
    </row>
    <row r="203" spans="1:25" s="58" customFormat="1" x14ac:dyDescent="0.65">
      <c r="A203" s="108">
        <v>19</v>
      </c>
      <c r="B203" s="26">
        <v>1183</v>
      </c>
      <c r="C203" s="26">
        <v>1183</v>
      </c>
      <c r="D203" s="12">
        <v>1179</v>
      </c>
      <c r="E203" s="12">
        <v>1179</v>
      </c>
      <c r="F203" s="12">
        <v>1179</v>
      </c>
      <c r="G203" s="12">
        <v>1179</v>
      </c>
      <c r="H203" s="12">
        <v>1179</v>
      </c>
      <c r="I203" s="12">
        <v>1179</v>
      </c>
      <c r="J203" s="26"/>
      <c r="K203" s="26"/>
      <c r="L203" s="26">
        <v>1179</v>
      </c>
      <c r="M203" s="26">
        <v>1179</v>
      </c>
      <c r="N203" s="12">
        <v>1179</v>
      </c>
      <c r="O203" s="12">
        <v>1179</v>
      </c>
      <c r="P203" s="12"/>
      <c r="Q203" s="12"/>
      <c r="R203" s="12">
        <v>1179</v>
      </c>
      <c r="S203" s="12">
        <v>1179</v>
      </c>
      <c r="T203" s="26"/>
      <c r="U203" s="26"/>
      <c r="V203" s="12">
        <v>1179</v>
      </c>
      <c r="W203" s="12">
        <v>1179</v>
      </c>
      <c r="X203" s="12">
        <v>1179</v>
      </c>
      <c r="Y203" s="12">
        <v>1179</v>
      </c>
    </row>
    <row r="204" spans="1:25" s="58" customFormat="1" x14ac:dyDescent="0.65">
      <c r="A204" s="108">
        <v>20</v>
      </c>
      <c r="B204" s="26"/>
      <c r="C204" s="26"/>
      <c r="D204" s="26">
        <v>1179</v>
      </c>
      <c r="E204" s="26">
        <v>1179</v>
      </c>
      <c r="F204" s="12">
        <v>1179</v>
      </c>
      <c r="G204" s="12">
        <v>1179</v>
      </c>
      <c r="H204" s="26"/>
      <c r="I204" s="26"/>
      <c r="J204" s="12">
        <v>1179</v>
      </c>
      <c r="K204" s="12">
        <v>1179</v>
      </c>
      <c r="L204" s="26">
        <v>1179</v>
      </c>
      <c r="M204" s="26">
        <v>1179</v>
      </c>
      <c r="N204" s="12"/>
      <c r="O204" s="12"/>
      <c r="P204" s="12"/>
      <c r="Q204" s="12"/>
      <c r="R204" s="12">
        <v>1179</v>
      </c>
      <c r="S204" s="12">
        <v>1179</v>
      </c>
      <c r="T204" s="26"/>
      <c r="U204" s="26"/>
      <c r="V204" s="12">
        <v>1179</v>
      </c>
      <c r="W204" s="12">
        <v>1179</v>
      </c>
      <c r="X204" s="12">
        <v>1179</v>
      </c>
      <c r="Y204" s="12">
        <v>1179</v>
      </c>
    </row>
    <row r="205" spans="1:25" s="58" customFormat="1" x14ac:dyDescent="0.65">
      <c r="A205" s="108">
        <v>21</v>
      </c>
      <c r="B205" s="26"/>
      <c r="C205" s="26"/>
      <c r="D205" s="26">
        <v>1179</v>
      </c>
      <c r="E205" s="26">
        <v>1179</v>
      </c>
      <c r="F205" s="26"/>
      <c r="G205" s="26"/>
      <c r="H205" s="26"/>
      <c r="I205" s="26"/>
      <c r="J205" s="12">
        <v>1179</v>
      </c>
      <c r="K205" s="12">
        <v>1179</v>
      </c>
      <c r="L205" s="26">
        <v>1179</v>
      </c>
      <c r="M205" s="26">
        <v>1179</v>
      </c>
      <c r="N205" s="12"/>
      <c r="O205" s="12"/>
      <c r="P205" s="12"/>
      <c r="Q205" s="12"/>
      <c r="R205" s="12"/>
      <c r="S205" s="12"/>
      <c r="T205" s="12">
        <v>1179</v>
      </c>
      <c r="U205" s="12">
        <v>1179</v>
      </c>
      <c r="V205" s="12">
        <v>1179</v>
      </c>
      <c r="W205" s="12">
        <v>1179</v>
      </c>
      <c r="X205" s="26"/>
      <c r="Y205" s="26"/>
    </row>
    <row r="206" spans="1:25" s="58" customFormat="1" x14ac:dyDescent="0.65">
      <c r="A206" s="108">
        <v>22</v>
      </c>
      <c r="B206" s="26">
        <v>1179</v>
      </c>
      <c r="C206" s="26">
        <v>1179</v>
      </c>
      <c r="D206" s="26">
        <v>1179</v>
      </c>
      <c r="E206" s="26">
        <v>1179</v>
      </c>
      <c r="F206" s="12">
        <v>1179</v>
      </c>
      <c r="G206" s="12">
        <v>1179</v>
      </c>
      <c r="H206" s="12">
        <v>1179</v>
      </c>
      <c r="I206" s="12">
        <v>1179</v>
      </c>
      <c r="J206" s="12">
        <v>1179</v>
      </c>
      <c r="K206" s="12">
        <v>1179</v>
      </c>
      <c r="L206" s="12"/>
      <c r="M206" s="12"/>
      <c r="N206" s="12">
        <v>1179</v>
      </c>
      <c r="O206" s="12">
        <v>1179</v>
      </c>
      <c r="P206" s="12"/>
      <c r="Q206" s="12"/>
      <c r="R206" s="12"/>
      <c r="S206" s="12"/>
      <c r="T206" s="12">
        <v>1179</v>
      </c>
      <c r="U206" s="12">
        <v>1179</v>
      </c>
      <c r="V206" s="12">
        <v>1179</v>
      </c>
      <c r="W206" s="12">
        <v>1179</v>
      </c>
      <c r="X206" s="26"/>
      <c r="Y206" s="26"/>
    </row>
    <row r="207" spans="1:25" s="58" customFormat="1" x14ac:dyDescent="0.65">
      <c r="A207" s="108">
        <v>23</v>
      </c>
      <c r="B207" s="26">
        <v>1179</v>
      </c>
      <c r="C207" s="26">
        <v>1179</v>
      </c>
      <c r="D207" s="26">
        <v>1179</v>
      </c>
      <c r="E207" s="26">
        <v>1179</v>
      </c>
      <c r="F207" s="26"/>
      <c r="G207" s="26"/>
      <c r="H207" s="12">
        <v>1179</v>
      </c>
      <c r="I207" s="12">
        <v>1179</v>
      </c>
      <c r="J207" s="12">
        <v>1179</v>
      </c>
      <c r="K207" s="12">
        <v>1179</v>
      </c>
      <c r="L207" s="12"/>
      <c r="M207" s="12"/>
      <c r="N207" s="12">
        <v>1179</v>
      </c>
      <c r="O207" s="12">
        <v>1179</v>
      </c>
      <c r="P207" s="12"/>
      <c r="Q207" s="12"/>
      <c r="R207" s="12">
        <v>1179</v>
      </c>
      <c r="S207" s="12">
        <v>1179</v>
      </c>
      <c r="T207" s="12">
        <v>1179</v>
      </c>
      <c r="U207" s="12">
        <v>1179</v>
      </c>
      <c r="V207" s="26"/>
      <c r="W207" s="26"/>
      <c r="X207" s="12">
        <v>1179</v>
      </c>
      <c r="Y207" s="12">
        <v>1179</v>
      </c>
    </row>
    <row r="208" spans="1:25" s="58" customFormat="1" x14ac:dyDescent="0.65">
      <c r="A208" s="108">
        <v>24</v>
      </c>
      <c r="B208" s="26">
        <v>1179</v>
      </c>
      <c r="C208" s="26">
        <v>1179</v>
      </c>
      <c r="D208" s="26"/>
      <c r="E208" s="26"/>
      <c r="F208" s="26"/>
      <c r="G208" s="26"/>
      <c r="H208" s="12">
        <v>1179</v>
      </c>
      <c r="I208" s="12">
        <v>1179</v>
      </c>
      <c r="J208" s="12">
        <v>1179</v>
      </c>
      <c r="K208" s="12">
        <v>1179</v>
      </c>
      <c r="L208" s="26">
        <v>1179</v>
      </c>
      <c r="M208" s="26">
        <v>1179</v>
      </c>
      <c r="N208" s="12">
        <v>1179</v>
      </c>
      <c r="O208" s="12">
        <v>1179</v>
      </c>
      <c r="P208" s="12"/>
      <c r="Q208" s="12"/>
      <c r="R208" s="12">
        <v>1179</v>
      </c>
      <c r="S208" s="12">
        <v>1179</v>
      </c>
      <c r="T208" s="12">
        <v>1179</v>
      </c>
      <c r="U208" s="12">
        <v>1179</v>
      </c>
      <c r="V208" s="26"/>
      <c r="W208" s="26"/>
      <c r="X208" s="12">
        <v>1179</v>
      </c>
      <c r="Y208" s="12">
        <v>1179</v>
      </c>
    </row>
    <row r="209" spans="1:27" s="58" customFormat="1" x14ac:dyDescent="0.65">
      <c r="A209" s="108">
        <v>25</v>
      </c>
      <c r="B209" s="26">
        <v>1179</v>
      </c>
      <c r="C209" s="26">
        <v>1179</v>
      </c>
      <c r="D209" s="26"/>
      <c r="E209" s="26"/>
      <c r="F209" s="26"/>
      <c r="G209" s="26"/>
      <c r="H209" s="12">
        <v>1179</v>
      </c>
      <c r="I209" s="12">
        <v>1179</v>
      </c>
      <c r="J209" s="26"/>
      <c r="K209" s="26"/>
      <c r="L209" s="26">
        <v>1179</v>
      </c>
      <c r="M209" s="26">
        <v>1179</v>
      </c>
      <c r="N209" s="12">
        <v>1179</v>
      </c>
      <c r="O209" s="12">
        <v>1179</v>
      </c>
      <c r="P209" s="12"/>
      <c r="Q209" s="12"/>
      <c r="R209" s="12">
        <v>1179</v>
      </c>
      <c r="S209" s="12">
        <v>1179</v>
      </c>
      <c r="T209" s="12">
        <v>1179</v>
      </c>
      <c r="U209" s="12">
        <v>1179</v>
      </c>
      <c r="V209" s="12">
        <v>1179</v>
      </c>
      <c r="W209" s="12">
        <v>1179</v>
      </c>
      <c r="X209" s="12">
        <v>1179</v>
      </c>
      <c r="Y209" s="12">
        <v>1179</v>
      </c>
    </row>
    <row r="210" spans="1:27" s="58" customFormat="1" x14ac:dyDescent="0.65">
      <c r="A210" s="108">
        <v>26</v>
      </c>
      <c r="B210" s="26">
        <v>1179</v>
      </c>
      <c r="C210" s="26">
        <v>1179</v>
      </c>
      <c r="D210" s="26">
        <v>1179</v>
      </c>
      <c r="E210" s="26">
        <v>1179</v>
      </c>
      <c r="F210" s="26"/>
      <c r="G210" s="26"/>
      <c r="H210" s="12">
        <v>1179</v>
      </c>
      <c r="I210" s="12">
        <v>1179</v>
      </c>
      <c r="J210" s="26"/>
      <c r="K210" s="26"/>
      <c r="L210" s="26">
        <v>1179</v>
      </c>
      <c r="M210" s="26">
        <v>1179</v>
      </c>
      <c r="N210" s="12"/>
      <c r="O210" s="12"/>
      <c r="P210" s="12">
        <v>1179</v>
      </c>
      <c r="Q210" s="12">
        <v>1179</v>
      </c>
      <c r="R210" s="12">
        <v>1179</v>
      </c>
      <c r="S210" s="12">
        <v>1179</v>
      </c>
      <c r="T210" s="26"/>
      <c r="U210" s="26"/>
      <c r="V210" s="12">
        <v>1179</v>
      </c>
      <c r="W210" s="12">
        <v>1179</v>
      </c>
      <c r="X210" s="12">
        <v>1179</v>
      </c>
      <c r="Y210" s="12">
        <v>1179</v>
      </c>
    </row>
    <row r="211" spans="1:27" s="58" customFormat="1" x14ac:dyDescent="0.65">
      <c r="A211" s="108">
        <v>27</v>
      </c>
      <c r="B211" s="26"/>
      <c r="C211" s="26"/>
      <c r="D211" s="26">
        <v>1179</v>
      </c>
      <c r="E211" s="26">
        <v>1179</v>
      </c>
      <c r="F211" s="26"/>
      <c r="G211" s="26"/>
      <c r="H211" s="53"/>
      <c r="I211" s="53"/>
      <c r="J211" s="12">
        <v>1179</v>
      </c>
      <c r="K211" s="12">
        <v>1179</v>
      </c>
      <c r="L211" s="26">
        <v>1179</v>
      </c>
      <c r="M211" s="26">
        <v>1179</v>
      </c>
      <c r="N211" s="12"/>
      <c r="O211" s="12"/>
      <c r="P211" s="12">
        <v>1179</v>
      </c>
      <c r="Q211" s="12">
        <v>1179</v>
      </c>
      <c r="R211" s="12">
        <v>1179</v>
      </c>
      <c r="S211" s="12">
        <v>1179</v>
      </c>
      <c r="T211" s="26"/>
      <c r="U211" s="26"/>
      <c r="V211" s="12">
        <v>1179</v>
      </c>
      <c r="W211" s="12">
        <v>1179</v>
      </c>
      <c r="X211" s="12">
        <v>1179</v>
      </c>
      <c r="Y211" s="12">
        <v>1179</v>
      </c>
    </row>
    <row r="212" spans="1:27" s="58" customFormat="1" x14ac:dyDescent="0.65">
      <c r="A212" s="108">
        <v>28</v>
      </c>
      <c r="B212" s="26"/>
      <c r="C212" s="26"/>
      <c r="D212" s="26">
        <v>1179</v>
      </c>
      <c r="E212" s="26">
        <v>1179</v>
      </c>
      <c r="F212" s="26"/>
      <c r="G212" s="26"/>
      <c r="H212" s="26"/>
      <c r="I212" s="26"/>
      <c r="J212" s="12">
        <v>1179</v>
      </c>
      <c r="K212" s="12">
        <v>1179</v>
      </c>
      <c r="L212" s="26">
        <v>1179</v>
      </c>
      <c r="M212" s="26">
        <v>1179</v>
      </c>
      <c r="N212" s="12"/>
      <c r="O212" s="12"/>
      <c r="P212" s="12">
        <v>1179</v>
      </c>
      <c r="Q212" s="12">
        <v>1179</v>
      </c>
      <c r="R212" s="12"/>
      <c r="S212" s="12"/>
      <c r="T212" s="26"/>
      <c r="U212" s="26"/>
      <c r="V212" s="12">
        <v>1179</v>
      </c>
      <c r="W212" s="12">
        <v>1179</v>
      </c>
      <c r="X212" s="26"/>
      <c r="Y212" s="26"/>
    </row>
    <row r="213" spans="1:27" s="58" customFormat="1" x14ac:dyDescent="0.65">
      <c r="A213" s="108">
        <v>29</v>
      </c>
      <c r="B213" s="26">
        <v>1179</v>
      </c>
      <c r="C213" s="26">
        <v>1179</v>
      </c>
      <c r="D213" s="26">
        <v>1179</v>
      </c>
      <c r="E213" s="26">
        <v>1179</v>
      </c>
      <c r="F213" s="26"/>
      <c r="G213" s="26"/>
      <c r="H213" s="12">
        <v>1179</v>
      </c>
      <c r="I213" s="12">
        <v>1179</v>
      </c>
      <c r="J213" s="12">
        <v>1179</v>
      </c>
      <c r="K213" s="12">
        <v>1179</v>
      </c>
      <c r="L213" s="12"/>
      <c r="M213" s="12"/>
      <c r="N213" s="12">
        <v>1179</v>
      </c>
      <c r="O213" s="12">
        <v>1179</v>
      </c>
      <c r="P213" s="12">
        <v>1179</v>
      </c>
      <c r="Q213" s="12">
        <v>1179</v>
      </c>
      <c r="R213" s="12"/>
      <c r="S213" s="12"/>
      <c r="T213" s="26"/>
      <c r="U213" s="26"/>
      <c r="V213" s="12">
        <v>1179</v>
      </c>
      <c r="W213" s="12">
        <v>1179</v>
      </c>
      <c r="X213" s="26"/>
      <c r="Y213" s="26"/>
    </row>
    <row r="214" spans="1:27" s="58" customFormat="1" x14ac:dyDescent="0.65">
      <c r="A214" s="108">
        <v>30</v>
      </c>
      <c r="B214" s="26">
        <v>1179</v>
      </c>
      <c r="C214" s="26">
        <v>1179</v>
      </c>
      <c r="D214" s="26"/>
      <c r="E214" s="26"/>
      <c r="F214" s="26"/>
      <c r="G214" s="26"/>
      <c r="H214" s="12">
        <v>1179</v>
      </c>
      <c r="I214" s="12">
        <v>1179</v>
      </c>
      <c r="J214" s="12">
        <v>1179</v>
      </c>
      <c r="K214" s="12">
        <v>1179</v>
      </c>
      <c r="L214" s="12"/>
      <c r="M214" s="12"/>
      <c r="N214" s="12">
        <v>1179</v>
      </c>
      <c r="O214" s="12">
        <v>1179</v>
      </c>
      <c r="P214" s="12">
        <v>1179</v>
      </c>
      <c r="Q214" s="12">
        <v>1179</v>
      </c>
      <c r="R214" s="12">
        <v>1179</v>
      </c>
      <c r="S214" s="12">
        <v>1179</v>
      </c>
      <c r="T214" s="12">
        <v>1179</v>
      </c>
      <c r="U214" s="12">
        <v>1179</v>
      </c>
      <c r="V214" s="26"/>
      <c r="W214" s="26"/>
      <c r="X214" s="12">
        <v>1179</v>
      </c>
      <c r="Y214" s="12">
        <v>1179</v>
      </c>
    </row>
    <row r="215" spans="1:27" s="58" customFormat="1" ht="25.5" thickBot="1" x14ac:dyDescent="0.7">
      <c r="A215" s="109">
        <v>31</v>
      </c>
      <c r="B215" s="32">
        <v>1179</v>
      </c>
      <c r="C215" s="32">
        <v>1179</v>
      </c>
      <c r="D215" s="56"/>
      <c r="E215" s="56"/>
      <c r="F215" s="30"/>
      <c r="G215" s="30"/>
      <c r="H215" s="56"/>
      <c r="I215" s="56"/>
      <c r="J215" s="61">
        <v>1179</v>
      </c>
      <c r="K215" s="61">
        <v>1179</v>
      </c>
      <c r="L215" s="52"/>
      <c r="M215" s="52"/>
      <c r="N215" s="52">
        <v>1179</v>
      </c>
      <c r="O215" s="52">
        <v>1179</v>
      </c>
      <c r="P215" s="52"/>
      <c r="Q215" s="52"/>
      <c r="R215" s="52"/>
      <c r="S215" s="52"/>
      <c r="T215" s="52">
        <v>1179</v>
      </c>
      <c r="U215" s="52">
        <v>1179</v>
      </c>
      <c r="V215" s="30"/>
      <c r="W215" s="30"/>
      <c r="X215" s="52">
        <v>1179</v>
      </c>
      <c r="Y215" s="52">
        <v>1179</v>
      </c>
    </row>
    <row r="216" spans="1:27" ht="25.5" thickBot="1" x14ac:dyDescent="0.7">
      <c r="A216" s="17" t="s">
        <v>15</v>
      </c>
      <c r="B216" s="197">
        <f>AVERAGE(B185:B215)</f>
        <v>1181.4761904761904</v>
      </c>
      <c r="C216" s="197">
        <f t="shared" ref="C216:Y216" si="5">AVERAGE(C185:C215)</f>
        <v>1181.4761904761904</v>
      </c>
      <c r="D216" s="197">
        <f t="shared" si="5"/>
        <v>1179</v>
      </c>
      <c r="E216" s="197">
        <f t="shared" si="5"/>
        <v>1179</v>
      </c>
      <c r="F216" s="197">
        <f t="shared" si="5"/>
        <v>1179</v>
      </c>
      <c r="G216" s="197">
        <f t="shared" si="5"/>
        <v>1179</v>
      </c>
      <c r="H216" s="197">
        <f t="shared" si="5"/>
        <v>1179</v>
      </c>
      <c r="I216" s="197">
        <f t="shared" si="5"/>
        <v>1179</v>
      </c>
      <c r="J216" s="197">
        <f t="shared" si="5"/>
        <v>1179</v>
      </c>
      <c r="K216" s="197">
        <f t="shared" si="5"/>
        <v>1179</v>
      </c>
      <c r="L216" s="197">
        <f t="shared" si="5"/>
        <v>1179</v>
      </c>
      <c r="M216" s="197">
        <f t="shared" si="5"/>
        <v>1179</v>
      </c>
      <c r="N216" s="197">
        <f t="shared" si="5"/>
        <v>1179</v>
      </c>
      <c r="O216" s="197">
        <f t="shared" si="5"/>
        <v>1179</v>
      </c>
      <c r="P216" s="197">
        <f t="shared" si="5"/>
        <v>1179</v>
      </c>
      <c r="Q216" s="197">
        <f t="shared" si="5"/>
        <v>1179</v>
      </c>
      <c r="R216" s="197">
        <f t="shared" si="5"/>
        <v>1179</v>
      </c>
      <c r="S216" s="197">
        <f t="shared" si="5"/>
        <v>1179</v>
      </c>
      <c r="T216" s="197">
        <f t="shared" si="5"/>
        <v>1179</v>
      </c>
      <c r="U216" s="197">
        <f t="shared" si="5"/>
        <v>1179</v>
      </c>
      <c r="V216" s="197">
        <f t="shared" si="5"/>
        <v>1179</v>
      </c>
      <c r="W216" s="197">
        <f t="shared" si="5"/>
        <v>1179</v>
      </c>
      <c r="X216" s="197">
        <f t="shared" si="5"/>
        <v>1179</v>
      </c>
      <c r="Y216" s="197">
        <f t="shared" si="5"/>
        <v>1179</v>
      </c>
      <c r="Z216" s="57"/>
      <c r="AA216" s="57"/>
    </row>
    <row r="217" spans="1:27" ht="42" customHeight="1" x14ac:dyDescent="0.65">
      <c r="A217" s="224" t="s">
        <v>29</v>
      </c>
      <c r="B217" s="224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 spans="1:27" ht="24.75" customHeight="1" thickBot="1" x14ac:dyDescent="0.7">
      <c r="A218" s="225" t="s">
        <v>71</v>
      </c>
      <c r="B218" s="225"/>
      <c r="C218" s="225"/>
      <c r="D218" s="225"/>
      <c r="E218" s="225"/>
      <c r="F218" s="22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</row>
    <row r="219" spans="1:27" s="58" customFormat="1" ht="25.5" thickBot="1" x14ac:dyDescent="0.7">
      <c r="A219" s="226" t="s">
        <v>2</v>
      </c>
      <c r="B219" s="228" t="s">
        <v>3</v>
      </c>
      <c r="C219" s="229"/>
      <c r="D219" s="228" t="s">
        <v>4</v>
      </c>
      <c r="E219" s="229"/>
      <c r="F219" s="228" t="s">
        <v>5</v>
      </c>
      <c r="G219" s="229"/>
      <c r="H219" s="228" t="s">
        <v>6</v>
      </c>
      <c r="I219" s="229"/>
      <c r="J219" s="228" t="s">
        <v>7</v>
      </c>
      <c r="K219" s="229"/>
      <c r="L219" s="228" t="s">
        <v>8</v>
      </c>
      <c r="M219" s="229"/>
      <c r="N219" s="228" t="s">
        <v>9</v>
      </c>
      <c r="O219" s="229"/>
      <c r="P219" s="228" t="s">
        <v>10</v>
      </c>
      <c r="Q219" s="229"/>
      <c r="R219" s="228" t="s">
        <v>11</v>
      </c>
      <c r="S219" s="229"/>
      <c r="T219" s="228" t="s">
        <v>12</v>
      </c>
      <c r="U219" s="229"/>
      <c r="V219" s="228" t="s">
        <v>21</v>
      </c>
      <c r="W219" s="229"/>
      <c r="X219" s="228" t="s">
        <v>14</v>
      </c>
      <c r="Y219" s="229"/>
    </row>
    <row r="220" spans="1:27" s="58" customFormat="1" ht="25.5" thickBot="1" x14ac:dyDescent="0.7">
      <c r="A220" s="227"/>
      <c r="B220" s="17" t="s">
        <v>74</v>
      </c>
      <c r="C220" s="17" t="s">
        <v>75</v>
      </c>
      <c r="D220" s="17" t="s">
        <v>74</v>
      </c>
      <c r="E220" s="17" t="s">
        <v>75</v>
      </c>
      <c r="F220" s="17" t="s">
        <v>74</v>
      </c>
      <c r="G220" s="17" t="s">
        <v>75</v>
      </c>
      <c r="H220" s="17" t="s">
        <v>74</v>
      </c>
      <c r="I220" s="17" t="s">
        <v>75</v>
      </c>
      <c r="J220" s="17" t="s">
        <v>74</v>
      </c>
      <c r="K220" s="17" t="s">
        <v>75</v>
      </c>
      <c r="L220" s="17" t="s">
        <v>74</v>
      </c>
      <c r="M220" s="17" t="s">
        <v>75</v>
      </c>
      <c r="N220" s="17" t="s">
        <v>74</v>
      </c>
      <c r="O220" s="17" t="s">
        <v>75</v>
      </c>
      <c r="P220" s="17" t="s">
        <v>74</v>
      </c>
      <c r="Q220" s="17" t="s">
        <v>75</v>
      </c>
      <c r="R220" s="17" t="s">
        <v>74</v>
      </c>
      <c r="S220" s="17" t="s">
        <v>75</v>
      </c>
      <c r="T220" s="17" t="s">
        <v>74</v>
      </c>
      <c r="U220" s="17" t="s">
        <v>75</v>
      </c>
      <c r="V220" s="17" t="s">
        <v>74</v>
      </c>
      <c r="W220" s="17" t="s">
        <v>75</v>
      </c>
      <c r="X220" s="17" t="s">
        <v>74</v>
      </c>
      <c r="Y220" s="17" t="s">
        <v>75</v>
      </c>
    </row>
    <row r="221" spans="1:27" s="58" customFormat="1" x14ac:dyDescent="0.65">
      <c r="A221" s="39">
        <v>1</v>
      </c>
      <c r="B221" s="32"/>
      <c r="C221" s="62"/>
      <c r="D221" s="32"/>
      <c r="E221" s="30"/>
      <c r="F221" s="32"/>
      <c r="G221" s="30"/>
      <c r="H221" s="32">
        <v>1179</v>
      </c>
      <c r="I221" s="32">
        <v>1179</v>
      </c>
      <c r="J221" s="30"/>
      <c r="K221" s="30"/>
      <c r="L221" s="32">
        <v>1179</v>
      </c>
      <c r="M221" s="32">
        <v>1179</v>
      </c>
      <c r="N221" s="32">
        <v>1179</v>
      </c>
      <c r="O221" s="32">
        <v>1179</v>
      </c>
      <c r="P221" s="32">
        <v>1179</v>
      </c>
      <c r="Q221" s="32">
        <v>1179</v>
      </c>
      <c r="R221" s="32">
        <v>1179</v>
      </c>
      <c r="S221" s="32">
        <v>1179</v>
      </c>
      <c r="T221" s="32">
        <v>1179</v>
      </c>
      <c r="U221" s="32">
        <v>1179</v>
      </c>
      <c r="V221" s="30"/>
      <c r="W221" s="30"/>
      <c r="X221" s="32">
        <v>1177</v>
      </c>
      <c r="Y221" s="32">
        <v>1179</v>
      </c>
    </row>
    <row r="222" spans="1:27" s="58" customFormat="1" x14ac:dyDescent="0.65">
      <c r="A222" s="108">
        <v>2</v>
      </c>
      <c r="B222" s="26">
        <v>1179</v>
      </c>
      <c r="C222" s="26">
        <v>1179</v>
      </c>
      <c r="D222" s="26"/>
      <c r="E222" s="26"/>
      <c r="F222" s="26"/>
      <c r="G222" s="26"/>
      <c r="H222" s="26">
        <v>1179</v>
      </c>
      <c r="I222" s="26">
        <v>1179</v>
      </c>
      <c r="J222" s="26">
        <v>1179</v>
      </c>
      <c r="K222" s="26">
        <v>1179</v>
      </c>
      <c r="L222" s="26">
        <v>1179</v>
      </c>
      <c r="M222" s="26">
        <v>1179</v>
      </c>
      <c r="N222" s="26">
        <v>1179</v>
      </c>
      <c r="O222" s="26">
        <v>1179</v>
      </c>
      <c r="P222" s="26"/>
      <c r="Q222" s="26"/>
      <c r="R222" s="26">
        <v>1179</v>
      </c>
      <c r="S222" s="32">
        <v>1179</v>
      </c>
      <c r="T222" s="26">
        <v>1179</v>
      </c>
      <c r="U222" s="26">
        <v>1179</v>
      </c>
      <c r="V222" s="26">
        <v>1179</v>
      </c>
      <c r="W222" s="26">
        <v>1179</v>
      </c>
      <c r="X222" s="32">
        <v>1177</v>
      </c>
      <c r="Y222" s="32">
        <v>1179</v>
      </c>
    </row>
    <row r="223" spans="1:27" s="58" customFormat="1" x14ac:dyDescent="0.65">
      <c r="A223" s="108">
        <v>3</v>
      </c>
      <c r="B223" s="26"/>
      <c r="C223" s="26"/>
      <c r="D223" s="26">
        <v>1179</v>
      </c>
      <c r="E223" s="26">
        <v>1179</v>
      </c>
      <c r="F223" s="26">
        <v>1179</v>
      </c>
      <c r="G223" s="26">
        <v>1179</v>
      </c>
      <c r="H223" s="26">
        <v>1179</v>
      </c>
      <c r="I223" s="26">
        <v>1179</v>
      </c>
      <c r="J223" s="26"/>
      <c r="K223" s="26"/>
      <c r="L223" s="26">
        <v>1179</v>
      </c>
      <c r="M223" s="26">
        <v>1179</v>
      </c>
      <c r="N223" s="26">
        <v>1179</v>
      </c>
      <c r="O223" s="26">
        <v>1179</v>
      </c>
      <c r="P223" s="32">
        <v>1179</v>
      </c>
      <c r="Q223" s="32">
        <v>1179</v>
      </c>
      <c r="R223" s="32">
        <v>1179</v>
      </c>
      <c r="S223" s="32">
        <v>1179</v>
      </c>
      <c r="T223" s="26">
        <v>1179</v>
      </c>
      <c r="U223" s="26">
        <v>1179</v>
      </c>
      <c r="V223" s="26">
        <v>1179</v>
      </c>
      <c r="W223" s="26">
        <v>1179</v>
      </c>
      <c r="X223" s="32">
        <v>1177</v>
      </c>
      <c r="Y223" s="32">
        <v>1179</v>
      </c>
    </row>
    <row r="224" spans="1:27" s="58" customFormat="1" x14ac:dyDescent="0.65">
      <c r="A224" s="108">
        <v>4</v>
      </c>
      <c r="B224" s="26"/>
      <c r="C224" s="26"/>
      <c r="D224" s="26">
        <v>1179</v>
      </c>
      <c r="E224" s="26">
        <v>1179</v>
      </c>
      <c r="F224" s="26">
        <v>1179</v>
      </c>
      <c r="G224" s="26">
        <v>1179</v>
      </c>
      <c r="H224" s="26">
        <v>1179</v>
      </c>
      <c r="I224" s="26">
        <v>1179</v>
      </c>
      <c r="J224" s="26"/>
      <c r="K224" s="26"/>
      <c r="L224" s="26"/>
      <c r="M224" s="26"/>
      <c r="N224" s="26">
        <v>1179</v>
      </c>
      <c r="O224" s="26">
        <v>1179</v>
      </c>
      <c r="P224" s="32">
        <v>1179</v>
      </c>
      <c r="Q224" s="32">
        <v>1179</v>
      </c>
      <c r="R224" s="32">
        <v>1179</v>
      </c>
      <c r="S224" s="32">
        <v>1179</v>
      </c>
      <c r="T224" s="26"/>
      <c r="U224" s="26"/>
      <c r="V224" s="26">
        <v>1179</v>
      </c>
      <c r="W224" s="26">
        <v>1179</v>
      </c>
      <c r="X224" s="32">
        <v>1177</v>
      </c>
      <c r="Y224" s="32">
        <v>1179</v>
      </c>
    </row>
    <row r="225" spans="1:25" s="58" customFormat="1" x14ac:dyDescent="0.65">
      <c r="A225" s="108">
        <v>5</v>
      </c>
      <c r="B225" s="26"/>
      <c r="C225" s="26"/>
      <c r="D225" s="26">
        <v>1179</v>
      </c>
      <c r="E225" s="26">
        <v>1179</v>
      </c>
      <c r="F225" s="26">
        <v>1179</v>
      </c>
      <c r="G225" s="26">
        <v>1179</v>
      </c>
      <c r="H225" s="26"/>
      <c r="I225" s="26"/>
      <c r="J225" s="26">
        <v>1179</v>
      </c>
      <c r="K225" s="26">
        <v>1179</v>
      </c>
      <c r="L225" s="26"/>
      <c r="M225" s="26"/>
      <c r="N225" s="26"/>
      <c r="O225" s="26"/>
      <c r="P225" s="32">
        <v>1179</v>
      </c>
      <c r="Q225" s="32">
        <v>1179</v>
      </c>
      <c r="R225" s="32">
        <v>1179</v>
      </c>
      <c r="S225" s="32">
        <v>1179</v>
      </c>
      <c r="T225" s="26">
        <v>1179</v>
      </c>
      <c r="U225" s="26">
        <v>1179</v>
      </c>
      <c r="V225" s="26">
        <v>1179</v>
      </c>
      <c r="W225" s="26">
        <v>1179</v>
      </c>
      <c r="X225" s="32">
        <v>1177</v>
      </c>
      <c r="Y225" s="32">
        <v>1179</v>
      </c>
    </row>
    <row r="226" spans="1:25" s="58" customFormat="1" x14ac:dyDescent="0.65">
      <c r="A226" s="108">
        <v>6</v>
      </c>
      <c r="B226" s="26"/>
      <c r="C226" s="26"/>
      <c r="D226" s="26">
        <v>1179</v>
      </c>
      <c r="E226" s="26">
        <v>1179</v>
      </c>
      <c r="F226" s="26">
        <v>1179</v>
      </c>
      <c r="G226" s="26">
        <v>1179</v>
      </c>
      <c r="H226" s="26"/>
      <c r="I226" s="26"/>
      <c r="J226" s="26">
        <v>1179</v>
      </c>
      <c r="K226" s="26">
        <v>1179</v>
      </c>
      <c r="L226" s="26">
        <v>1179</v>
      </c>
      <c r="M226" s="26">
        <v>1179</v>
      </c>
      <c r="N226" s="26">
        <v>1179</v>
      </c>
      <c r="O226" s="26">
        <v>1179</v>
      </c>
      <c r="P226" s="32">
        <v>1179</v>
      </c>
      <c r="Q226" s="32">
        <v>1179</v>
      </c>
      <c r="R226" s="32"/>
      <c r="S226" s="32"/>
      <c r="T226" s="26">
        <v>1179</v>
      </c>
      <c r="U226" s="26">
        <v>1179</v>
      </c>
      <c r="V226" s="26">
        <v>1179</v>
      </c>
      <c r="W226" s="26">
        <v>1179</v>
      </c>
      <c r="X226" s="26"/>
      <c r="Y226" s="26"/>
    </row>
    <row r="227" spans="1:25" s="58" customFormat="1" x14ac:dyDescent="0.65">
      <c r="A227" s="108">
        <v>7</v>
      </c>
      <c r="B227" s="26">
        <v>1179</v>
      </c>
      <c r="C227" s="26">
        <v>1179</v>
      </c>
      <c r="D227" s="26">
        <v>1179</v>
      </c>
      <c r="E227" s="26">
        <v>1179</v>
      </c>
      <c r="F227" s="26">
        <v>1179</v>
      </c>
      <c r="G227" s="26">
        <v>1179</v>
      </c>
      <c r="H227" s="26">
        <v>1179</v>
      </c>
      <c r="I227" s="26">
        <v>1179</v>
      </c>
      <c r="J227" s="26">
        <v>1179</v>
      </c>
      <c r="K227" s="26">
        <v>1179</v>
      </c>
      <c r="L227" s="26"/>
      <c r="M227" s="26"/>
      <c r="N227" s="26">
        <v>1179</v>
      </c>
      <c r="O227" s="26">
        <v>1179</v>
      </c>
      <c r="P227" s="32">
        <v>1179</v>
      </c>
      <c r="Q227" s="32">
        <v>1179</v>
      </c>
      <c r="R227" s="32">
        <v>1179</v>
      </c>
      <c r="S227" s="32">
        <v>1179</v>
      </c>
      <c r="T227" s="26">
        <v>1179</v>
      </c>
      <c r="U227" s="26">
        <v>1179</v>
      </c>
      <c r="V227" s="26">
        <v>1179</v>
      </c>
      <c r="W227" s="26">
        <v>1179</v>
      </c>
      <c r="X227" s="32">
        <v>1177</v>
      </c>
      <c r="Y227" s="32">
        <v>1179</v>
      </c>
    </row>
    <row r="228" spans="1:25" s="58" customFormat="1" x14ac:dyDescent="0.65">
      <c r="A228" s="108">
        <v>8</v>
      </c>
      <c r="B228" s="26">
        <v>1179</v>
      </c>
      <c r="C228" s="26">
        <v>1179</v>
      </c>
      <c r="D228" s="26"/>
      <c r="E228" s="26"/>
      <c r="F228" s="26"/>
      <c r="G228" s="26"/>
      <c r="H228" s="26">
        <v>1179</v>
      </c>
      <c r="I228" s="26">
        <v>1179</v>
      </c>
      <c r="J228" s="26">
        <v>1179</v>
      </c>
      <c r="K228" s="26">
        <v>1179</v>
      </c>
      <c r="L228" s="26">
        <v>1179</v>
      </c>
      <c r="M228" s="26">
        <v>1179</v>
      </c>
      <c r="N228" s="26">
        <v>1179</v>
      </c>
      <c r="O228" s="26">
        <v>1179</v>
      </c>
      <c r="P228" s="32">
        <v>1179</v>
      </c>
      <c r="Q228" s="32">
        <v>1179</v>
      </c>
      <c r="R228" s="32">
        <v>1179</v>
      </c>
      <c r="S228" s="32">
        <v>1179</v>
      </c>
      <c r="T228" s="26">
        <v>1179</v>
      </c>
      <c r="U228" s="26">
        <v>1179</v>
      </c>
      <c r="V228" s="26"/>
      <c r="W228" s="26"/>
      <c r="X228" s="32">
        <v>1177</v>
      </c>
      <c r="Y228" s="32">
        <v>1179</v>
      </c>
    </row>
    <row r="229" spans="1:25" s="58" customFormat="1" x14ac:dyDescent="0.65">
      <c r="A229" s="108">
        <v>9</v>
      </c>
      <c r="B229" s="26">
        <v>1179</v>
      </c>
      <c r="C229" s="26">
        <v>1179</v>
      </c>
      <c r="D229" s="26"/>
      <c r="E229" s="26"/>
      <c r="F229" s="26"/>
      <c r="G229" s="26"/>
      <c r="H229" s="26">
        <v>1179</v>
      </c>
      <c r="I229" s="26">
        <v>1179</v>
      </c>
      <c r="J229" s="26">
        <v>1179</v>
      </c>
      <c r="K229" s="26">
        <v>1179</v>
      </c>
      <c r="L229" s="26">
        <v>1179</v>
      </c>
      <c r="M229" s="26">
        <v>1179</v>
      </c>
      <c r="N229" s="26">
        <v>1179</v>
      </c>
      <c r="O229" s="26">
        <v>1179</v>
      </c>
      <c r="P229" s="26"/>
      <c r="Q229" s="26"/>
      <c r="R229" s="26">
        <v>1179</v>
      </c>
      <c r="S229" s="32">
        <v>1179</v>
      </c>
      <c r="T229" s="26">
        <v>1179</v>
      </c>
      <c r="U229" s="26">
        <v>1179</v>
      </c>
      <c r="V229" s="26">
        <v>1179</v>
      </c>
      <c r="W229" s="26">
        <v>1179</v>
      </c>
      <c r="X229" s="32">
        <v>1177</v>
      </c>
      <c r="Y229" s="32">
        <v>1179</v>
      </c>
    </row>
    <row r="230" spans="1:25" s="58" customFormat="1" x14ac:dyDescent="0.65">
      <c r="A230" s="108">
        <v>10</v>
      </c>
      <c r="B230" s="26">
        <v>1179</v>
      </c>
      <c r="C230" s="26">
        <v>1179</v>
      </c>
      <c r="D230" s="26">
        <v>1179</v>
      </c>
      <c r="E230" s="26">
        <v>1179</v>
      </c>
      <c r="F230" s="26">
        <v>1179</v>
      </c>
      <c r="G230" s="26">
        <v>1179</v>
      </c>
      <c r="H230" s="26">
        <v>1179</v>
      </c>
      <c r="I230" s="26">
        <v>1179</v>
      </c>
      <c r="J230" s="26"/>
      <c r="K230" s="26"/>
      <c r="L230" s="26">
        <v>1179</v>
      </c>
      <c r="M230" s="26">
        <v>1179</v>
      </c>
      <c r="N230" s="26">
        <v>1179</v>
      </c>
      <c r="O230" s="26">
        <v>1179</v>
      </c>
      <c r="P230" s="32">
        <v>1179</v>
      </c>
      <c r="Q230" s="32">
        <v>1179</v>
      </c>
      <c r="R230" s="32">
        <v>1179</v>
      </c>
      <c r="S230" s="32">
        <v>1179</v>
      </c>
      <c r="T230" s="26">
        <v>1179</v>
      </c>
      <c r="U230" s="26">
        <v>1179</v>
      </c>
      <c r="V230" s="26">
        <v>1179</v>
      </c>
      <c r="W230" s="26">
        <v>1179</v>
      </c>
      <c r="X230" s="32">
        <v>1177</v>
      </c>
      <c r="Y230" s="32">
        <v>1179</v>
      </c>
    </row>
    <row r="231" spans="1:25" s="58" customFormat="1" x14ac:dyDescent="0.65">
      <c r="A231" s="108">
        <v>11</v>
      </c>
      <c r="B231" s="26"/>
      <c r="C231" s="26"/>
      <c r="D231" s="26">
        <v>1179</v>
      </c>
      <c r="E231" s="26">
        <v>1179</v>
      </c>
      <c r="F231" s="26">
        <v>1179</v>
      </c>
      <c r="G231" s="26">
        <v>1179</v>
      </c>
      <c r="H231" s="26"/>
      <c r="I231" s="26"/>
      <c r="J231" s="26"/>
      <c r="K231" s="26"/>
      <c r="L231" s="26">
        <v>1179</v>
      </c>
      <c r="M231" s="26">
        <v>1179</v>
      </c>
      <c r="N231" s="26">
        <v>1179</v>
      </c>
      <c r="O231" s="26">
        <v>1179</v>
      </c>
      <c r="P231" s="32">
        <v>1179</v>
      </c>
      <c r="Q231" s="32">
        <v>1179</v>
      </c>
      <c r="R231" s="32">
        <v>1179</v>
      </c>
      <c r="S231" s="32">
        <v>1179</v>
      </c>
      <c r="T231" s="26"/>
      <c r="U231" s="26"/>
      <c r="V231" s="26">
        <v>1179</v>
      </c>
      <c r="W231" s="26">
        <v>1179</v>
      </c>
      <c r="X231" s="32">
        <v>1177</v>
      </c>
      <c r="Y231" s="32">
        <v>1179</v>
      </c>
    </row>
    <row r="232" spans="1:25" s="58" customFormat="1" x14ac:dyDescent="0.65">
      <c r="A232" s="108">
        <v>12</v>
      </c>
      <c r="B232" s="26">
        <v>1179</v>
      </c>
      <c r="C232" s="26">
        <v>1179</v>
      </c>
      <c r="D232" s="26">
        <v>1179</v>
      </c>
      <c r="E232" s="26">
        <v>1179</v>
      </c>
      <c r="F232" s="26">
        <v>1179</v>
      </c>
      <c r="G232" s="26">
        <v>1179</v>
      </c>
      <c r="H232" s="26"/>
      <c r="I232" s="26"/>
      <c r="J232" s="26">
        <v>1179</v>
      </c>
      <c r="K232" s="26">
        <v>1179</v>
      </c>
      <c r="L232" s="26">
        <v>1179</v>
      </c>
      <c r="M232" s="26">
        <v>1179</v>
      </c>
      <c r="N232" s="26"/>
      <c r="O232" s="26"/>
      <c r="P232" s="32">
        <v>1179</v>
      </c>
      <c r="Q232" s="32">
        <v>1179</v>
      </c>
      <c r="R232" s="32">
        <v>1179</v>
      </c>
      <c r="S232" s="32">
        <v>1179</v>
      </c>
      <c r="T232" s="26">
        <v>1179</v>
      </c>
      <c r="U232" s="26">
        <v>1179</v>
      </c>
      <c r="V232" s="26">
        <v>1179</v>
      </c>
      <c r="W232" s="26">
        <v>1179</v>
      </c>
      <c r="X232" s="32">
        <v>1177</v>
      </c>
      <c r="Y232" s="32">
        <v>1179</v>
      </c>
    </row>
    <row r="233" spans="1:25" s="58" customFormat="1" x14ac:dyDescent="0.65">
      <c r="A233" s="108">
        <v>13</v>
      </c>
      <c r="B233" s="26">
        <v>1179</v>
      </c>
      <c r="C233" s="26">
        <v>1179</v>
      </c>
      <c r="D233" s="26">
        <v>1179</v>
      </c>
      <c r="E233" s="26">
        <v>1179</v>
      </c>
      <c r="F233" s="26">
        <v>1179</v>
      </c>
      <c r="G233" s="26">
        <v>1179</v>
      </c>
      <c r="H233" s="26">
        <v>1179</v>
      </c>
      <c r="I233" s="26">
        <v>1179</v>
      </c>
      <c r="J233" s="26">
        <v>1179</v>
      </c>
      <c r="K233" s="26">
        <v>1179</v>
      </c>
      <c r="L233" s="26">
        <v>1179</v>
      </c>
      <c r="M233" s="26">
        <v>1179</v>
      </c>
      <c r="N233" s="26">
        <v>1179</v>
      </c>
      <c r="O233" s="26">
        <v>1179</v>
      </c>
      <c r="P233" s="32">
        <v>1179</v>
      </c>
      <c r="Q233" s="32">
        <v>1179</v>
      </c>
      <c r="R233" s="32"/>
      <c r="S233" s="32"/>
      <c r="T233" s="26">
        <v>1179</v>
      </c>
      <c r="U233" s="26">
        <v>1179</v>
      </c>
      <c r="V233" s="26">
        <v>1179</v>
      </c>
      <c r="W233" s="26">
        <v>1179</v>
      </c>
      <c r="X233" s="26"/>
      <c r="Y233" s="26"/>
    </row>
    <row r="234" spans="1:25" s="58" customFormat="1" x14ac:dyDescent="0.65">
      <c r="A234" s="108">
        <v>14</v>
      </c>
      <c r="B234" s="26">
        <v>1179</v>
      </c>
      <c r="C234" s="26">
        <v>1179</v>
      </c>
      <c r="D234" s="26">
        <v>1179</v>
      </c>
      <c r="E234" s="26">
        <v>1179</v>
      </c>
      <c r="F234" s="26">
        <v>1179</v>
      </c>
      <c r="G234" s="26">
        <v>1179</v>
      </c>
      <c r="H234" s="26">
        <v>1179</v>
      </c>
      <c r="I234" s="26">
        <v>1179</v>
      </c>
      <c r="J234" s="26">
        <v>1179</v>
      </c>
      <c r="K234" s="26">
        <v>1179</v>
      </c>
      <c r="L234" s="26"/>
      <c r="M234" s="26"/>
      <c r="N234" s="26"/>
      <c r="O234" s="26"/>
      <c r="P234" s="32">
        <v>1179</v>
      </c>
      <c r="Q234" s="32">
        <v>1179</v>
      </c>
      <c r="R234" s="32">
        <v>1179</v>
      </c>
      <c r="S234" s="32">
        <v>1179</v>
      </c>
      <c r="T234" s="26">
        <v>1179</v>
      </c>
      <c r="U234" s="26">
        <v>1179</v>
      </c>
      <c r="V234" s="26">
        <v>1179</v>
      </c>
      <c r="W234" s="26">
        <v>1179</v>
      </c>
      <c r="X234" s="32">
        <v>1177</v>
      </c>
      <c r="Y234" s="32">
        <v>1179</v>
      </c>
    </row>
    <row r="235" spans="1:25" s="58" customFormat="1" x14ac:dyDescent="0.65">
      <c r="A235" s="108">
        <v>15</v>
      </c>
      <c r="B235" s="26">
        <v>1179</v>
      </c>
      <c r="C235" s="26">
        <v>1179</v>
      </c>
      <c r="D235" s="26"/>
      <c r="E235" s="26"/>
      <c r="F235" s="26"/>
      <c r="G235" s="26"/>
      <c r="H235" s="26">
        <v>1179</v>
      </c>
      <c r="I235" s="26">
        <v>1179</v>
      </c>
      <c r="J235" s="26">
        <v>1179</v>
      </c>
      <c r="K235" s="26">
        <v>1179</v>
      </c>
      <c r="L235" s="26">
        <v>1179</v>
      </c>
      <c r="M235" s="26">
        <v>1179</v>
      </c>
      <c r="N235" s="26">
        <v>1179</v>
      </c>
      <c r="O235" s="26">
        <v>1179</v>
      </c>
      <c r="P235" s="32">
        <v>1179</v>
      </c>
      <c r="Q235" s="32">
        <v>1179</v>
      </c>
      <c r="R235" s="32">
        <v>1179</v>
      </c>
      <c r="S235" s="32">
        <v>1179</v>
      </c>
      <c r="T235" s="26">
        <v>1179</v>
      </c>
      <c r="U235" s="26">
        <v>1179</v>
      </c>
      <c r="V235" s="26"/>
      <c r="W235" s="26"/>
      <c r="X235" s="32">
        <v>1177</v>
      </c>
      <c r="Y235" s="32">
        <v>1179</v>
      </c>
    </row>
    <row r="236" spans="1:25" s="58" customFormat="1" x14ac:dyDescent="0.65">
      <c r="A236" s="108">
        <v>16</v>
      </c>
      <c r="B236" s="26">
        <v>1179</v>
      </c>
      <c r="C236" s="26">
        <v>1179</v>
      </c>
      <c r="D236" s="26"/>
      <c r="E236" s="26"/>
      <c r="F236" s="26"/>
      <c r="G236" s="26"/>
      <c r="H236" s="26">
        <v>1179</v>
      </c>
      <c r="I236" s="26">
        <v>1179</v>
      </c>
      <c r="J236" s="26">
        <v>1179</v>
      </c>
      <c r="K236" s="26">
        <v>1179</v>
      </c>
      <c r="L236" s="26">
        <v>1179</v>
      </c>
      <c r="M236" s="26">
        <v>1179</v>
      </c>
      <c r="N236" s="26">
        <v>1179</v>
      </c>
      <c r="O236" s="26">
        <v>1179</v>
      </c>
      <c r="P236" s="26"/>
      <c r="Q236" s="26"/>
      <c r="R236" s="26">
        <v>1179</v>
      </c>
      <c r="S236" s="32">
        <v>1179</v>
      </c>
      <c r="T236" s="26">
        <v>1179</v>
      </c>
      <c r="U236" s="26">
        <v>1179</v>
      </c>
      <c r="V236" s="26">
        <v>1179</v>
      </c>
      <c r="W236" s="26">
        <v>1179</v>
      </c>
      <c r="X236" s="32">
        <v>1177</v>
      </c>
      <c r="Y236" s="32">
        <v>1179</v>
      </c>
    </row>
    <row r="237" spans="1:25" s="58" customFormat="1" x14ac:dyDescent="0.65">
      <c r="A237" s="108">
        <v>17</v>
      </c>
      <c r="B237" s="26">
        <v>1179</v>
      </c>
      <c r="C237" s="26">
        <v>1179</v>
      </c>
      <c r="D237" s="26">
        <v>1179</v>
      </c>
      <c r="E237" s="26">
        <v>1179</v>
      </c>
      <c r="F237" s="26">
        <v>1179</v>
      </c>
      <c r="G237" s="26">
        <v>1179</v>
      </c>
      <c r="H237" s="26">
        <v>1179</v>
      </c>
      <c r="I237" s="26">
        <v>1179</v>
      </c>
      <c r="J237" s="26"/>
      <c r="K237" s="26"/>
      <c r="L237" s="26">
        <v>1179</v>
      </c>
      <c r="M237" s="26">
        <v>1179</v>
      </c>
      <c r="N237" s="26">
        <v>1179</v>
      </c>
      <c r="O237" s="26">
        <v>1179</v>
      </c>
      <c r="P237" s="32">
        <v>1179</v>
      </c>
      <c r="Q237" s="32">
        <v>1179</v>
      </c>
      <c r="R237" s="32">
        <v>1179</v>
      </c>
      <c r="S237" s="32">
        <v>1179</v>
      </c>
      <c r="T237" s="26">
        <v>1179</v>
      </c>
      <c r="U237" s="26">
        <v>1179</v>
      </c>
      <c r="V237" s="26">
        <v>1179</v>
      </c>
      <c r="W237" s="26">
        <v>1179</v>
      </c>
      <c r="X237" s="32">
        <v>1177</v>
      </c>
      <c r="Y237" s="32">
        <v>1179</v>
      </c>
    </row>
    <row r="238" spans="1:25" s="58" customFormat="1" x14ac:dyDescent="0.65">
      <c r="A238" s="108">
        <v>18</v>
      </c>
      <c r="B238" s="26"/>
      <c r="C238" s="26"/>
      <c r="D238" s="26">
        <v>1179</v>
      </c>
      <c r="E238" s="26">
        <v>1179</v>
      </c>
      <c r="F238" s="26">
        <v>1179</v>
      </c>
      <c r="G238" s="26">
        <v>1179</v>
      </c>
      <c r="H238" s="26">
        <v>1179</v>
      </c>
      <c r="I238" s="26">
        <v>1179</v>
      </c>
      <c r="J238" s="26">
        <v>1179</v>
      </c>
      <c r="K238" s="26">
        <v>1179</v>
      </c>
      <c r="L238" s="26">
        <v>1179</v>
      </c>
      <c r="M238" s="26">
        <v>1179</v>
      </c>
      <c r="N238" s="26"/>
      <c r="O238" s="26"/>
      <c r="P238" s="32">
        <v>1179</v>
      </c>
      <c r="Q238" s="32">
        <v>1179</v>
      </c>
      <c r="R238" s="32">
        <v>1179</v>
      </c>
      <c r="S238" s="32">
        <v>1179</v>
      </c>
      <c r="T238" s="26"/>
      <c r="U238" s="26"/>
      <c r="V238" s="26">
        <v>1179</v>
      </c>
      <c r="W238" s="26">
        <v>1179</v>
      </c>
      <c r="X238" s="32">
        <v>1177</v>
      </c>
      <c r="Y238" s="32">
        <v>1179</v>
      </c>
    </row>
    <row r="239" spans="1:25" s="58" customFormat="1" x14ac:dyDescent="0.65">
      <c r="A239" s="108">
        <v>19</v>
      </c>
      <c r="B239" s="26"/>
      <c r="C239" s="26"/>
      <c r="D239" s="26">
        <v>1179</v>
      </c>
      <c r="E239" s="26">
        <v>1179</v>
      </c>
      <c r="F239" s="26">
        <v>1179</v>
      </c>
      <c r="G239" s="26">
        <v>1179</v>
      </c>
      <c r="H239" s="26"/>
      <c r="I239" s="26"/>
      <c r="J239" s="26">
        <v>1179</v>
      </c>
      <c r="K239" s="26">
        <v>1179</v>
      </c>
      <c r="L239" s="26">
        <v>1179</v>
      </c>
      <c r="M239" s="26">
        <v>1179</v>
      </c>
      <c r="N239" s="26"/>
      <c r="O239" s="26"/>
      <c r="P239" s="32">
        <v>1179</v>
      </c>
      <c r="Q239" s="32">
        <v>1179</v>
      </c>
      <c r="R239" s="32">
        <v>1179</v>
      </c>
      <c r="S239" s="32">
        <v>1179</v>
      </c>
      <c r="T239" s="26">
        <v>1179</v>
      </c>
      <c r="U239" s="26">
        <v>1179</v>
      </c>
      <c r="V239" s="26">
        <v>1179</v>
      </c>
      <c r="W239" s="26">
        <v>1179</v>
      </c>
      <c r="X239" s="32">
        <v>1177</v>
      </c>
      <c r="Y239" s="32">
        <v>1179</v>
      </c>
    </row>
    <row r="240" spans="1:25" s="58" customFormat="1" x14ac:dyDescent="0.65">
      <c r="A240" s="108">
        <v>20</v>
      </c>
      <c r="B240" s="26">
        <v>1179</v>
      </c>
      <c r="C240" s="26">
        <v>1179</v>
      </c>
      <c r="D240" s="26">
        <v>1179</v>
      </c>
      <c r="E240" s="26">
        <v>1179</v>
      </c>
      <c r="F240" s="26">
        <v>1179</v>
      </c>
      <c r="G240" s="26">
        <v>1179</v>
      </c>
      <c r="H240" s="26"/>
      <c r="I240" s="26"/>
      <c r="J240" s="26">
        <v>1179</v>
      </c>
      <c r="K240" s="26">
        <v>1179</v>
      </c>
      <c r="L240" s="26">
        <v>1179</v>
      </c>
      <c r="M240" s="26">
        <v>1179</v>
      </c>
      <c r="N240" s="26">
        <v>1179</v>
      </c>
      <c r="O240" s="26">
        <v>1179</v>
      </c>
      <c r="P240" s="32">
        <v>1179</v>
      </c>
      <c r="Q240" s="32">
        <v>1179</v>
      </c>
      <c r="R240" s="32"/>
      <c r="S240" s="32"/>
      <c r="T240" s="26">
        <v>1179</v>
      </c>
      <c r="U240" s="26">
        <v>1179</v>
      </c>
      <c r="V240" s="26"/>
      <c r="W240" s="26"/>
      <c r="X240" s="26"/>
      <c r="Y240" s="26"/>
    </row>
    <row r="241" spans="1:27" s="58" customFormat="1" x14ac:dyDescent="0.65">
      <c r="A241" s="108">
        <v>21</v>
      </c>
      <c r="B241" s="26">
        <v>1179</v>
      </c>
      <c r="C241" s="26">
        <v>1179</v>
      </c>
      <c r="D241" s="26">
        <v>1179</v>
      </c>
      <c r="E241" s="26">
        <v>1179</v>
      </c>
      <c r="F241" s="26"/>
      <c r="G241" s="26"/>
      <c r="H241" s="26">
        <v>1179</v>
      </c>
      <c r="I241" s="26">
        <v>1179</v>
      </c>
      <c r="J241" s="26">
        <v>1179</v>
      </c>
      <c r="K241" s="26">
        <v>1179</v>
      </c>
      <c r="L241" s="26"/>
      <c r="M241" s="26"/>
      <c r="N241" s="26">
        <v>1179</v>
      </c>
      <c r="O241" s="26">
        <v>1179</v>
      </c>
      <c r="P241" s="32">
        <v>1179</v>
      </c>
      <c r="Q241" s="32">
        <v>1179</v>
      </c>
      <c r="R241" s="32">
        <v>1179</v>
      </c>
      <c r="S241" s="32">
        <v>1179</v>
      </c>
      <c r="T241" s="26">
        <v>1179</v>
      </c>
      <c r="U241" s="26">
        <v>1179</v>
      </c>
      <c r="V241" s="26">
        <v>1179</v>
      </c>
      <c r="W241" s="26">
        <v>1179</v>
      </c>
      <c r="X241" s="32">
        <v>1177</v>
      </c>
      <c r="Y241" s="32">
        <v>1179</v>
      </c>
    </row>
    <row r="242" spans="1:27" s="58" customFormat="1" x14ac:dyDescent="0.65">
      <c r="A242" s="108">
        <v>22</v>
      </c>
      <c r="B242" s="26">
        <v>1179</v>
      </c>
      <c r="C242" s="26">
        <v>1179</v>
      </c>
      <c r="D242" s="26"/>
      <c r="E242" s="26"/>
      <c r="F242" s="26"/>
      <c r="G242" s="26"/>
      <c r="H242" s="26">
        <v>1179</v>
      </c>
      <c r="I242" s="26">
        <v>1179</v>
      </c>
      <c r="J242" s="26">
        <v>1179</v>
      </c>
      <c r="K242" s="26">
        <v>1179</v>
      </c>
      <c r="L242" s="26">
        <v>1179</v>
      </c>
      <c r="M242" s="26">
        <v>1179</v>
      </c>
      <c r="N242" s="26">
        <v>1179</v>
      </c>
      <c r="O242" s="26">
        <v>1179</v>
      </c>
      <c r="P242" s="32">
        <v>1179</v>
      </c>
      <c r="Q242" s="32">
        <v>1179</v>
      </c>
      <c r="R242" s="32">
        <v>1179</v>
      </c>
      <c r="S242" s="32">
        <v>1179</v>
      </c>
      <c r="T242" s="26">
        <v>1179</v>
      </c>
      <c r="U242" s="26">
        <v>1179</v>
      </c>
      <c r="V242" s="26"/>
      <c r="W242" s="26"/>
      <c r="X242" s="32">
        <v>1177</v>
      </c>
      <c r="Y242" s="32">
        <v>1179</v>
      </c>
    </row>
    <row r="243" spans="1:27" s="58" customFormat="1" x14ac:dyDescent="0.65">
      <c r="A243" s="108">
        <v>23</v>
      </c>
      <c r="B243" s="26">
        <v>1179</v>
      </c>
      <c r="C243" s="26">
        <v>1179</v>
      </c>
      <c r="D243" s="26"/>
      <c r="E243" s="26"/>
      <c r="F243" s="26"/>
      <c r="G243" s="26"/>
      <c r="H243" s="26">
        <v>1179</v>
      </c>
      <c r="I243" s="26">
        <v>1179</v>
      </c>
      <c r="J243" s="26">
        <v>1179</v>
      </c>
      <c r="K243" s="26">
        <v>1179</v>
      </c>
      <c r="L243" s="26">
        <v>1179</v>
      </c>
      <c r="M243" s="26">
        <v>1179</v>
      </c>
      <c r="N243" s="26">
        <v>1179</v>
      </c>
      <c r="O243" s="26">
        <v>1179</v>
      </c>
      <c r="P243" s="26"/>
      <c r="Q243" s="26"/>
      <c r="R243" s="26">
        <v>1179</v>
      </c>
      <c r="S243" s="32">
        <v>1179</v>
      </c>
      <c r="T243" s="26">
        <v>1179</v>
      </c>
      <c r="U243" s="26">
        <v>1179</v>
      </c>
      <c r="V243" s="26">
        <v>1179</v>
      </c>
      <c r="W243" s="26">
        <v>1179</v>
      </c>
      <c r="X243" s="32">
        <v>1177</v>
      </c>
      <c r="Y243" s="32">
        <v>1179</v>
      </c>
    </row>
    <row r="244" spans="1:27" s="58" customFormat="1" x14ac:dyDescent="0.65">
      <c r="A244" s="108">
        <v>24</v>
      </c>
      <c r="B244" s="26">
        <v>1179</v>
      </c>
      <c r="C244" s="26">
        <v>1179</v>
      </c>
      <c r="D244" s="26">
        <v>1179</v>
      </c>
      <c r="E244" s="26">
        <v>1179</v>
      </c>
      <c r="F244" s="26">
        <v>1179</v>
      </c>
      <c r="G244" s="26">
        <v>1179</v>
      </c>
      <c r="H244" s="26">
        <v>1179</v>
      </c>
      <c r="I244" s="26">
        <v>1179</v>
      </c>
      <c r="J244" s="26"/>
      <c r="K244" s="26"/>
      <c r="L244" s="26">
        <v>1179</v>
      </c>
      <c r="M244" s="26">
        <v>1179</v>
      </c>
      <c r="N244" s="26">
        <v>1179</v>
      </c>
      <c r="O244" s="26">
        <v>1179</v>
      </c>
      <c r="P244" s="32">
        <v>1179</v>
      </c>
      <c r="Q244" s="32">
        <v>1179</v>
      </c>
      <c r="R244" s="32">
        <v>1179</v>
      </c>
      <c r="S244" s="32">
        <v>1179</v>
      </c>
      <c r="T244" s="26">
        <v>1179</v>
      </c>
      <c r="U244" s="26">
        <v>1179</v>
      </c>
      <c r="V244" s="26">
        <v>1179</v>
      </c>
      <c r="W244" s="26">
        <v>1179</v>
      </c>
      <c r="X244" s="26"/>
      <c r="Y244" s="26"/>
    </row>
    <row r="245" spans="1:27" s="58" customFormat="1" x14ac:dyDescent="0.65">
      <c r="A245" s="108">
        <v>25</v>
      </c>
      <c r="B245" s="26"/>
      <c r="C245" s="26"/>
      <c r="D245" s="26">
        <v>1179</v>
      </c>
      <c r="E245" s="26">
        <v>1179</v>
      </c>
      <c r="F245" s="26">
        <v>1179</v>
      </c>
      <c r="G245" s="26">
        <v>1179</v>
      </c>
      <c r="H245" s="26">
        <v>1179</v>
      </c>
      <c r="I245" s="26">
        <v>1179</v>
      </c>
      <c r="J245" s="26">
        <v>1179</v>
      </c>
      <c r="K245" s="26">
        <v>1179</v>
      </c>
      <c r="L245" s="26">
        <v>1179</v>
      </c>
      <c r="M245" s="26">
        <v>1179</v>
      </c>
      <c r="N245" s="26">
        <v>1179</v>
      </c>
      <c r="O245" s="26">
        <v>1179</v>
      </c>
      <c r="P245" s="32">
        <v>1179</v>
      </c>
      <c r="Q245" s="32">
        <v>1179</v>
      </c>
      <c r="R245" s="32">
        <v>1179</v>
      </c>
      <c r="S245" s="32">
        <v>1179</v>
      </c>
      <c r="T245" s="26"/>
      <c r="U245" s="26"/>
      <c r="V245" s="26">
        <v>1179</v>
      </c>
      <c r="W245" s="26">
        <v>1179</v>
      </c>
      <c r="X245" s="26"/>
      <c r="Y245" s="26"/>
    </row>
    <row r="246" spans="1:27" s="58" customFormat="1" x14ac:dyDescent="0.65">
      <c r="A246" s="108">
        <v>26</v>
      </c>
      <c r="B246" s="26"/>
      <c r="C246" s="26"/>
      <c r="D246" s="26">
        <v>1179</v>
      </c>
      <c r="E246" s="26">
        <v>1179</v>
      </c>
      <c r="F246" s="26">
        <v>1179</v>
      </c>
      <c r="G246" s="26">
        <v>1179</v>
      </c>
      <c r="H246" s="26"/>
      <c r="I246" s="26"/>
      <c r="J246" s="26">
        <v>1179</v>
      </c>
      <c r="K246" s="26">
        <v>1179</v>
      </c>
      <c r="L246" s="26">
        <v>1179</v>
      </c>
      <c r="M246" s="26">
        <v>1179</v>
      </c>
      <c r="N246" s="26"/>
      <c r="O246" s="26"/>
      <c r="P246" s="32">
        <v>1179</v>
      </c>
      <c r="Q246" s="32">
        <v>1179</v>
      </c>
      <c r="R246" s="32">
        <v>1179</v>
      </c>
      <c r="S246" s="32">
        <v>1179</v>
      </c>
      <c r="T246" s="26">
        <v>1179</v>
      </c>
      <c r="U246" s="26">
        <v>1179</v>
      </c>
      <c r="V246" s="26">
        <v>1179</v>
      </c>
      <c r="W246" s="26">
        <v>1179</v>
      </c>
      <c r="X246" s="32">
        <v>1177</v>
      </c>
      <c r="Y246" s="32">
        <v>1179</v>
      </c>
    </row>
    <row r="247" spans="1:27" s="58" customFormat="1" x14ac:dyDescent="0.65">
      <c r="A247" s="108">
        <v>27</v>
      </c>
      <c r="B247" s="26">
        <v>1179</v>
      </c>
      <c r="C247" s="26">
        <v>1179</v>
      </c>
      <c r="D247" s="26">
        <v>1179</v>
      </c>
      <c r="E247" s="26">
        <v>1179</v>
      </c>
      <c r="F247" s="26">
        <v>1179</v>
      </c>
      <c r="G247" s="26">
        <v>1179</v>
      </c>
      <c r="H247" s="26"/>
      <c r="I247" s="26"/>
      <c r="J247" s="26">
        <v>1179</v>
      </c>
      <c r="K247" s="26">
        <v>1179</v>
      </c>
      <c r="L247" s="26">
        <v>1179</v>
      </c>
      <c r="M247" s="26">
        <v>1179</v>
      </c>
      <c r="N247" s="26">
        <v>1179</v>
      </c>
      <c r="O247" s="26">
        <v>1179</v>
      </c>
      <c r="P247" s="32">
        <v>1179</v>
      </c>
      <c r="Q247" s="32">
        <v>1179</v>
      </c>
      <c r="R247" s="32"/>
      <c r="S247" s="32"/>
      <c r="T247" s="26">
        <v>1179</v>
      </c>
      <c r="U247" s="26">
        <v>1179</v>
      </c>
      <c r="V247" s="26">
        <v>1179</v>
      </c>
      <c r="W247" s="26">
        <v>1179</v>
      </c>
      <c r="X247" s="26"/>
      <c r="Y247" s="26"/>
    </row>
    <row r="248" spans="1:27" s="58" customFormat="1" x14ac:dyDescent="0.65">
      <c r="A248" s="108">
        <v>28</v>
      </c>
      <c r="B248" s="26">
        <v>1179</v>
      </c>
      <c r="C248" s="26">
        <v>1179</v>
      </c>
      <c r="D248" s="26">
        <v>1179</v>
      </c>
      <c r="E248" s="26">
        <v>1179</v>
      </c>
      <c r="F248" s="26">
        <v>1179</v>
      </c>
      <c r="G248" s="26">
        <v>1179</v>
      </c>
      <c r="H248" s="26">
        <v>1179</v>
      </c>
      <c r="I248" s="26">
        <v>1179</v>
      </c>
      <c r="J248" s="26">
        <v>1179</v>
      </c>
      <c r="K248" s="26">
        <v>1179</v>
      </c>
      <c r="L248" s="26"/>
      <c r="M248" s="26"/>
      <c r="N248" s="26">
        <v>1179</v>
      </c>
      <c r="O248" s="26">
        <v>1179</v>
      </c>
      <c r="P248" s="32">
        <v>1179</v>
      </c>
      <c r="Q248" s="32">
        <v>1179</v>
      </c>
      <c r="R248" s="32">
        <v>1179</v>
      </c>
      <c r="S248" s="32">
        <v>1179</v>
      </c>
      <c r="T248" s="26">
        <v>1179</v>
      </c>
      <c r="U248" s="26">
        <v>1179</v>
      </c>
      <c r="V248" s="26">
        <v>1179</v>
      </c>
      <c r="W248" s="26">
        <v>1179</v>
      </c>
      <c r="X248" s="32">
        <v>1177</v>
      </c>
      <c r="Y248" s="32">
        <v>1179</v>
      </c>
    </row>
    <row r="249" spans="1:27" s="58" customFormat="1" x14ac:dyDescent="0.65">
      <c r="A249" s="108">
        <v>29</v>
      </c>
      <c r="B249" s="26">
        <v>1179</v>
      </c>
      <c r="C249" s="26">
        <v>1179</v>
      </c>
      <c r="D249" s="27"/>
      <c r="E249" s="27"/>
      <c r="F249" s="26"/>
      <c r="G249" s="26"/>
      <c r="H249" s="26">
        <v>1179</v>
      </c>
      <c r="I249" s="26">
        <v>1179</v>
      </c>
      <c r="J249" s="26">
        <v>1179</v>
      </c>
      <c r="K249" s="26">
        <v>1179</v>
      </c>
      <c r="L249" s="26">
        <v>1179</v>
      </c>
      <c r="M249" s="26">
        <v>1179</v>
      </c>
      <c r="N249" s="26">
        <v>1179</v>
      </c>
      <c r="O249" s="26">
        <v>1179</v>
      </c>
      <c r="P249" s="32">
        <v>1179</v>
      </c>
      <c r="Q249" s="32">
        <v>1179</v>
      </c>
      <c r="R249" s="32">
        <v>1179</v>
      </c>
      <c r="S249" s="32">
        <v>1179</v>
      </c>
      <c r="T249" s="26">
        <v>1179</v>
      </c>
      <c r="U249" s="26">
        <v>1179</v>
      </c>
      <c r="V249" s="26"/>
      <c r="W249" s="26"/>
      <c r="X249" s="32">
        <v>1177</v>
      </c>
      <c r="Y249" s="32">
        <v>1179</v>
      </c>
    </row>
    <row r="250" spans="1:27" s="58" customFormat="1" x14ac:dyDescent="0.65">
      <c r="A250" s="108">
        <v>30</v>
      </c>
      <c r="B250" s="26">
        <v>1179</v>
      </c>
      <c r="C250" s="26">
        <v>1179</v>
      </c>
      <c r="D250" s="26"/>
      <c r="E250" s="26"/>
      <c r="F250" s="26"/>
      <c r="G250" s="26"/>
      <c r="H250" s="26">
        <v>1179</v>
      </c>
      <c r="I250" s="26">
        <v>1179</v>
      </c>
      <c r="J250" s="26">
        <v>1179</v>
      </c>
      <c r="K250" s="26">
        <v>1179</v>
      </c>
      <c r="L250" s="26">
        <v>1179</v>
      </c>
      <c r="M250" s="26">
        <v>1179</v>
      </c>
      <c r="N250" s="26">
        <v>1179</v>
      </c>
      <c r="O250" s="26">
        <v>1179</v>
      </c>
      <c r="P250" s="26"/>
      <c r="Q250" s="26"/>
      <c r="R250" s="26">
        <v>1179</v>
      </c>
      <c r="S250" s="32">
        <v>1179</v>
      </c>
      <c r="T250" s="26">
        <v>1179</v>
      </c>
      <c r="U250" s="26">
        <v>1179</v>
      </c>
      <c r="V250" s="26">
        <v>1179</v>
      </c>
      <c r="W250" s="26">
        <v>1179</v>
      </c>
      <c r="X250" s="32">
        <v>1177</v>
      </c>
      <c r="Y250" s="32">
        <v>1179</v>
      </c>
    </row>
    <row r="251" spans="1:27" s="58" customFormat="1" ht="25.5" thickBot="1" x14ac:dyDescent="0.7">
      <c r="A251" s="109">
        <v>31</v>
      </c>
      <c r="B251" s="32">
        <v>1179</v>
      </c>
      <c r="C251" s="32">
        <v>1179</v>
      </c>
      <c r="D251" s="56"/>
      <c r="E251" s="56"/>
      <c r="F251" s="32">
        <v>1179</v>
      </c>
      <c r="G251" s="32">
        <v>1179</v>
      </c>
      <c r="H251" s="54"/>
      <c r="I251" s="54"/>
      <c r="J251" s="30"/>
      <c r="K251" s="30"/>
      <c r="L251" s="52"/>
      <c r="M251" s="52"/>
      <c r="N251" s="32">
        <v>1179</v>
      </c>
      <c r="O251" s="32">
        <v>1179</v>
      </c>
      <c r="P251" s="32">
        <v>1179</v>
      </c>
      <c r="Q251" s="32">
        <v>1179</v>
      </c>
      <c r="R251" s="32"/>
      <c r="S251" s="32"/>
      <c r="T251" s="32">
        <v>1179</v>
      </c>
      <c r="U251" s="32">
        <v>1179</v>
      </c>
      <c r="V251" s="30"/>
      <c r="W251" s="30"/>
      <c r="X251" s="32">
        <v>1177</v>
      </c>
      <c r="Y251" s="32">
        <v>1179</v>
      </c>
    </row>
    <row r="252" spans="1:27" ht="25.5" thickBot="1" x14ac:dyDescent="0.7">
      <c r="A252" s="17" t="s">
        <v>15</v>
      </c>
      <c r="B252" s="197">
        <f>AVERAGE(B221:B251)</f>
        <v>1179</v>
      </c>
      <c r="C252" s="197">
        <f t="shared" ref="C252:X252" si="6">AVERAGE(C221:C251)</f>
        <v>1179</v>
      </c>
      <c r="D252" s="197">
        <f t="shared" si="6"/>
        <v>1179</v>
      </c>
      <c r="E252" s="197">
        <f t="shared" si="6"/>
        <v>1179</v>
      </c>
      <c r="F252" s="197">
        <f t="shared" si="6"/>
        <v>1179</v>
      </c>
      <c r="G252" s="197">
        <f t="shared" si="6"/>
        <v>1179</v>
      </c>
      <c r="H252" s="197">
        <f t="shared" si="6"/>
        <v>1179</v>
      </c>
      <c r="I252" s="197">
        <f t="shared" si="6"/>
        <v>1179</v>
      </c>
      <c r="J252" s="197">
        <f t="shared" si="6"/>
        <v>1179</v>
      </c>
      <c r="K252" s="197">
        <f t="shared" si="6"/>
        <v>1179</v>
      </c>
      <c r="L252" s="197">
        <f t="shared" si="6"/>
        <v>1179</v>
      </c>
      <c r="M252" s="197">
        <f t="shared" si="6"/>
        <v>1179</v>
      </c>
      <c r="N252" s="197">
        <f t="shared" si="6"/>
        <v>1179</v>
      </c>
      <c r="O252" s="197">
        <f t="shared" si="6"/>
        <v>1179</v>
      </c>
      <c r="P252" s="197">
        <f t="shared" si="6"/>
        <v>1179</v>
      </c>
      <c r="Q252" s="197">
        <f t="shared" si="6"/>
        <v>1179</v>
      </c>
      <c r="R252" s="197">
        <f t="shared" si="6"/>
        <v>1179</v>
      </c>
      <c r="S252" s="197">
        <f t="shared" si="6"/>
        <v>1179</v>
      </c>
      <c r="T252" s="197">
        <f t="shared" si="6"/>
        <v>1179</v>
      </c>
      <c r="U252" s="197">
        <f t="shared" si="6"/>
        <v>1179</v>
      </c>
      <c r="V252" s="197">
        <f t="shared" si="6"/>
        <v>1179</v>
      </c>
      <c r="W252" s="197">
        <f t="shared" si="6"/>
        <v>1179</v>
      </c>
      <c r="X252" s="197">
        <f t="shared" si="6"/>
        <v>1177</v>
      </c>
      <c r="Y252" s="197">
        <f t="shared" ref="Y252" si="7">AVERAGE(Y221:Y251)</f>
        <v>1179</v>
      </c>
      <c r="Z252" s="57"/>
      <c r="AA252" s="57"/>
    </row>
    <row r="253" spans="1:27" ht="42" customHeight="1" x14ac:dyDescent="0.65">
      <c r="A253" s="224" t="s">
        <v>30</v>
      </c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 spans="1:27" ht="24.75" customHeight="1" thickBot="1" x14ac:dyDescent="0.7">
      <c r="A254" s="225" t="s">
        <v>71</v>
      </c>
      <c r="B254" s="225"/>
      <c r="C254" s="225"/>
      <c r="D254" s="225"/>
      <c r="E254" s="225"/>
      <c r="F254" s="225"/>
      <c r="G254" s="225"/>
      <c r="H254" s="225"/>
      <c r="I254" s="225"/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</row>
    <row r="255" spans="1:27" ht="25.5" thickBot="1" x14ac:dyDescent="0.7">
      <c r="A255" s="226" t="s">
        <v>2</v>
      </c>
      <c r="B255" s="228" t="s">
        <v>3</v>
      </c>
      <c r="C255" s="229"/>
      <c r="D255" s="228" t="s">
        <v>4</v>
      </c>
      <c r="E255" s="229"/>
      <c r="F255" s="228" t="s">
        <v>5</v>
      </c>
      <c r="G255" s="229"/>
      <c r="H255" s="228" t="s">
        <v>6</v>
      </c>
      <c r="I255" s="229"/>
      <c r="J255" s="228" t="s">
        <v>7</v>
      </c>
      <c r="K255" s="229"/>
      <c r="L255" s="228" t="s">
        <v>8</v>
      </c>
      <c r="M255" s="229"/>
      <c r="N255" s="228" t="s">
        <v>9</v>
      </c>
      <c r="O255" s="229"/>
      <c r="P255" s="228" t="s">
        <v>10</v>
      </c>
      <c r="Q255" s="229"/>
      <c r="R255" s="228" t="s">
        <v>11</v>
      </c>
      <c r="S255" s="229"/>
      <c r="T255" s="228" t="s">
        <v>12</v>
      </c>
      <c r="U255" s="229"/>
      <c r="V255" s="228" t="s">
        <v>21</v>
      </c>
      <c r="W255" s="229"/>
      <c r="X255" s="228" t="s">
        <v>14</v>
      </c>
      <c r="Y255" s="229"/>
    </row>
    <row r="256" spans="1:27" ht="25.5" thickBot="1" x14ac:dyDescent="0.7">
      <c r="A256" s="227"/>
      <c r="B256" s="17" t="s">
        <v>74</v>
      </c>
      <c r="C256" s="17" t="s">
        <v>75</v>
      </c>
      <c r="D256" s="17" t="s">
        <v>74</v>
      </c>
      <c r="E256" s="17" t="s">
        <v>75</v>
      </c>
      <c r="F256" s="17" t="s">
        <v>74</v>
      </c>
      <c r="G256" s="17" t="s">
        <v>75</v>
      </c>
      <c r="H256" s="17" t="s">
        <v>74</v>
      </c>
      <c r="I256" s="17" t="s">
        <v>75</v>
      </c>
      <c r="J256" s="17" t="s">
        <v>74</v>
      </c>
      <c r="K256" s="17" t="s">
        <v>75</v>
      </c>
      <c r="L256" s="17" t="s">
        <v>74</v>
      </c>
      <c r="M256" s="17" t="s">
        <v>75</v>
      </c>
      <c r="N256" s="17" t="s">
        <v>74</v>
      </c>
      <c r="O256" s="17" t="s">
        <v>75</v>
      </c>
      <c r="P256" s="17" t="s">
        <v>74</v>
      </c>
      <c r="Q256" s="17" t="s">
        <v>75</v>
      </c>
      <c r="R256" s="17" t="s">
        <v>74</v>
      </c>
      <c r="S256" s="17" t="s">
        <v>75</v>
      </c>
      <c r="T256" s="17" t="s">
        <v>74</v>
      </c>
      <c r="U256" s="17" t="s">
        <v>75</v>
      </c>
      <c r="V256" s="17" t="s">
        <v>74</v>
      </c>
      <c r="W256" s="17" t="s">
        <v>75</v>
      </c>
      <c r="X256" s="17" t="s">
        <v>74</v>
      </c>
      <c r="Y256" s="17" t="s">
        <v>75</v>
      </c>
    </row>
    <row r="257" spans="1:25" x14ac:dyDescent="0.65">
      <c r="A257" s="39">
        <v>1</v>
      </c>
      <c r="B257" s="32"/>
      <c r="C257" s="62"/>
      <c r="D257" s="26">
        <v>1177</v>
      </c>
      <c r="E257" s="26">
        <v>1179</v>
      </c>
      <c r="F257" s="32">
        <v>1190</v>
      </c>
      <c r="G257" s="30">
        <v>1187</v>
      </c>
      <c r="H257" s="32">
        <v>1190</v>
      </c>
      <c r="I257" s="32">
        <v>1187</v>
      </c>
      <c r="J257" s="30"/>
      <c r="K257" s="30"/>
      <c r="L257" s="32">
        <v>1190</v>
      </c>
      <c r="M257" s="32">
        <v>1187</v>
      </c>
      <c r="N257" s="32">
        <v>1190</v>
      </c>
      <c r="O257" s="32">
        <v>1187</v>
      </c>
      <c r="P257" s="32"/>
      <c r="Q257" s="32"/>
      <c r="R257" s="24">
        <v>1190</v>
      </c>
      <c r="S257" s="32">
        <v>1187</v>
      </c>
      <c r="T257" s="32">
        <v>1190</v>
      </c>
      <c r="U257" s="32">
        <v>1187</v>
      </c>
      <c r="V257" s="30">
        <v>1190</v>
      </c>
      <c r="W257" s="30">
        <v>1187</v>
      </c>
      <c r="X257" s="32">
        <v>1190</v>
      </c>
      <c r="Y257" s="32">
        <v>1187</v>
      </c>
    </row>
    <row r="258" spans="1:25" x14ac:dyDescent="0.65">
      <c r="A258" s="108">
        <v>2</v>
      </c>
      <c r="B258" s="26"/>
      <c r="C258" s="26"/>
      <c r="D258" s="26">
        <v>1177</v>
      </c>
      <c r="E258" s="26">
        <v>1179</v>
      </c>
      <c r="F258" s="26">
        <v>1190</v>
      </c>
      <c r="G258" s="26">
        <v>1187</v>
      </c>
      <c r="H258" s="26">
        <v>1190</v>
      </c>
      <c r="I258" s="26">
        <v>1187</v>
      </c>
      <c r="J258" s="26"/>
      <c r="K258" s="26"/>
      <c r="L258" s="26">
        <v>1190</v>
      </c>
      <c r="M258" s="26">
        <v>1187</v>
      </c>
      <c r="N258" s="26">
        <v>1190</v>
      </c>
      <c r="O258" s="26">
        <v>1187</v>
      </c>
      <c r="P258" s="26">
        <v>1190</v>
      </c>
      <c r="Q258" s="26">
        <v>1187</v>
      </c>
      <c r="R258" s="26">
        <v>1190</v>
      </c>
      <c r="S258" s="26">
        <v>1187</v>
      </c>
      <c r="T258" s="26">
        <v>1190</v>
      </c>
      <c r="U258" s="26">
        <v>1187</v>
      </c>
      <c r="V258" s="26">
        <v>1190</v>
      </c>
      <c r="W258" s="26">
        <v>1187</v>
      </c>
      <c r="X258" s="32">
        <v>1190</v>
      </c>
      <c r="Y258" s="32">
        <v>1187</v>
      </c>
    </row>
    <row r="259" spans="1:25" x14ac:dyDescent="0.65">
      <c r="A259" s="108">
        <v>3</v>
      </c>
      <c r="B259" s="26"/>
      <c r="C259" s="26"/>
      <c r="D259" s="26">
        <v>1177</v>
      </c>
      <c r="E259" s="26">
        <v>1179</v>
      </c>
      <c r="F259" s="26">
        <v>1190</v>
      </c>
      <c r="G259" s="26">
        <v>1187</v>
      </c>
      <c r="H259" s="26">
        <v>1190</v>
      </c>
      <c r="I259" s="26">
        <v>1187</v>
      </c>
      <c r="J259" s="26">
        <v>1190</v>
      </c>
      <c r="K259" s="26">
        <v>1187</v>
      </c>
      <c r="L259" s="26">
        <v>1190</v>
      </c>
      <c r="M259" s="26">
        <v>1187</v>
      </c>
      <c r="N259" s="26">
        <v>1190</v>
      </c>
      <c r="O259" s="26">
        <v>1187</v>
      </c>
      <c r="P259" s="32">
        <v>1190</v>
      </c>
      <c r="Q259" s="32">
        <v>1187</v>
      </c>
      <c r="R259" s="26">
        <v>1190</v>
      </c>
      <c r="S259" s="26">
        <v>1187</v>
      </c>
      <c r="T259" s="26"/>
      <c r="U259" s="26"/>
      <c r="V259" s="26">
        <v>1190</v>
      </c>
      <c r="W259" s="26">
        <v>1187</v>
      </c>
      <c r="X259" s="32">
        <v>1190</v>
      </c>
      <c r="Y259" s="32">
        <v>1187</v>
      </c>
    </row>
    <row r="260" spans="1:25" x14ac:dyDescent="0.65">
      <c r="A260" s="108">
        <v>4</v>
      </c>
      <c r="B260" s="26">
        <v>1177</v>
      </c>
      <c r="C260" s="26">
        <v>1179</v>
      </c>
      <c r="D260" s="26">
        <v>1177</v>
      </c>
      <c r="E260" s="26">
        <v>1179</v>
      </c>
      <c r="F260" s="26">
        <v>1190</v>
      </c>
      <c r="G260" s="26">
        <v>1187</v>
      </c>
      <c r="H260" s="26"/>
      <c r="I260" s="26"/>
      <c r="J260" s="26">
        <v>1190</v>
      </c>
      <c r="K260" s="26">
        <v>1187</v>
      </c>
      <c r="L260" s="26">
        <v>1190</v>
      </c>
      <c r="M260" s="26">
        <v>1187</v>
      </c>
      <c r="N260" s="26"/>
      <c r="O260" s="26"/>
      <c r="P260" s="32">
        <v>1190</v>
      </c>
      <c r="Q260" s="32">
        <v>1187</v>
      </c>
      <c r="R260" s="26">
        <v>1190</v>
      </c>
      <c r="S260" s="26">
        <v>1187</v>
      </c>
      <c r="T260" s="26"/>
      <c r="U260" s="26"/>
      <c r="V260" s="26"/>
      <c r="W260" s="26"/>
      <c r="X260" s="32">
        <v>1190</v>
      </c>
      <c r="Y260" s="32">
        <v>1187</v>
      </c>
    </row>
    <row r="261" spans="1:25" x14ac:dyDescent="0.65">
      <c r="A261" s="108">
        <v>5</v>
      </c>
      <c r="B261" s="26">
        <v>1177</v>
      </c>
      <c r="C261" s="26">
        <v>1179</v>
      </c>
      <c r="D261" s="26">
        <v>1177</v>
      </c>
      <c r="E261" s="26">
        <v>1179</v>
      </c>
      <c r="F261" s="26">
        <v>1190</v>
      </c>
      <c r="G261" s="26">
        <v>1187</v>
      </c>
      <c r="H261" s="26">
        <v>1190</v>
      </c>
      <c r="I261" s="26">
        <v>1187</v>
      </c>
      <c r="J261" s="26">
        <v>1190</v>
      </c>
      <c r="K261" s="26">
        <v>1187</v>
      </c>
      <c r="L261" s="26">
        <v>1190</v>
      </c>
      <c r="M261" s="26">
        <v>1187</v>
      </c>
      <c r="N261" s="26">
        <v>1190</v>
      </c>
      <c r="O261" s="26">
        <v>1187</v>
      </c>
      <c r="P261" s="32">
        <v>1190</v>
      </c>
      <c r="Q261" s="32">
        <v>1187</v>
      </c>
      <c r="R261" s="26"/>
      <c r="S261" s="26"/>
      <c r="T261" s="26"/>
      <c r="U261" s="26"/>
      <c r="V261" s="26">
        <v>1190</v>
      </c>
      <c r="W261" s="26">
        <v>1187</v>
      </c>
      <c r="X261" s="32"/>
      <c r="Y261" s="32"/>
    </row>
    <row r="262" spans="1:25" x14ac:dyDescent="0.65">
      <c r="A262" s="108">
        <v>6</v>
      </c>
      <c r="B262" s="26"/>
      <c r="C262" s="26"/>
      <c r="D262" s="26">
        <v>1177</v>
      </c>
      <c r="E262" s="26">
        <v>1179</v>
      </c>
      <c r="F262" s="26">
        <v>1190</v>
      </c>
      <c r="G262" s="26">
        <v>1187</v>
      </c>
      <c r="H262" s="26">
        <v>1190</v>
      </c>
      <c r="I262" s="26">
        <v>1187</v>
      </c>
      <c r="J262" s="26">
        <v>1190</v>
      </c>
      <c r="K262" s="26">
        <v>1187</v>
      </c>
      <c r="L262" s="26"/>
      <c r="M262" s="26"/>
      <c r="N262" s="26">
        <v>1190</v>
      </c>
      <c r="O262" s="26">
        <v>1187</v>
      </c>
      <c r="P262" s="32">
        <v>1190</v>
      </c>
      <c r="Q262" s="32">
        <v>1187</v>
      </c>
      <c r="R262" s="26">
        <v>1190</v>
      </c>
      <c r="S262" s="26">
        <v>1187</v>
      </c>
      <c r="T262" s="26"/>
      <c r="U262" s="26"/>
      <c r="V262" s="26">
        <v>1190</v>
      </c>
      <c r="W262" s="26">
        <v>1187</v>
      </c>
      <c r="X262" s="26"/>
      <c r="Y262" s="26"/>
    </row>
    <row r="263" spans="1:25" x14ac:dyDescent="0.65">
      <c r="A263" s="108">
        <v>7</v>
      </c>
      <c r="B263" s="26">
        <v>1177</v>
      </c>
      <c r="C263" s="26">
        <v>1179</v>
      </c>
      <c r="D263" s="26"/>
      <c r="E263" s="26"/>
      <c r="F263" s="26"/>
      <c r="G263" s="26"/>
      <c r="H263" s="26">
        <v>1190</v>
      </c>
      <c r="I263" s="26">
        <v>1187</v>
      </c>
      <c r="J263" s="26">
        <v>1190</v>
      </c>
      <c r="K263" s="26">
        <v>1187</v>
      </c>
      <c r="L263" s="26">
        <v>1190</v>
      </c>
      <c r="M263" s="26">
        <v>1187</v>
      </c>
      <c r="N263" s="26">
        <v>1190</v>
      </c>
      <c r="O263" s="26">
        <v>1187</v>
      </c>
      <c r="P263" s="32">
        <v>1190</v>
      </c>
      <c r="Q263" s="32">
        <v>1187</v>
      </c>
      <c r="R263" s="26">
        <v>1190</v>
      </c>
      <c r="S263" s="26">
        <v>1187</v>
      </c>
      <c r="T263" s="26"/>
      <c r="U263" s="26"/>
      <c r="V263" s="26"/>
      <c r="W263" s="26"/>
      <c r="X263" s="32">
        <v>1190</v>
      </c>
      <c r="Y263" s="32">
        <v>1187</v>
      </c>
    </row>
    <row r="264" spans="1:25" x14ac:dyDescent="0.65">
      <c r="A264" s="108">
        <v>8</v>
      </c>
      <c r="B264" s="26">
        <v>1177</v>
      </c>
      <c r="C264" s="26">
        <v>1179</v>
      </c>
      <c r="D264" s="26">
        <v>1177</v>
      </c>
      <c r="E264" s="26">
        <v>1179</v>
      </c>
      <c r="F264" s="26">
        <v>1190</v>
      </c>
      <c r="G264" s="26">
        <v>1187</v>
      </c>
      <c r="H264" s="26">
        <v>1190</v>
      </c>
      <c r="I264" s="26">
        <v>1187</v>
      </c>
      <c r="J264" s="26">
        <v>1190</v>
      </c>
      <c r="K264" s="26">
        <v>1187</v>
      </c>
      <c r="L264" s="26">
        <v>1190</v>
      </c>
      <c r="M264" s="26">
        <v>1187</v>
      </c>
      <c r="N264" s="26">
        <v>1190</v>
      </c>
      <c r="O264" s="26">
        <v>1187</v>
      </c>
      <c r="P264" s="32"/>
      <c r="Q264" s="32"/>
      <c r="R264" s="26">
        <v>1190</v>
      </c>
      <c r="S264" s="26">
        <v>1187</v>
      </c>
      <c r="T264" s="26"/>
      <c r="U264" s="26"/>
      <c r="V264" s="26">
        <v>1190</v>
      </c>
      <c r="W264" s="26">
        <v>1187</v>
      </c>
      <c r="X264" s="32">
        <v>1190</v>
      </c>
      <c r="Y264" s="32">
        <v>1187</v>
      </c>
    </row>
    <row r="265" spans="1:25" x14ac:dyDescent="0.65">
      <c r="A265" s="108">
        <v>9</v>
      </c>
      <c r="B265" s="26">
        <v>1177</v>
      </c>
      <c r="C265" s="26">
        <v>1179</v>
      </c>
      <c r="D265" s="26">
        <v>1177</v>
      </c>
      <c r="E265" s="26">
        <v>1179</v>
      </c>
      <c r="F265" s="26">
        <v>1190</v>
      </c>
      <c r="G265" s="26">
        <v>1187</v>
      </c>
      <c r="H265" s="26">
        <v>1190</v>
      </c>
      <c r="I265" s="26">
        <v>1187</v>
      </c>
      <c r="J265" s="26"/>
      <c r="K265" s="26"/>
      <c r="L265" s="26">
        <v>1190</v>
      </c>
      <c r="M265" s="26">
        <v>1187</v>
      </c>
      <c r="N265" s="26">
        <v>1190</v>
      </c>
      <c r="O265" s="26">
        <v>1187</v>
      </c>
      <c r="P265" s="26">
        <v>1190</v>
      </c>
      <c r="Q265" s="26">
        <v>1187</v>
      </c>
      <c r="R265" s="26">
        <v>1190</v>
      </c>
      <c r="S265" s="26">
        <v>1187</v>
      </c>
      <c r="T265" s="26"/>
      <c r="U265" s="26"/>
      <c r="V265" s="26">
        <v>1190</v>
      </c>
      <c r="W265" s="26">
        <v>1187</v>
      </c>
      <c r="X265" s="32">
        <v>1190</v>
      </c>
      <c r="Y265" s="32">
        <v>1187</v>
      </c>
    </row>
    <row r="266" spans="1:25" x14ac:dyDescent="0.65">
      <c r="A266" s="108">
        <v>10</v>
      </c>
      <c r="B266" s="26"/>
      <c r="C266" s="26"/>
      <c r="D266" s="26">
        <v>1177</v>
      </c>
      <c r="E266" s="26">
        <v>1179</v>
      </c>
      <c r="F266" s="26">
        <v>1190</v>
      </c>
      <c r="G266" s="26">
        <v>1187</v>
      </c>
      <c r="H266" s="26">
        <v>1190</v>
      </c>
      <c r="I266" s="26">
        <v>1187</v>
      </c>
      <c r="J266" s="26"/>
      <c r="K266" s="26"/>
      <c r="L266" s="26">
        <v>1190</v>
      </c>
      <c r="M266" s="26">
        <v>1187</v>
      </c>
      <c r="N266" s="26">
        <v>1190</v>
      </c>
      <c r="O266" s="26">
        <v>1187</v>
      </c>
      <c r="P266" s="32">
        <v>1190</v>
      </c>
      <c r="Q266" s="32">
        <v>1187</v>
      </c>
      <c r="R266" s="26">
        <v>1190</v>
      </c>
      <c r="S266" s="26">
        <v>1187</v>
      </c>
      <c r="T266" s="26"/>
      <c r="U266" s="26"/>
      <c r="V266" s="26">
        <v>1190</v>
      </c>
      <c r="W266" s="26">
        <v>1187</v>
      </c>
      <c r="X266" s="32">
        <v>1190</v>
      </c>
      <c r="Y266" s="32">
        <v>1187</v>
      </c>
    </row>
    <row r="267" spans="1:25" x14ac:dyDescent="0.65">
      <c r="A267" s="108">
        <v>11</v>
      </c>
      <c r="B267" s="26">
        <v>1177</v>
      </c>
      <c r="C267" s="26">
        <v>1179</v>
      </c>
      <c r="D267" s="26">
        <v>1177</v>
      </c>
      <c r="E267" s="26">
        <v>1179</v>
      </c>
      <c r="F267" s="26">
        <v>1190</v>
      </c>
      <c r="G267" s="26">
        <v>1187</v>
      </c>
      <c r="H267" s="26"/>
      <c r="I267" s="26"/>
      <c r="J267" s="26">
        <v>1190</v>
      </c>
      <c r="K267" s="26">
        <v>1187</v>
      </c>
      <c r="L267" s="26">
        <v>1190</v>
      </c>
      <c r="M267" s="26">
        <v>1187</v>
      </c>
      <c r="N267" s="26"/>
      <c r="O267" s="26"/>
      <c r="P267" s="32">
        <v>1190</v>
      </c>
      <c r="Q267" s="32">
        <v>1187</v>
      </c>
      <c r="R267" s="26">
        <v>1190</v>
      </c>
      <c r="S267" s="26">
        <v>1187</v>
      </c>
      <c r="T267" s="26">
        <v>1190</v>
      </c>
      <c r="U267" s="26">
        <v>1187</v>
      </c>
      <c r="V267" s="26">
        <v>1190</v>
      </c>
      <c r="W267" s="26">
        <v>1187</v>
      </c>
      <c r="X267" s="32">
        <v>1190</v>
      </c>
      <c r="Y267" s="32">
        <v>1187</v>
      </c>
    </row>
    <row r="268" spans="1:25" x14ac:dyDescent="0.65">
      <c r="A268" s="108">
        <v>12</v>
      </c>
      <c r="B268" s="26">
        <v>1177</v>
      </c>
      <c r="C268" s="26">
        <v>1179</v>
      </c>
      <c r="D268" s="26">
        <v>1177</v>
      </c>
      <c r="E268" s="26">
        <v>1179</v>
      </c>
      <c r="F268" s="26">
        <v>1190</v>
      </c>
      <c r="G268" s="26">
        <v>1187</v>
      </c>
      <c r="H268" s="26">
        <v>1190</v>
      </c>
      <c r="I268" s="26">
        <v>1187</v>
      </c>
      <c r="J268" s="26">
        <v>1190</v>
      </c>
      <c r="K268" s="26">
        <v>1187</v>
      </c>
      <c r="L268" s="26">
        <v>1190</v>
      </c>
      <c r="M268" s="26">
        <v>1187</v>
      </c>
      <c r="N268" s="26">
        <v>1190</v>
      </c>
      <c r="O268" s="26">
        <v>1187</v>
      </c>
      <c r="P268" s="32">
        <v>1190</v>
      </c>
      <c r="Q268" s="32">
        <v>1187</v>
      </c>
      <c r="R268" s="26"/>
      <c r="S268" s="26"/>
      <c r="T268" s="26">
        <v>1190</v>
      </c>
      <c r="U268" s="26">
        <v>1187</v>
      </c>
      <c r="V268" s="26">
        <v>1190</v>
      </c>
      <c r="W268" s="26">
        <v>1187</v>
      </c>
      <c r="X268" s="32"/>
      <c r="Y268" s="32"/>
    </row>
    <row r="269" spans="1:25" x14ac:dyDescent="0.65">
      <c r="A269" s="108">
        <v>13</v>
      </c>
      <c r="B269" s="26"/>
      <c r="C269" s="26"/>
      <c r="D269" s="26">
        <v>1177</v>
      </c>
      <c r="E269" s="26">
        <v>1179</v>
      </c>
      <c r="F269" s="26">
        <v>1190</v>
      </c>
      <c r="G269" s="26">
        <v>1187</v>
      </c>
      <c r="H269" s="26">
        <v>1190</v>
      </c>
      <c r="I269" s="26">
        <v>1187</v>
      </c>
      <c r="J269" s="26">
        <v>1190</v>
      </c>
      <c r="K269" s="26">
        <v>1187</v>
      </c>
      <c r="L269" s="26"/>
      <c r="M269" s="26"/>
      <c r="N269" s="26">
        <v>1190</v>
      </c>
      <c r="O269" s="26">
        <v>1187</v>
      </c>
      <c r="P269" s="32">
        <v>1190</v>
      </c>
      <c r="Q269" s="32">
        <v>1187</v>
      </c>
      <c r="R269" s="26">
        <v>1190</v>
      </c>
      <c r="S269" s="26">
        <v>1187</v>
      </c>
      <c r="T269" s="26">
        <v>1190</v>
      </c>
      <c r="U269" s="26">
        <v>1187</v>
      </c>
      <c r="V269" s="26">
        <v>1190</v>
      </c>
      <c r="W269" s="26">
        <v>1187</v>
      </c>
      <c r="X269" s="26"/>
      <c r="Y269" s="26"/>
    </row>
    <row r="270" spans="1:25" x14ac:dyDescent="0.65">
      <c r="A270" s="108">
        <v>14</v>
      </c>
      <c r="B270" s="26">
        <v>1177</v>
      </c>
      <c r="C270" s="26">
        <v>1179</v>
      </c>
      <c r="D270" s="26"/>
      <c r="E270" s="26"/>
      <c r="F270" s="26"/>
      <c r="G270" s="26"/>
      <c r="H270" s="26">
        <v>1190</v>
      </c>
      <c r="I270" s="26">
        <v>1187</v>
      </c>
      <c r="J270" s="26">
        <v>1190</v>
      </c>
      <c r="K270" s="26">
        <v>1187</v>
      </c>
      <c r="L270" s="26">
        <v>1190</v>
      </c>
      <c r="M270" s="26">
        <v>1187</v>
      </c>
      <c r="N270" s="26">
        <v>1190</v>
      </c>
      <c r="O270" s="26">
        <v>1187</v>
      </c>
      <c r="P270" s="32">
        <v>1190</v>
      </c>
      <c r="Q270" s="32">
        <v>1187</v>
      </c>
      <c r="R270" s="26">
        <v>1190</v>
      </c>
      <c r="S270" s="26">
        <v>1187</v>
      </c>
      <c r="T270" s="26">
        <v>1190</v>
      </c>
      <c r="U270" s="26">
        <v>1187</v>
      </c>
      <c r="V270" s="26"/>
      <c r="W270" s="26"/>
      <c r="X270" s="32">
        <v>1190</v>
      </c>
      <c r="Y270" s="32">
        <v>1187</v>
      </c>
    </row>
    <row r="271" spans="1:25" x14ac:dyDescent="0.65">
      <c r="A271" s="108">
        <v>15</v>
      </c>
      <c r="B271" s="26">
        <v>1177</v>
      </c>
      <c r="C271" s="26">
        <v>1179</v>
      </c>
      <c r="D271" s="26">
        <v>1177</v>
      </c>
      <c r="E271" s="26">
        <v>1179</v>
      </c>
      <c r="F271" s="26">
        <v>1190</v>
      </c>
      <c r="G271" s="26">
        <v>1187</v>
      </c>
      <c r="H271" s="26">
        <v>1190</v>
      </c>
      <c r="I271" s="26">
        <v>1187</v>
      </c>
      <c r="J271" s="26">
        <v>1190</v>
      </c>
      <c r="K271" s="26">
        <v>1187</v>
      </c>
      <c r="L271" s="26">
        <v>1190</v>
      </c>
      <c r="M271" s="26">
        <v>1187</v>
      </c>
      <c r="N271" s="26">
        <v>1190</v>
      </c>
      <c r="O271" s="26">
        <v>1187</v>
      </c>
      <c r="P271" s="32"/>
      <c r="Q271" s="32"/>
      <c r="R271" s="26">
        <v>1190</v>
      </c>
      <c r="S271" s="26">
        <v>1187</v>
      </c>
      <c r="T271" s="26">
        <v>1190</v>
      </c>
      <c r="U271" s="26">
        <v>1187</v>
      </c>
      <c r="V271" s="26">
        <v>1190</v>
      </c>
      <c r="W271" s="26">
        <v>1187</v>
      </c>
      <c r="X271" s="32">
        <v>1190</v>
      </c>
      <c r="Y271" s="32">
        <v>1187</v>
      </c>
    </row>
    <row r="272" spans="1:25" x14ac:dyDescent="0.65">
      <c r="A272" s="108">
        <v>16</v>
      </c>
      <c r="B272" s="26">
        <v>1177</v>
      </c>
      <c r="C272" s="26">
        <v>1179</v>
      </c>
      <c r="D272" s="32">
        <v>1190</v>
      </c>
      <c r="E272" s="30">
        <v>1187</v>
      </c>
      <c r="F272" s="26">
        <v>1190</v>
      </c>
      <c r="G272" s="26">
        <v>1187</v>
      </c>
      <c r="H272" s="26">
        <v>1190</v>
      </c>
      <c r="I272" s="26">
        <v>1187</v>
      </c>
      <c r="J272" s="26"/>
      <c r="K272" s="26"/>
      <c r="L272" s="26">
        <v>1190</v>
      </c>
      <c r="M272" s="26">
        <v>1187</v>
      </c>
      <c r="N272" s="26">
        <v>1190</v>
      </c>
      <c r="O272" s="26">
        <v>1187</v>
      </c>
      <c r="P272" s="26">
        <v>1190</v>
      </c>
      <c r="Q272" s="26">
        <v>1187</v>
      </c>
      <c r="R272" s="26">
        <v>1190</v>
      </c>
      <c r="S272" s="26">
        <v>1187</v>
      </c>
      <c r="T272" s="26">
        <v>1190</v>
      </c>
      <c r="U272" s="26">
        <v>1187</v>
      </c>
      <c r="V272" s="26">
        <v>1190</v>
      </c>
      <c r="W272" s="26">
        <v>1187</v>
      </c>
      <c r="X272" s="32">
        <v>1190</v>
      </c>
      <c r="Y272" s="32">
        <v>1187</v>
      </c>
    </row>
    <row r="273" spans="1:27" x14ac:dyDescent="0.65">
      <c r="A273" s="108">
        <v>17</v>
      </c>
      <c r="B273" s="26"/>
      <c r="C273" s="26"/>
      <c r="D273" s="32">
        <v>1190</v>
      </c>
      <c r="E273" s="30">
        <v>1187</v>
      </c>
      <c r="F273" s="26">
        <v>1190</v>
      </c>
      <c r="G273" s="26">
        <v>1187</v>
      </c>
      <c r="H273" s="26">
        <v>1190</v>
      </c>
      <c r="I273" s="26">
        <v>1187</v>
      </c>
      <c r="J273" s="26">
        <v>1190</v>
      </c>
      <c r="K273" s="26">
        <v>1187</v>
      </c>
      <c r="L273" s="26">
        <v>1190</v>
      </c>
      <c r="M273" s="26">
        <v>1187</v>
      </c>
      <c r="N273" s="26">
        <v>1190</v>
      </c>
      <c r="O273" s="26">
        <v>1187</v>
      </c>
      <c r="P273" s="32">
        <v>1190</v>
      </c>
      <c r="Q273" s="32">
        <v>1187</v>
      </c>
      <c r="R273" s="26">
        <v>1190</v>
      </c>
      <c r="S273" s="26">
        <v>1187</v>
      </c>
      <c r="T273" s="26"/>
      <c r="U273" s="26"/>
      <c r="V273" s="26">
        <v>1190</v>
      </c>
      <c r="W273" s="26">
        <v>1187</v>
      </c>
      <c r="X273" s="32">
        <v>1190</v>
      </c>
      <c r="Y273" s="32">
        <v>1187</v>
      </c>
    </row>
    <row r="274" spans="1:27" x14ac:dyDescent="0.65">
      <c r="A274" s="108">
        <v>18</v>
      </c>
      <c r="B274" s="26">
        <v>1177</v>
      </c>
      <c r="C274" s="26">
        <v>1179</v>
      </c>
      <c r="D274" s="32">
        <v>1190</v>
      </c>
      <c r="E274" s="30">
        <v>1187</v>
      </c>
      <c r="F274" s="26">
        <v>1190</v>
      </c>
      <c r="G274" s="26">
        <v>1187</v>
      </c>
      <c r="H274" s="26"/>
      <c r="I274" s="26"/>
      <c r="J274" s="26">
        <v>1190</v>
      </c>
      <c r="K274" s="26">
        <v>1187</v>
      </c>
      <c r="L274" s="26">
        <v>1190</v>
      </c>
      <c r="M274" s="26">
        <v>1187</v>
      </c>
      <c r="N274" s="26"/>
      <c r="O274" s="26"/>
      <c r="P274" s="32">
        <v>1190</v>
      </c>
      <c r="Q274" s="32">
        <v>1187</v>
      </c>
      <c r="R274" s="26">
        <v>1190</v>
      </c>
      <c r="S274" s="26">
        <v>1187</v>
      </c>
      <c r="T274" s="26"/>
      <c r="U274" s="26"/>
      <c r="V274" s="26">
        <v>1190</v>
      </c>
      <c r="W274" s="26">
        <v>1187</v>
      </c>
      <c r="X274" s="32">
        <v>1190</v>
      </c>
      <c r="Y274" s="32">
        <v>1187</v>
      </c>
    </row>
    <row r="275" spans="1:27" x14ac:dyDescent="0.65">
      <c r="A275" s="108">
        <v>19</v>
      </c>
      <c r="B275" s="26">
        <v>1177</v>
      </c>
      <c r="C275" s="26">
        <v>1179</v>
      </c>
      <c r="D275" s="32">
        <v>1190</v>
      </c>
      <c r="E275" s="30">
        <v>1187</v>
      </c>
      <c r="F275" s="26">
        <v>1190</v>
      </c>
      <c r="G275" s="26">
        <v>1187</v>
      </c>
      <c r="H275" s="26">
        <v>1190</v>
      </c>
      <c r="I275" s="26">
        <v>1187</v>
      </c>
      <c r="J275" s="26">
        <v>1190</v>
      </c>
      <c r="K275" s="26">
        <v>1187</v>
      </c>
      <c r="L275" s="26">
        <v>1190</v>
      </c>
      <c r="M275" s="26">
        <v>1187</v>
      </c>
      <c r="N275" s="26">
        <v>1190</v>
      </c>
      <c r="O275" s="26">
        <v>1187</v>
      </c>
      <c r="P275" s="32">
        <v>1190</v>
      </c>
      <c r="Q275" s="32">
        <v>1187</v>
      </c>
      <c r="R275" s="26"/>
      <c r="S275" s="26"/>
      <c r="T275" s="26">
        <v>1190</v>
      </c>
      <c r="U275" s="26">
        <v>1187</v>
      </c>
      <c r="V275" s="26">
        <v>1190</v>
      </c>
      <c r="W275" s="26">
        <v>1187</v>
      </c>
      <c r="X275" s="32"/>
      <c r="Y275" s="32"/>
    </row>
    <row r="276" spans="1:27" x14ac:dyDescent="0.65">
      <c r="A276" s="108">
        <v>20</v>
      </c>
      <c r="B276" s="26">
        <v>1177</v>
      </c>
      <c r="C276" s="26">
        <v>1179</v>
      </c>
      <c r="D276" s="32">
        <v>1190</v>
      </c>
      <c r="E276" s="30">
        <v>1187</v>
      </c>
      <c r="F276" s="26">
        <v>1190</v>
      </c>
      <c r="G276" s="26">
        <v>1187</v>
      </c>
      <c r="H276" s="26">
        <v>1190</v>
      </c>
      <c r="I276" s="26">
        <v>1187</v>
      </c>
      <c r="J276" s="26">
        <v>1190</v>
      </c>
      <c r="K276" s="26">
        <v>1187</v>
      </c>
      <c r="L276" s="26"/>
      <c r="M276" s="26"/>
      <c r="N276" s="26">
        <v>1190</v>
      </c>
      <c r="O276" s="26">
        <v>1187</v>
      </c>
      <c r="P276" s="32">
        <v>1190</v>
      </c>
      <c r="Q276" s="32">
        <v>1187</v>
      </c>
      <c r="R276" s="26">
        <v>1190</v>
      </c>
      <c r="S276" s="26">
        <v>1187</v>
      </c>
      <c r="T276" s="26">
        <v>1190</v>
      </c>
      <c r="U276" s="26">
        <v>1187</v>
      </c>
      <c r="V276" s="26">
        <v>1190</v>
      </c>
      <c r="W276" s="26">
        <v>1187</v>
      </c>
      <c r="X276" s="26"/>
      <c r="Y276" s="26"/>
    </row>
    <row r="277" spans="1:27" x14ac:dyDescent="0.65">
      <c r="A277" s="108">
        <v>21</v>
      </c>
      <c r="B277" s="26">
        <v>1177</v>
      </c>
      <c r="C277" s="26">
        <v>1179</v>
      </c>
      <c r="D277" s="26"/>
      <c r="E277" s="26"/>
      <c r="F277" s="26"/>
      <c r="G277" s="26"/>
      <c r="H277" s="26">
        <v>1190</v>
      </c>
      <c r="I277" s="26">
        <v>1187</v>
      </c>
      <c r="J277" s="26">
        <v>1190</v>
      </c>
      <c r="K277" s="26">
        <v>1187</v>
      </c>
      <c r="L277" s="26">
        <v>1190</v>
      </c>
      <c r="M277" s="26">
        <v>1187</v>
      </c>
      <c r="N277" s="26">
        <v>1190</v>
      </c>
      <c r="O277" s="26">
        <v>1187</v>
      </c>
      <c r="P277" s="32">
        <v>1190</v>
      </c>
      <c r="Q277" s="32">
        <v>1187</v>
      </c>
      <c r="R277" s="26">
        <v>1190</v>
      </c>
      <c r="S277" s="26">
        <v>1187</v>
      </c>
      <c r="T277" s="26">
        <v>1190</v>
      </c>
      <c r="U277" s="26">
        <v>1187</v>
      </c>
      <c r="V277" s="26"/>
      <c r="W277" s="26"/>
      <c r="X277" s="32">
        <v>1190</v>
      </c>
      <c r="Y277" s="32">
        <v>1187</v>
      </c>
    </row>
    <row r="278" spans="1:27" x14ac:dyDescent="0.65">
      <c r="A278" s="108">
        <v>22</v>
      </c>
      <c r="B278" s="26">
        <v>1177</v>
      </c>
      <c r="C278" s="26">
        <v>1179</v>
      </c>
      <c r="D278" s="32">
        <v>1190</v>
      </c>
      <c r="E278" s="30">
        <v>1187</v>
      </c>
      <c r="F278" s="26">
        <v>1190</v>
      </c>
      <c r="G278" s="26">
        <v>1187</v>
      </c>
      <c r="H278" s="26">
        <v>1190</v>
      </c>
      <c r="I278" s="26">
        <v>1187</v>
      </c>
      <c r="J278" s="26">
        <v>1190</v>
      </c>
      <c r="K278" s="26">
        <v>1187</v>
      </c>
      <c r="L278" s="26">
        <v>1190</v>
      </c>
      <c r="M278" s="26">
        <v>1187</v>
      </c>
      <c r="N278" s="26">
        <v>1190</v>
      </c>
      <c r="O278" s="26">
        <v>1187</v>
      </c>
      <c r="P278" s="32"/>
      <c r="Q278" s="32"/>
      <c r="R278" s="26">
        <v>1190</v>
      </c>
      <c r="S278" s="26">
        <v>1187</v>
      </c>
      <c r="T278" s="26">
        <v>1190</v>
      </c>
      <c r="U278" s="26">
        <v>1187</v>
      </c>
      <c r="V278" s="26">
        <v>1190</v>
      </c>
      <c r="W278" s="26">
        <v>1187</v>
      </c>
      <c r="X278" s="32">
        <v>1190</v>
      </c>
      <c r="Y278" s="32">
        <v>1187</v>
      </c>
    </row>
    <row r="279" spans="1:27" x14ac:dyDescent="0.65">
      <c r="A279" s="108">
        <v>23</v>
      </c>
      <c r="B279" s="26">
        <v>1177</v>
      </c>
      <c r="C279" s="26">
        <v>1179</v>
      </c>
      <c r="D279" s="32">
        <v>1190</v>
      </c>
      <c r="E279" s="30">
        <v>1187</v>
      </c>
      <c r="F279" s="26">
        <v>1190</v>
      </c>
      <c r="G279" s="26">
        <v>1187</v>
      </c>
      <c r="H279" s="26">
        <v>1190</v>
      </c>
      <c r="I279" s="26">
        <v>1187</v>
      </c>
      <c r="J279" s="26"/>
      <c r="K279" s="26"/>
      <c r="L279" s="26">
        <v>1190</v>
      </c>
      <c r="M279" s="26">
        <v>1187</v>
      </c>
      <c r="N279" s="26">
        <v>1190</v>
      </c>
      <c r="O279" s="26">
        <v>1187</v>
      </c>
      <c r="P279" s="26">
        <v>1190</v>
      </c>
      <c r="Q279" s="26">
        <v>1187</v>
      </c>
      <c r="R279" s="26">
        <v>1190</v>
      </c>
      <c r="S279" s="26">
        <v>1187</v>
      </c>
      <c r="T279" s="26">
        <v>1190</v>
      </c>
      <c r="U279" s="26">
        <v>1187</v>
      </c>
      <c r="V279" s="26">
        <v>1190</v>
      </c>
      <c r="W279" s="26">
        <v>1187</v>
      </c>
      <c r="X279" s="32">
        <v>1190</v>
      </c>
      <c r="Y279" s="32">
        <v>1187</v>
      </c>
    </row>
    <row r="280" spans="1:27" x14ac:dyDescent="0.65">
      <c r="A280" s="108">
        <v>24</v>
      </c>
      <c r="B280" s="26"/>
      <c r="C280" s="26"/>
      <c r="D280" s="32">
        <v>1190</v>
      </c>
      <c r="E280" s="30">
        <v>1187</v>
      </c>
      <c r="F280" s="26">
        <v>1190</v>
      </c>
      <c r="G280" s="26">
        <v>1187</v>
      </c>
      <c r="H280" s="26">
        <v>1190</v>
      </c>
      <c r="I280" s="26">
        <v>1187</v>
      </c>
      <c r="J280" s="26"/>
      <c r="K280" s="26"/>
      <c r="L280" s="26">
        <v>1190</v>
      </c>
      <c r="M280" s="26">
        <v>1187</v>
      </c>
      <c r="N280" s="26">
        <v>1190</v>
      </c>
      <c r="O280" s="26">
        <v>1187</v>
      </c>
      <c r="P280" s="32">
        <v>1190</v>
      </c>
      <c r="Q280" s="32">
        <v>1187</v>
      </c>
      <c r="R280" s="26">
        <v>1190</v>
      </c>
      <c r="S280" s="26">
        <v>1187</v>
      </c>
      <c r="T280" s="26"/>
      <c r="U280" s="26"/>
      <c r="V280" s="26">
        <v>1190</v>
      </c>
      <c r="W280" s="26">
        <v>1187</v>
      </c>
      <c r="X280" s="26">
        <v>1190</v>
      </c>
      <c r="Y280" s="26">
        <v>1187</v>
      </c>
    </row>
    <row r="281" spans="1:27" x14ac:dyDescent="0.65">
      <c r="A281" s="108">
        <v>25</v>
      </c>
      <c r="B281" s="26">
        <v>1177</v>
      </c>
      <c r="C281" s="26">
        <v>1179</v>
      </c>
      <c r="D281" s="32">
        <v>1190</v>
      </c>
      <c r="E281" s="30">
        <v>1187</v>
      </c>
      <c r="F281" s="26">
        <v>1190</v>
      </c>
      <c r="G281" s="26">
        <v>1187</v>
      </c>
      <c r="H281" s="26"/>
      <c r="I281" s="26"/>
      <c r="J281" s="26"/>
      <c r="K281" s="26"/>
      <c r="L281" s="26">
        <v>1190</v>
      </c>
      <c r="M281" s="26">
        <v>1187</v>
      </c>
      <c r="N281" s="26"/>
      <c r="O281" s="26"/>
      <c r="P281" s="32">
        <v>1190</v>
      </c>
      <c r="Q281" s="32">
        <v>1187</v>
      </c>
      <c r="R281" s="26">
        <v>1190</v>
      </c>
      <c r="S281" s="26">
        <v>1187</v>
      </c>
      <c r="T281" s="26"/>
      <c r="U281" s="26"/>
      <c r="V281" s="26">
        <v>1190</v>
      </c>
      <c r="W281" s="26">
        <v>1187</v>
      </c>
      <c r="X281" s="26">
        <v>1190</v>
      </c>
      <c r="Y281" s="26">
        <v>1187</v>
      </c>
    </row>
    <row r="282" spans="1:27" x14ac:dyDescent="0.65">
      <c r="A282" s="108">
        <v>26</v>
      </c>
      <c r="B282" s="26">
        <v>1177</v>
      </c>
      <c r="C282" s="26">
        <v>1179</v>
      </c>
      <c r="D282" s="32">
        <v>1190</v>
      </c>
      <c r="E282" s="30">
        <v>1187</v>
      </c>
      <c r="F282" s="26">
        <v>1190</v>
      </c>
      <c r="G282" s="26">
        <v>1187</v>
      </c>
      <c r="H282" s="26">
        <v>1190</v>
      </c>
      <c r="I282" s="26">
        <v>1187</v>
      </c>
      <c r="J282" s="26">
        <v>1190</v>
      </c>
      <c r="K282" s="26">
        <v>1187</v>
      </c>
      <c r="L282" s="26">
        <v>1190</v>
      </c>
      <c r="M282" s="26">
        <v>1187</v>
      </c>
      <c r="N282" s="26">
        <v>1190</v>
      </c>
      <c r="O282" s="26">
        <v>1187</v>
      </c>
      <c r="P282" s="32">
        <v>1190</v>
      </c>
      <c r="Q282" s="32">
        <v>1187</v>
      </c>
      <c r="R282" s="26"/>
      <c r="S282" s="26"/>
      <c r="T282" s="26"/>
      <c r="U282" s="26"/>
      <c r="V282" s="26">
        <v>1190</v>
      </c>
      <c r="W282" s="26">
        <v>1187</v>
      </c>
      <c r="X282" s="32"/>
      <c r="Y282" s="32"/>
    </row>
    <row r="283" spans="1:27" x14ac:dyDescent="0.65">
      <c r="A283" s="108">
        <v>27</v>
      </c>
      <c r="B283" s="26">
        <v>1177</v>
      </c>
      <c r="C283" s="26">
        <v>1179</v>
      </c>
      <c r="D283" s="32">
        <v>1190</v>
      </c>
      <c r="E283" s="30">
        <v>1187</v>
      </c>
      <c r="F283" s="26">
        <v>1190</v>
      </c>
      <c r="G283" s="26">
        <v>1187</v>
      </c>
      <c r="H283" s="26"/>
      <c r="I283" s="26"/>
      <c r="J283" s="26">
        <v>1190</v>
      </c>
      <c r="K283" s="26">
        <v>1187</v>
      </c>
      <c r="L283" s="26"/>
      <c r="M283" s="26"/>
      <c r="N283" s="26">
        <v>1190</v>
      </c>
      <c r="O283" s="26">
        <v>1187</v>
      </c>
      <c r="P283" s="32">
        <v>1190</v>
      </c>
      <c r="Q283" s="32">
        <v>1187</v>
      </c>
      <c r="R283" s="26">
        <v>1190</v>
      </c>
      <c r="S283" s="26">
        <v>1187</v>
      </c>
      <c r="T283" s="26"/>
      <c r="U283" s="26"/>
      <c r="V283" s="26">
        <v>1190</v>
      </c>
      <c r="W283" s="26">
        <v>1187</v>
      </c>
      <c r="X283" s="26"/>
      <c r="Y283" s="26"/>
    </row>
    <row r="284" spans="1:27" x14ac:dyDescent="0.65">
      <c r="A284" s="108">
        <v>28</v>
      </c>
      <c r="B284" s="26">
        <v>1177</v>
      </c>
      <c r="C284" s="26">
        <v>1179</v>
      </c>
      <c r="D284" s="26"/>
      <c r="E284" s="26"/>
      <c r="F284" s="26"/>
      <c r="G284" s="26"/>
      <c r="H284" s="26"/>
      <c r="I284" s="26"/>
      <c r="J284" s="26">
        <v>1190</v>
      </c>
      <c r="K284" s="26">
        <v>1187</v>
      </c>
      <c r="L284" s="26">
        <v>1190</v>
      </c>
      <c r="M284" s="26">
        <v>1187</v>
      </c>
      <c r="N284" s="26"/>
      <c r="O284" s="26"/>
      <c r="P284" s="32">
        <v>1190</v>
      </c>
      <c r="Q284" s="32">
        <v>1187</v>
      </c>
      <c r="R284" s="26">
        <v>1190</v>
      </c>
      <c r="S284" s="26">
        <v>1187</v>
      </c>
      <c r="T284" s="26">
        <v>1190</v>
      </c>
      <c r="U284" s="26">
        <v>1187</v>
      </c>
      <c r="V284" s="26"/>
      <c r="W284" s="26"/>
      <c r="X284" s="32">
        <v>1190</v>
      </c>
      <c r="Y284" s="32">
        <v>1187</v>
      </c>
    </row>
    <row r="285" spans="1:27" x14ac:dyDescent="0.65">
      <c r="A285" s="108">
        <v>29</v>
      </c>
      <c r="B285" s="26">
        <v>1177</v>
      </c>
      <c r="C285" s="26">
        <v>1179</v>
      </c>
      <c r="D285" s="27"/>
      <c r="E285" s="27"/>
      <c r="F285" s="26">
        <v>1190</v>
      </c>
      <c r="G285" s="26">
        <v>1187</v>
      </c>
      <c r="H285" s="26"/>
      <c r="I285" s="26"/>
      <c r="J285" s="26">
        <v>1190</v>
      </c>
      <c r="K285" s="26">
        <v>1187</v>
      </c>
      <c r="L285" s="26">
        <v>1190</v>
      </c>
      <c r="M285" s="26">
        <v>1187</v>
      </c>
      <c r="N285" s="26"/>
      <c r="O285" s="26"/>
      <c r="P285" s="32"/>
      <c r="Q285" s="32"/>
      <c r="R285" s="26">
        <v>1190</v>
      </c>
      <c r="S285" s="26">
        <v>1187</v>
      </c>
      <c r="T285" s="26">
        <v>1190</v>
      </c>
      <c r="U285" s="26">
        <v>1187</v>
      </c>
      <c r="V285" s="26">
        <v>1190</v>
      </c>
      <c r="W285" s="26">
        <v>1187</v>
      </c>
      <c r="X285" s="32">
        <v>1190</v>
      </c>
      <c r="Y285" s="32">
        <v>1187</v>
      </c>
    </row>
    <row r="286" spans="1:27" x14ac:dyDescent="0.65">
      <c r="A286" s="108">
        <v>30</v>
      </c>
      <c r="B286" s="26">
        <v>1177</v>
      </c>
      <c r="C286" s="26">
        <v>1179</v>
      </c>
      <c r="D286" s="26"/>
      <c r="E286" s="26"/>
      <c r="F286" s="26">
        <v>1190</v>
      </c>
      <c r="G286" s="26">
        <v>1187</v>
      </c>
      <c r="H286" s="26"/>
      <c r="I286" s="26"/>
      <c r="J286" s="26"/>
      <c r="K286" s="26"/>
      <c r="L286" s="26">
        <v>1190</v>
      </c>
      <c r="M286" s="26">
        <v>1187</v>
      </c>
      <c r="N286" s="26"/>
      <c r="O286" s="26"/>
      <c r="P286" s="26">
        <v>1190</v>
      </c>
      <c r="Q286" s="26">
        <v>1187</v>
      </c>
      <c r="R286" s="26">
        <v>1190</v>
      </c>
      <c r="S286" s="26">
        <v>1187</v>
      </c>
      <c r="T286" s="26">
        <v>1190</v>
      </c>
      <c r="U286" s="26">
        <v>1187</v>
      </c>
      <c r="V286" s="26">
        <v>1190</v>
      </c>
      <c r="W286" s="26">
        <v>1187</v>
      </c>
      <c r="X286" s="32">
        <v>1190</v>
      </c>
      <c r="Y286" s="32">
        <v>1187</v>
      </c>
    </row>
    <row r="287" spans="1:27" ht="25.5" thickBot="1" x14ac:dyDescent="0.7">
      <c r="A287" s="109">
        <v>31</v>
      </c>
      <c r="B287" s="32"/>
      <c r="C287" s="32"/>
      <c r="D287" s="56"/>
      <c r="E287" s="56"/>
      <c r="F287" s="32">
        <v>1190</v>
      </c>
      <c r="G287" s="32">
        <v>1187</v>
      </c>
      <c r="H287" s="54"/>
      <c r="I287" s="54"/>
      <c r="J287" s="30"/>
      <c r="K287" s="30"/>
      <c r="L287" s="52"/>
      <c r="M287" s="52"/>
      <c r="N287" s="32"/>
      <c r="O287" s="32"/>
      <c r="P287" s="32">
        <v>1190</v>
      </c>
      <c r="Q287" s="32">
        <v>1187</v>
      </c>
      <c r="R287" s="32"/>
      <c r="S287" s="26"/>
      <c r="T287" s="32"/>
      <c r="U287" s="32"/>
      <c r="V287" s="30"/>
      <c r="W287" s="30"/>
      <c r="X287" s="32">
        <v>1190</v>
      </c>
      <c r="Y287" s="32">
        <v>1187</v>
      </c>
    </row>
    <row r="288" spans="1:27" ht="25.5" thickBot="1" x14ac:dyDescent="0.7">
      <c r="A288" s="17" t="s">
        <v>15</v>
      </c>
      <c r="B288" s="197">
        <f>AVERAGE(B257:B287)</f>
        <v>1177</v>
      </c>
      <c r="C288" s="197">
        <f t="shared" ref="C288:E288" si="8">AVERAGE(C257:C287)</f>
        <v>1179</v>
      </c>
      <c r="D288" s="197">
        <f t="shared" si="8"/>
        <v>1182.9583333333333</v>
      </c>
      <c r="E288" s="197">
        <f t="shared" si="8"/>
        <v>1182.6666666666667</v>
      </c>
      <c r="F288" s="197">
        <f t="shared" ref="F288" si="9">AVERAGE(F257:F287)</f>
        <v>1190</v>
      </c>
      <c r="G288" s="197">
        <f t="shared" ref="G288" si="10">AVERAGE(G257:G287)</f>
        <v>1187</v>
      </c>
      <c r="H288" s="197">
        <f t="shared" ref="H288" si="11">AVERAGE(H257:H287)</f>
        <v>1190</v>
      </c>
      <c r="I288" s="197">
        <f t="shared" ref="I288" si="12">AVERAGE(I257:I287)</f>
        <v>1187</v>
      </c>
      <c r="J288" s="197">
        <f t="shared" ref="J288" si="13">AVERAGE(J257:J287)</f>
        <v>1190</v>
      </c>
      <c r="K288" s="197">
        <f t="shared" ref="K288" si="14">AVERAGE(K257:K287)</f>
        <v>1187</v>
      </c>
      <c r="L288" s="197">
        <f t="shared" ref="L288" si="15">AVERAGE(L257:L287)</f>
        <v>1190</v>
      </c>
      <c r="M288" s="197">
        <f t="shared" ref="M288" si="16">AVERAGE(M257:M287)</f>
        <v>1187</v>
      </c>
      <c r="N288" s="197">
        <f t="shared" ref="N288" si="17">AVERAGE(N257:N287)</f>
        <v>1190</v>
      </c>
      <c r="O288" s="197">
        <f t="shared" ref="O288" si="18">AVERAGE(O257:O287)</f>
        <v>1187</v>
      </c>
      <c r="P288" s="197">
        <f t="shared" ref="P288" si="19">AVERAGE(P257:P287)</f>
        <v>1190</v>
      </c>
      <c r="Q288" s="197">
        <f t="shared" ref="Q288" si="20">AVERAGE(Q257:Q287)</f>
        <v>1187</v>
      </c>
      <c r="R288" s="197">
        <f t="shared" ref="R288" si="21">AVERAGE(R257:R287)</f>
        <v>1190</v>
      </c>
      <c r="S288" s="197">
        <f t="shared" ref="S288" si="22">AVERAGE(S257:S287)</f>
        <v>1187</v>
      </c>
      <c r="T288" s="197">
        <f t="shared" ref="T288" si="23">AVERAGE(T257:T287)</f>
        <v>1190</v>
      </c>
      <c r="U288" s="197">
        <f t="shared" ref="U288" si="24">AVERAGE(U257:U287)</f>
        <v>1187</v>
      </c>
      <c r="V288" s="197">
        <f t="shared" ref="V288" si="25">AVERAGE(V257:V287)</f>
        <v>1190</v>
      </c>
      <c r="W288" s="197">
        <f t="shared" ref="W288" si="26">AVERAGE(W257:W287)</f>
        <v>1187</v>
      </c>
      <c r="X288" s="197">
        <f t="shared" ref="X288" si="27">AVERAGE(X257:X287)</f>
        <v>1190</v>
      </c>
      <c r="Y288" s="197">
        <f t="shared" ref="Y288" si="28">AVERAGE(Y257:Y287)</f>
        <v>1187</v>
      </c>
      <c r="Z288" s="57"/>
      <c r="AA288" s="57"/>
    </row>
    <row r="289" spans="1:25" ht="42" customHeight="1" x14ac:dyDescent="0.65">
      <c r="A289" s="224" t="s">
        <v>31</v>
      </c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 spans="1:25" ht="24.75" customHeight="1" thickBot="1" x14ac:dyDescent="0.7">
      <c r="A290" s="225" t="s">
        <v>71</v>
      </c>
      <c r="B290" s="225"/>
      <c r="C290" s="225"/>
      <c r="D290" s="225"/>
      <c r="E290" s="225"/>
      <c r="F290" s="22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</row>
    <row r="291" spans="1:25" ht="25.5" thickBot="1" x14ac:dyDescent="0.7">
      <c r="A291" s="226" t="s">
        <v>2</v>
      </c>
      <c r="B291" s="228" t="s">
        <v>3</v>
      </c>
      <c r="C291" s="229"/>
      <c r="D291" s="228" t="s">
        <v>4</v>
      </c>
      <c r="E291" s="229"/>
      <c r="F291" s="228" t="s">
        <v>5</v>
      </c>
      <c r="G291" s="229"/>
      <c r="H291" s="228" t="s">
        <v>6</v>
      </c>
      <c r="I291" s="229"/>
      <c r="J291" s="228" t="s">
        <v>7</v>
      </c>
      <c r="K291" s="229"/>
      <c r="L291" s="228" t="s">
        <v>8</v>
      </c>
      <c r="M291" s="229"/>
      <c r="N291" s="228" t="s">
        <v>9</v>
      </c>
      <c r="O291" s="229"/>
      <c r="P291" s="228" t="s">
        <v>10</v>
      </c>
      <c r="Q291" s="229"/>
      <c r="R291" s="228" t="s">
        <v>11</v>
      </c>
      <c r="S291" s="229"/>
      <c r="T291" s="228" t="s">
        <v>12</v>
      </c>
      <c r="U291" s="229"/>
      <c r="V291" s="228" t="s">
        <v>21</v>
      </c>
      <c r="W291" s="229"/>
      <c r="X291" s="228" t="s">
        <v>14</v>
      </c>
      <c r="Y291" s="229"/>
    </row>
    <row r="292" spans="1:25" ht="25.5" thickBot="1" x14ac:dyDescent="0.7">
      <c r="A292" s="227"/>
      <c r="B292" s="17" t="s">
        <v>74</v>
      </c>
      <c r="C292" s="17" t="s">
        <v>75</v>
      </c>
      <c r="D292" s="17" t="s">
        <v>74</v>
      </c>
      <c r="E292" s="17" t="s">
        <v>75</v>
      </c>
      <c r="F292" s="17" t="s">
        <v>74</v>
      </c>
      <c r="G292" s="17" t="s">
        <v>75</v>
      </c>
      <c r="H292" s="17" t="s">
        <v>74</v>
      </c>
      <c r="I292" s="17" t="s">
        <v>75</v>
      </c>
      <c r="J292" s="17" t="s">
        <v>74</v>
      </c>
      <c r="K292" s="17" t="s">
        <v>75</v>
      </c>
      <c r="L292" s="17" t="s">
        <v>74</v>
      </c>
      <c r="M292" s="17" t="s">
        <v>75</v>
      </c>
      <c r="N292" s="17" t="s">
        <v>74</v>
      </c>
      <c r="O292" s="17" t="s">
        <v>75</v>
      </c>
      <c r="P292" s="17" t="s">
        <v>74</v>
      </c>
      <c r="Q292" s="17" t="s">
        <v>75</v>
      </c>
      <c r="R292" s="17" t="s">
        <v>74</v>
      </c>
      <c r="S292" s="17" t="s">
        <v>75</v>
      </c>
      <c r="T292" s="17" t="s">
        <v>74</v>
      </c>
      <c r="U292" s="17" t="s">
        <v>75</v>
      </c>
      <c r="V292" s="17" t="s">
        <v>74</v>
      </c>
      <c r="W292" s="17" t="s">
        <v>75</v>
      </c>
      <c r="X292" s="17" t="s">
        <v>74</v>
      </c>
      <c r="Y292" s="17" t="s">
        <v>75</v>
      </c>
    </row>
    <row r="293" spans="1:25" x14ac:dyDescent="0.65">
      <c r="A293" s="39">
        <v>1</v>
      </c>
      <c r="B293" s="32"/>
      <c r="C293" s="62"/>
      <c r="D293" s="32">
        <v>1190</v>
      </c>
      <c r="E293" s="30">
        <v>1187</v>
      </c>
      <c r="F293" s="32">
        <v>1190</v>
      </c>
      <c r="G293" s="30">
        <v>1187</v>
      </c>
      <c r="H293" s="32">
        <v>1190</v>
      </c>
      <c r="I293" s="32">
        <v>1187</v>
      </c>
      <c r="J293" s="30"/>
      <c r="K293" s="30"/>
      <c r="L293" s="32">
        <v>1190</v>
      </c>
      <c r="M293" s="32">
        <v>1187</v>
      </c>
      <c r="N293" s="32">
        <v>1190</v>
      </c>
      <c r="O293" s="32">
        <v>1187</v>
      </c>
      <c r="P293" s="32"/>
      <c r="Q293" s="32"/>
      <c r="R293" s="26">
        <v>1190</v>
      </c>
      <c r="S293" s="32">
        <v>1187</v>
      </c>
      <c r="T293" s="32">
        <v>1190</v>
      </c>
      <c r="U293" s="32">
        <v>1187</v>
      </c>
      <c r="V293" s="30">
        <v>1190</v>
      </c>
      <c r="W293" s="30">
        <v>1187</v>
      </c>
      <c r="X293" s="32">
        <v>1190</v>
      </c>
      <c r="Y293" s="32">
        <v>1187</v>
      </c>
    </row>
    <row r="294" spans="1:25" x14ac:dyDescent="0.65">
      <c r="A294" s="108">
        <v>2</v>
      </c>
      <c r="B294" s="26"/>
      <c r="C294" s="26"/>
      <c r="D294" s="26">
        <v>1190</v>
      </c>
      <c r="E294" s="26">
        <v>1187</v>
      </c>
      <c r="F294" s="26">
        <v>1190</v>
      </c>
      <c r="G294" s="26">
        <v>1187</v>
      </c>
      <c r="H294" s="26">
        <v>1190</v>
      </c>
      <c r="I294" s="26">
        <v>1187</v>
      </c>
      <c r="J294" s="26"/>
      <c r="K294" s="26"/>
      <c r="L294" s="26">
        <v>1190</v>
      </c>
      <c r="M294" s="26">
        <v>1187</v>
      </c>
      <c r="N294" s="26">
        <v>1190</v>
      </c>
      <c r="O294" s="26">
        <v>1187</v>
      </c>
      <c r="P294" s="26"/>
      <c r="Q294" s="26"/>
      <c r="R294" s="26">
        <v>1190</v>
      </c>
      <c r="S294" s="26">
        <v>1187</v>
      </c>
      <c r="T294" s="26"/>
      <c r="U294" s="26"/>
      <c r="V294" s="26">
        <v>1190</v>
      </c>
      <c r="W294" s="26">
        <v>1187</v>
      </c>
      <c r="X294" s="32">
        <v>1190</v>
      </c>
      <c r="Y294" s="32">
        <v>1187</v>
      </c>
    </row>
    <row r="295" spans="1:25" x14ac:dyDescent="0.65">
      <c r="A295" s="108">
        <v>3</v>
      </c>
      <c r="B295" s="26"/>
      <c r="C295" s="26"/>
      <c r="D295" s="26">
        <v>1190</v>
      </c>
      <c r="E295" s="26">
        <v>1187</v>
      </c>
      <c r="F295" s="26">
        <v>1190</v>
      </c>
      <c r="G295" s="26">
        <v>1187</v>
      </c>
      <c r="H295" s="26"/>
      <c r="I295" s="26"/>
      <c r="J295" s="26">
        <v>1190</v>
      </c>
      <c r="K295" s="26">
        <v>1187</v>
      </c>
      <c r="L295" s="26">
        <v>1190</v>
      </c>
      <c r="M295" s="26">
        <v>1187</v>
      </c>
      <c r="N295" s="26"/>
      <c r="O295" s="26"/>
      <c r="P295" s="32">
        <v>1190</v>
      </c>
      <c r="Q295" s="32">
        <v>1187</v>
      </c>
      <c r="R295" s="26">
        <v>1190</v>
      </c>
      <c r="S295" s="26">
        <v>1187</v>
      </c>
      <c r="T295" s="26"/>
      <c r="U295" s="26"/>
      <c r="V295" s="26">
        <v>1190</v>
      </c>
      <c r="W295" s="26">
        <v>1187</v>
      </c>
      <c r="X295" s="32">
        <v>1190</v>
      </c>
      <c r="Y295" s="32">
        <v>1187</v>
      </c>
    </row>
    <row r="296" spans="1:25" x14ac:dyDescent="0.65">
      <c r="A296" s="108">
        <v>4</v>
      </c>
      <c r="B296" s="26">
        <v>1190</v>
      </c>
      <c r="C296" s="26">
        <v>1187</v>
      </c>
      <c r="D296" s="26">
        <v>1190</v>
      </c>
      <c r="E296" s="26">
        <v>1187</v>
      </c>
      <c r="F296" s="26">
        <v>1190</v>
      </c>
      <c r="G296" s="26">
        <v>1187</v>
      </c>
      <c r="H296" s="26"/>
      <c r="I296" s="26"/>
      <c r="J296" s="26">
        <v>1190</v>
      </c>
      <c r="K296" s="26">
        <v>1187</v>
      </c>
      <c r="L296" s="26">
        <v>1190</v>
      </c>
      <c r="M296" s="26">
        <v>1187</v>
      </c>
      <c r="N296" s="26"/>
      <c r="O296" s="26"/>
      <c r="P296" s="32">
        <v>1190</v>
      </c>
      <c r="Q296" s="32">
        <v>1187</v>
      </c>
      <c r="R296" s="26"/>
      <c r="S296" s="26"/>
      <c r="T296" s="26">
        <v>1190</v>
      </c>
      <c r="U296" s="26">
        <v>1187</v>
      </c>
      <c r="V296" s="26">
        <v>1190</v>
      </c>
      <c r="W296" s="26">
        <v>1187</v>
      </c>
      <c r="X296" s="32"/>
      <c r="Y296" s="32"/>
    </row>
    <row r="297" spans="1:25" x14ac:dyDescent="0.65">
      <c r="A297" s="108">
        <v>5</v>
      </c>
      <c r="B297" s="26">
        <v>1190</v>
      </c>
      <c r="C297" s="26">
        <v>1187</v>
      </c>
      <c r="D297" s="26">
        <v>1190</v>
      </c>
      <c r="E297" s="26">
        <v>1187</v>
      </c>
      <c r="F297" s="26">
        <v>1190</v>
      </c>
      <c r="G297" s="26">
        <v>1187</v>
      </c>
      <c r="H297" s="26">
        <v>1190</v>
      </c>
      <c r="I297" s="26">
        <v>1187</v>
      </c>
      <c r="J297" s="26">
        <v>1190</v>
      </c>
      <c r="K297" s="26">
        <v>1187</v>
      </c>
      <c r="L297" s="26"/>
      <c r="M297" s="26"/>
      <c r="N297" s="26">
        <v>1190</v>
      </c>
      <c r="O297" s="26">
        <v>1187</v>
      </c>
      <c r="P297" s="32">
        <v>1190</v>
      </c>
      <c r="Q297" s="32">
        <v>1187</v>
      </c>
      <c r="R297" s="26"/>
      <c r="S297" s="26"/>
      <c r="T297" s="26">
        <v>1190</v>
      </c>
      <c r="U297" s="26">
        <v>1187</v>
      </c>
      <c r="V297" s="26">
        <v>1190</v>
      </c>
      <c r="W297" s="26">
        <v>1187</v>
      </c>
      <c r="X297" s="32"/>
      <c r="Y297" s="32"/>
    </row>
    <row r="298" spans="1:25" x14ac:dyDescent="0.65">
      <c r="A298" s="108">
        <v>6</v>
      </c>
      <c r="B298" s="26">
        <v>1190</v>
      </c>
      <c r="C298" s="26">
        <v>1187</v>
      </c>
      <c r="D298" s="26"/>
      <c r="E298" s="26"/>
      <c r="F298" s="26"/>
      <c r="G298" s="26"/>
      <c r="H298" s="26">
        <v>1190</v>
      </c>
      <c r="I298" s="26">
        <v>1187</v>
      </c>
      <c r="J298" s="26">
        <v>1190</v>
      </c>
      <c r="K298" s="26">
        <v>1187</v>
      </c>
      <c r="L298" s="26"/>
      <c r="M298" s="26"/>
      <c r="N298" s="26">
        <v>1190</v>
      </c>
      <c r="O298" s="26">
        <v>1187</v>
      </c>
      <c r="P298" s="32">
        <v>1190</v>
      </c>
      <c r="Q298" s="32">
        <v>1187</v>
      </c>
      <c r="R298" s="26">
        <v>1190</v>
      </c>
      <c r="S298" s="26">
        <v>1187</v>
      </c>
      <c r="T298" s="26">
        <v>1190</v>
      </c>
      <c r="U298" s="26">
        <v>1187</v>
      </c>
      <c r="V298" s="26"/>
      <c r="W298" s="26"/>
      <c r="X298" s="26">
        <v>1190</v>
      </c>
      <c r="Y298" s="26">
        <v>1187</v>
      </c>
    </row>
    <row r="299" spans="1:25" x14ac:dyDescent="0.65">
      <c r="A299" s="108">
        <v>7</v>
      </c>
      <c r="B299" s="26">
        <v>1190</v>
      </c>
      <c r="C299" s="26">
        <v>1187</v>
      </c>
      <c r="D299" s="26"/>
      <c r="E299" s="26"/>
      <c r="F299" s="26"/>
      <c r="G299" s="26"/>
      <c r="H299" s="26">
        <v>1190</v>
      </c>
      <c r="I299" s="26">
        <v>1187</v>
      </c>
      <c r="J299" s="26">
        <v>1190</v>
      </c>
      <c r="K299" s="26">
        <v>1187</v>
      </c>
      <c r="L299" s="26">
        <v>1190</v>
      </c>
      <c r="M299" s="26">
        <v>1187</v>
      </c>
      <c r="N299" s="26">
        <v>1190</v>
      </c>
      <c r="O299" s="26">
        <v>1187</v>
      </c>
      <c r="P299" s="32"/>
      <c r="Q299" s="32"/>
      <c r="R299" s="26">
        <v>1190</v>
      </c>
      <c r="S299" s="26">
        <v>1187</v>
      </c>
      <c r="T299" s="26">
        <v>1190</v>
      </c>
      <c r="U299" s="26">
        <v>1187</v>
      </c>
      <c r="V299" s="26"/>
      <c r="W299" s="26"/>
      <c r="X299" s="32">
        <v>1190</v>
      </c>
      <c r="Y299" s="32">
        <v>1187</v>
      </c>
    </row>
    <row r="300" spans="1:25" x14ac:dyDescent="0.65">
      <c r="A300" s="108">
        <v>8</v>
      </c>
      <c r="B300" s="26">
        <v>1190</v>
      </c>
      <c r="C300" s="26">
        <v>1187</v>
      </c>
      <c r="D300" s="26">
        <v>1190</v>
      </c>
      <c r="E300" s="26">
        <v>1187</v>
      </c>
      <c r="F300" s="26">
        <v>1190</v>
      </c>
      <c r="G300" s="26">
        <v>1187</v>
      </c>
      <c r="H300" s="26">
        <v>1190</v>
      </c>
      <c r="I300" s="26">
        <v>1187</v>
      </c>
      <c r="J300" s="26"/>
      <c r="K300" s="26"/>
      <c r="L300" s="26">
        <v>1190</v>
      </c>
      <c r="M300" s="26">
        <v>1187</v>
      </c>
      <c r="N300" s="26">
        <v>1190</v>
      </c>
      <c r="O300" s="26">
        <v>1187</v>
      </c>
      <c r="P300" s="32"/>
      <c r="Q300" s="32"/>
      <c r="R300" s="26">
        <v>1190</v>
      </c>
      <c r="S300" s="26">
        <v>1187</v>
      </c>
      <c r="T300" s="26">
        <v>1190</v>
      </c>
      <c r="U300" s="26">
        <v>1187</v>
      </c>
      <c r="V300" s="26">
        <v>1190</v>
      </c>
      <c r="W300" s="26">
        <v>1187</v>
      </c>
      <c r="X300" s="32">
        <v>1190</v>
      </c>
      <c r="Y300" s="32">
        <v>1187</v>
      </c>
    </row>
    <row r="301" spans="1:25" x14ac:dyDescent="0.65">
      <c r="A301" s="108">
        <v>9</v>
      </c>
      <c r="B301" s="26"/>
      <c r="C301" s="26"/>
      <c r="D301" s="26">
        <v>1190</v>
      </c>
      <c r="E301" s="26">
        <v>1187</v>
      </c>
      <c r="F301" s="26">
        <v>1190</v>
      </c>
      <c r="G301" s="26">
        <v>1187</v>
      </c>
      <c r="H301" s="26">
        <v>1190</v>
      </c>
      <c r="I301" s="26">
        <v>1187</v>
      </c>
      <c r="J301" s="26"/>
      <c r="K301" s="26"/>
      <c r="L301" s="26">
        <v>1190</v>
      </c>
      <c r="M301" s="26">
        <v>1187</v>
      </c>
      <c r="N301" s="26">
        <v>1190</v>
      </c>
      <c r="O301" s="26">
        <v>1187</v>
      </c>
      <c r="P301" s="26">
        <v>1190</v>
      </c>
      <c r="Q301" s="26">
        <v>1187</v>
      </c>
      <c r="R301" s="26">
        <v>1190</v>
      </c>
      <c r="S301" s="26">
        <v>1187</v>
      </c>
      <c r="T301" s="26"/>
      <c r="U301" s="26"/>
      <c r="V301" s="26">
        <v>1190</v>
      </c>
      <c r="W301" s="26">
        <v>1187</v>
      </c>
      <c r="X301" s="32">
        <v>1190</v>
      </c>
      <c r="Y301" s="32">
        <v>1187</v>
      </c>
    </row>
    <row r="302" spans="1:25" x14ac:dyDescent="0.65">
      <c r="A302" s="108">
        <v>10</v>
      </c>
      <c r="B302" s="26"/>
      <c r="C302" s="26"/>
      <c r="D302" s="26">
        <v>1190</v>
      </c>
      <c r="E302" s="26">
        <v>1187</v>
      </c>
      <c r="F302" s="26">
        <v>1190</v>
      </c>
      <c r="G302" s="26">
        <v>1187</v>
      </c>
      <c r="H302" s="26"/>
      <c r="I302" s="26"/>
      <c r="J302" s="26">
        <v>1190</v>
      </c>
      <c r="K302" s="26">
        <v>1187</v>
      </c>
      <c r="L302" s="26">
        <v>1190</v>
      </c>
      <c r="M302" s="26">
        <v>1187</v>
      </c>
      <c r="N302" s="26"/>
      <c r="O302" s="26"/>
      <c r="P302" s="32">
        <v>1190</v>
      </c>
      <c r="Q302" s="32">
        <v>1187</v>
      </c>
      <c r="R302" s="26">
        <v>1190</v>
      </c>
      <c r="S302" s="26">
        <v>1187</v>
      </c>
      <c r="T302" s="26"/>
      <c r="U302" s="26"/>
      <c r="V302" s="26">
        <v>1190</v>
      </c>
      <c r="W302" s="26">
        <v>1187</v>
      </c>
      <c r="X302" s="32">
        <v>1190</v>
      </c>
      <c r="Y302" s="32">
        <v>1187</v>
      </c>
    </row>
    <row r="303" spans="1:25" x14ac:dyDescent="0.65">
      <c r="A303" s="108">
        <v>11</v>
      </c>
      <c r="B303" s="26">
        <v>1190</v>
      </c>
      <c r="C303" s="26">
        <v>1187</v>
      </c>
      <c r="D303" s="26">
        <v>1190</v>
      </c>
      <c r="E303" s="26">
        <v>1187</v>
      </c>
      <c r="F303" s="26">
        <v>1190</v>
      </c>
      <c r="G303" s="26">
        <v>1187</v>
      </c>
      <c r="H303" s="26"/>
      <c r="I303" s="26"/>
      <c r="J303" s="26">
        <v>1190</v>
      </c>
      <c r="K303" s="26">
        <v>1187</v>
      </c>
      <c r="L303" s="26">
        <v>1190</v>
      </c>
      <c r="M303" s="26">
        <v>1187</v>
      </c>
      <c r="N303" s="26"/>
      <c r="O303" s="26"/>
      <c r="P303" s="32">
        <v>1190</v>
      </c>
      <c r="Q303" s="32">
        <v>1187</v>
      </c>
      <c r="R303" s="26"/>
      <c r="S303" s="26"/>
      <c r="T303" s="26">
        <v>1190</v>
      </c>
      <c r="U303" s="26">
        <v>1187</v>
      </c>
      <c r="V303" s="26">
        <v>1190</v>
      </c>
      <c r="W303" s="26">
        <v>1187</v>
      </c>
      <c r="X303" s="32"/>
      <c r="Y303" s="32"/>
    </row>
    <row r="304" spans="1:25" x14ac:dyDescent="0.65">
      <c r="A304" s="108">
        <v>12</v>
      </c>
      <c r="B304" s="26">
        <v>1190</v>
      </c>
      <c r="C304" s="26">
        <v>1187</v>
      </c>
      <c r="D304" s="26">
        <v>1190</v>
      </c>
      <c r="E304" s="26">
        <v>1187</v>
      </c>
      <c r="F304" s="26">
        <v>1190</v>
      </c>
      <c r="G304" s="26">
        <v>1187</v>
      </c>
      <c r="H304" s="26">
        <v>1190</v>
      </c>
      <c r="I304" s="26">
        <v>1187</v>
      </c>
      <c r="J304" s="26">
        <v>1190</v>
      </c>
      <c r="K304" s="26">
        <v>1187</v>
      </c>
      <c r="L304" s="26"/>
      <c r="M304" s="26"/>
      <c r="N304" s="26">
        <v>1190</v>
      </c>
      <c r="O304" s="26">
        <v>1187</v>
      </c>
      <c r="P304" s="32">
        <v>1190</v>
      </c>
      <c r="Q304" s="32">
        <v>1187</v>
      </c>
      <c r="R304" s="26"/>
      <c r="S304" s="26"/>
      <c r="T304" s="26">
        <v>1190</v>
      </c>
      <c r="U304" s="26">
        <v>1187</v>
      </c>
      <c r="V304" s="26">
        <v>1190</v>
      </c>
      <c r="W304" s="26">
        <v>1187</v>
      </c>
      <c r="X304" s="32"/>
      <c r="Y304" s="32"/>
    </row>
    <row r="305" spans="1:25" x14ac:dyDescent="0.65">
      <c r="A305" s="108">
        <v>13</v>
      </c>
      <c r="B305" s="26">
        <v>1190</v>
      </c>
      <c r="C305" s="26">
        <v>1187</v>
      </c>
      <c r="D305" s="26"/>
      <c r="E305" s="26"/>
      <c r="F305" s="26"/>
      <c r="G305" s="26"/>
      <c r="H305" s="26">
        <v>1190</v>
      </c>
      <c r="I305" s="26">
        <v>1187</v>
      </c>
      <c r="J305" s="26">
        <v>1190</v>
      </c>
      <c r="K305" s="26">
        <v>1187</v>
      </c>
      <c r="L305" s="26"/>
      <c r="M305" s="26"/>
      <c r="N305" s="26">
        <v>1190</v>
      </c>
      <c r="O305" s="26">
        <v>1187</v>
      </c>
      <c r="P305" s="32">
        <v>1190</v>
      </c>
      <c r="Q305" s="32">
        <v>1187</v>
      </c>
      <c r="R305" s="26">
        <v>1190</v>
      </c>
      <c r="S305" s="26">
        <v>1187</v>
      </c>
      <c r="T305" s="26">
        <v>1190</v>
      </c>
      <c r="U305" s="26">
        <v>1187</v>
      </c>
      <c r="V305" s="26"/>
      <c r="W305" s="26"/>
      <c r="X305" s="26">
        <v>1190</v>
      </c>
      <c r="Y305" s="26">
        <v>1187</v>
      </c>
    </row>
    <row r="306" spans="1:25" x14ac:dyDescent="0.65">
      <c r="A306" s="108">
        <v>14</v>
      </c>
      <c r="B306" s="26">
        <v>1190</v>
      </c>
      <c r="C306" s="26">
        <v>1187</v>
      </c>
      <c r="D306" s="26"/>
      <c r="E306" s="26"/>
      <c r="F306" s="26"/>
      <c r="G306" s="26"/>
      <c r="H306" s="26">
        <v>1190</v>
      </c>
      <c r="I306" s="26">
        <v>1187</v>
      </c>
      <c r="J306" s="26">
        <v>1190</v>
      </c>
      <c r="K306" s="26">
        <v>1187</v>
      </c>
      <c r="L306" s="26">
        <v>1190</v>
      </c>
      <c r="M306" s="26">
        <v>1187</v>
      </c>
      <c r="N306" s="26">
        <v>1190</v>
      </c>
      <c r="O306" s="26">
        <v>1187</v>
      </c>
      <c r="P306" s="32"/>
      <c r="Q306" s="32"/>
      <c r="R306" s="26">
        <v>1190</v>
      </c>
      <c r="S306" s="26">
        <v>1187</v>
      </c>
      <c r="T306" s="26">
        <v>1190</v>
      </c>
      <c r="U306" s="26">
        <v>1187</v>
      </c>
      <c r="V306" s="26"/>
      <c r="W306" s="26"/>
      <c r="X306" s="32">
        <v>1190</v>
      </c>
      <c r="Y306" s="32">
        <v>1187</v>
      </c>
    </row>
    <row r="307" spans="1:25" x14ac:dyDescent="0.65">
      <c r="A307" s="108">
        <v>15</v>
      </c>
      <c r="B307" s="26">
        <v>1190</v>
      </c>
      <c r="C307" s="26">
        <v>1187</v>
      </c>
      <c r="D307" s="26">
        <v>1190</v>
      </c>
      <c r="E307" s="26">
        <v>1187</v>
      </c>
      <c r="F307" s="26">
        <v>1190</v>
      </c>
      <c r="G307" s="26">
        <v>1187</v>
      </c>
      <c r="H307" s="26">
        <v>1190</v>
      </c>
      <c r="I307" s="26">
        <v>1187</v>
      </c>
      <c r="J307" s="26"/>
      <c r="K307" s="26"/>
      <c r="L307" s="26">
        <v>1190</v>
      </c>
      <c r="M307" s="26">
        <v>1187</v>
      </c>
      <c r="N307" s="26">
        <v>1190</v>
      </c>
      <c r="O307" s="26">
        <v>1187</v>
      </c>
      <c r="P307" s="32"/>
      <c r="Q307" s="32"/>
      <c r="R307" s="26">
        <v>1190</v>
      </c>
      <c r="S307" s="26">
        <v>1187</v>
      </c>
      <c r="T307" s="26">
        <v>1190</v>
      </c>
      <c r="U307" s="26">
        <v>1187</v>
      </c>
      <c r="V307" s="26">
        <v>1190</v>
      </c>
      <c r="W307" s="26">
        <v>1187</v>
      </c>
      <c r="X307" s="32">
        <v>1190</v>
      </c>
      <c r="Y307" s="32">
        <v>1187</v>
      </c>
    </row>
    <row r="308" spans="1:25" x14ac:dyDescent="0.65">
      <c r="A308" s="108">
        <v>16</v>
      </c>
      <c r="B308" s="26"/>
      <c r="C308" s="26"/>
      <c r="D308" s="26">
        <v>1190</v>
      </c>
      <c r="E308" s="26">
        <v>1187</v>
      </c>
      <c r="F308" s="26">
        <v>1190</v>
      </c>
      <c r="G308" s="26">
        <v>1187</v>
      </c>
      <c r="H308" s="26">
        <v>1190</v>
      </c>
      <c r="I308" s="26">
        <v>1187</v>
      </c>
      <c r="J308" s="26"/>
      <c r="K308" s="26"/>
      <c r="L308" s="26">
        <v>1190</v>
      </c>
      <c r="M308" s="26">
        <v>1187</v>
      </c>
      <c r="N308" s="26"/>
      <c r="O308" s="26"/>
      <c r="P308" s="26">
        <v>1190</v>
      </c>
      <c r="Q308" s="26">
        <v>1187</v>
      </c>
      <c r="R308" s="26">
        <v>1190</v>
      </c>
      <c r="S308" s="26">
        <v>1187</v>
      </c>
      <c r="T308" s="26"/>
      <c r="U308" s="26"/>
      <c r="V308" s="26">
        <v>1190</v>
      </c>
      <c r="W308" s="26">
        <v>1187</v>
      </c>
      <c r="X308" s="32">
        <v>1190</v>
      </c>
      <c r="Y308" s="32">
        <v>1187</v>
      </c>
    </row>
    <row r="309" spans="1:25" x14ac:dyDescent="0.65">
      <c r="A309" s="108">
        <v>17</v>
      </c>
      <c r="B309" s="26"/>
      <c r="C309" s="26"/>
      <c r="D309" s="26">
        <v>1190</v>
      </c>
      <c r="E309" s="26">
        <v>1187</v>
      </c>
      <c r="F309" s="26">
        <v>1190</v>
      </c>
      <c r="G309" s="26">
        <v>1187</v>
      </c>
      <c r="H309" s="26"/>
      <c r="I309" s="26"/>
      <c r="J309" s="26">
        <v>1190</v>
      </c>
      <c r="K309" s="26">
        <v>1187</v>
      </c>
      <c r="L309" s="26">
        <v>1190</v>
      </c>
      <c r="M309" s="26">
        <v>1187</v>
      </c>
      <c r="N309" s="26"/>
      <c r="O309" s="26"/>
      <c r="P309" s="32">
        <v>1190</v>
      </c>
      <c r="Q309" s="32">
        <v>1187</v>
      </c>
      <c r="R309" s="26">
        <v>1190</v>
      </c>
      <c r="S309" s="26">
        <v>1187</v>
      </c>
      <c r="T309" s="26"/>
      <c r="U309" s="26"/>
      <c r="V309" s="26">
        <v>1190</v>
      </c>
      <c r="W309" s="26">
        <v>1187</v>
      </c>
      <c r="X309" s="32">
        <v>1190</v>
      </c>
      <c r="Y309" s="32">
        <v>1187</v>
      </c>
    </row>
    <row r="310" spans="1:25" x14ac:dyDescent="0.65">
      <c r="A310" s="108">
        <v>18</v>
      </c>
      <c r="B310" s="26">
        <v>1190</v>
      </c>
      <c r="C310" s="26">
        <v>1187</v>
      </c>
      <c r="D310" s="26">
        <v>1190</v>
      </c>
      <c r="E310" s="26">
        <v>1187</v>
      </c>
      <c r="F310" s="26">
        <v>1190</v>
      </c>
      <c r="G310" s="26">
        <v>1187</v>
      </c>
      <c r="H310" s="26"/>
      <c r="I310" s="26"/>
      <c r="J310" s="26">
        <v>1190</v>
      </c>
      <c r="K310" s="26">
        <v>1187</v>
      </c>
      <c r="L310" s="26">
        <v>1190</v>
      </c>
      <c r="M310" s="26">
        <v>1187</v>
      </c>
      <c r="N310" s="26"/>
      <c r="O310" s="26"/>
      <c r="P310" s="32">
        <v>1190</v>
      </c>
      <c r="Q310" s="32">
        <v>1187</v>
      </c>
      <c r="R310" s="26"/>
      <c r="S310" s="26"/>
      <c r="T310" s="26">
        <v>1190</v>
      </c>
      <c r="U310" s="26">
        <v>1187</v>
      </c>
      <c r="V310" s="26">
        <v>1190</v>
      </c>
      <c r="W310" s="26">
        <v>1187</v>
      </c>
      <c r="X310" s="32"/>
      <c r="Y310" s="32"/>
    </row>
    <row r="311" spans="1:25" x14ac:dyDescent="0.65">
      <c r="A311" s="108">
        <v>19</v>
      </c>
      <c r="B311" s="26">
        <v>1190</v>
      </c>
      <c r="C311" s="26">
        <v>1187</v>
      </c>
      <c r="D311" s="26">
        <v>1190</v>
      </c>
      <c r="E311" s="26">
        <v>1187</v>
      </c>
      <c r="F311" s="26">
        <v>1190</v>
      </c>
      <c r="G311" s="26">
        <v>1187</v>
      </c>
      <c r="H311" s="26">
        <v>1190</v>
      </c>
      <c r="I311" s="26">
        <v>1187</v>
      </c>
      <c r="J311" s="26">
        <v>1190</v>
      </c>
      <c r="K311" s="26">
        <v>1187</v>
      </c>
      <c r="L311" s="26"/>
      <c r="M311" s="26"/>
      <c r="N311" s="26"/>
      <c r="O311" s="26"/>
      <c r="P311" s="32">
        <v>1190</v>
      </c>
      <c r="Q311" s="32">
        <v>1187</v>
      </c>
      <c r="R311" s="26"/>
      <c r="S311" s="26"/>
      <c r="T311" s="26">
        <v>1190</v>
      </c>
      <c r="U311" s="26">
        <v>1187</v>
      </c>
      <c r="V311" s="26">
        <v>1190</v>
      </c>
      <c r="W311" s="26">
        <v>1187</v>
      </c>
      <c r="X311" s="32"/>
      <c r="Y311" s="32"/>
    </row>
    <row r="312" spans="1:25" x14ac:dyDescent="0.65">
      <c r="A312" s="108">
        <v>20</v>
      </c>
      <c r="B312" s="26">
        <v>1190</v>
      </c>
      <c r="C312" s="26">
        <v>1187</v>
      </c>
      <c r="D312" s="26"/>
      <c r="E312" s="26"/>
      <c r="F312" s="26"/>
      <c r="G312" s="26"/>
      <c r="H312" s="26">
        <v>1190</v>
      </c>
      <c r="I312" s="26">
        <v>1187</v>
      </c>
      <c r="J312" s="26">
        <v>1190</v>
      </c>
      <c r="K312" s="26">
        <v>1187</v>
      </c>
      <c r="L312" s="26"/>
      <c r="M312" s="26"/>
      <c r="N312" s="26"/>
      <c r="O312" s="26"/>
      <c r="P312" s="32">
        <v>1190</v>
      </c>
      <c r="Q312" s="32">
        <v>1187</v>
      </c>
      <c r="R312" s="26">
        <v>1190</v>
      </c>
      <c r="S312" s="26">
        <v>1187</v>
      </c>
      <c r="T312" s="26">
        <v>1190</v>
      </c>
      <c r="U312" s="26">
        <v>1187</v>
      </c>
      <c r="V312" s="26"/>
      <c r="W312" s="26"/>
      <c r="X312" s="26">
        <v>1190</v>
      </c>
      <c r="Y312" s="26">
        <v>1187</v>
      </c>
    </row>
    <row r="313" spans="1:25" x14ac:dyDescent="0.65">
      <c r="A313" s="108">
        <v>21</v>
      </c>
      <c r="B313" s="26">
        <v>1190</v>
      </c>
      <c r="C313" s="26">
        <v>1187</v>
      </c>
      <c r="D313" s="26"/>
      <c r="E313" s="26"/>
      <c r="F313" s="26"/>
      <c r="G313" s="26"/>
      <c r="H313" s="26">
        <v>1190</v>
      </c>
      <c r="I313" s="26">
        <v>1187</v>
      </c>
      <c r="J313" s="26">
        <v>1190</v>
      </c>
      <c r="K313" s="26">
        <v>1187</v>
      </c>
      <c r="L313" s="26">
        <v>1190</v>
      </c>
      <c r="M313" s="26">
        <v>1187</v>
      </c>
      <c r="N313" s="26">
        <v>1190</v>
      </c>
      <c r="O313" s="26">
        <v>1187</v>
      </c>
      <c r="P313" s="32"/>
      <c r="Q313" s="32"/>
      <c r="R313" s="26">
        <v>1190</v>
      </c>
      <c r="S313" s="26">
        <v>1187</v>
      </c>
      <c r="T313" s="26">
        <v>1190</v>
      </c>
      <c r="U313" s="26">
        <v>1187</v>
      </c>
      <c r="V313" s="26"/>
      <c r="W313" s="26"/>
      <c r="X313" s="32">
        <v>1190</v>
      </c>
      <c r="Y313" s="32">
        <v>1187</v>
      </c>
    </row>
    <row r="314" spans="1:25" x14ac:dyDescent="0.65">
      <c r="A314" s="108">
        <v>22</v>
      </c>
      <c r="B314" s="26">
        <v>1190</v>
      </c>
      <c r="C314" s="26">
        <v>1187</v>
      </c>
      <c r="D314" s="26">
        <v>1190</v>
      </c>
      <c r="E314" s="26">
        <v>1187</v>
      </c>
      <c r="F314" s="26">
        <v>1190</v>
      </c>
      <c r="G314" s="26">
        <v>1187</v>
      </c>
      <c r="H314" s="26">
        <v>1190</v>
      </c>
      <c r="I314" s="26">
        <v>1187</v>
      </c>
      <c r="J314" s="26"/>
      <c r="K314" s="26"/>
      <c r="L314" s="26">
        <v>1190</v>
      </c>
      <c r="M314" s="26">
        <v>1187</v>
      </c>
      <c r="N314" s="26">
        <v>1190</v>
      </c>
      <c r="O314" s="26">
        <v>1187</v>
      </c>
      <c r="P314" s="32"/>
      <c r="Q314" s="32"/>
      <c r="R314" s="26">
        <v>1190</v>
      </c>
      <c r="S314" s="26">
        <v>1187</v>
      </c>
      <c r="T314" s="26">
        <v>1190</v>
      </c>
      <c r="U314" s="26">
        <v>1187</v>
      </c>
      <c r="V314" s="26">
        <v>1190</v>
      </c>
      <c r="W314" s="26">
        <v>1187</v>
      </c>
      <c r="X314" s="32">
        <v>1190</v>
      </c>
      <c r="Y314" s="32">
        <v>1187</v>
      </c>
    </row>
    <row r="315" spans="1:25" x14ac:dyDescent="0.65">
      <c r="A315" s="108">
        <v>23</v>
      </c>
      <c r="B315" s="26"/>
      <c r="C315" s="26"/>
      <c r="D315" s="26">
        <v>1190</v>
      </c>
      <c r="E315" s="26">
        <v>1187</v>
      </c>
      <c r="F315" s="26">
        <v>1190</v>
      </c>
      <c r="G315" s="26">
        <v>1187</v>
      </c>
      <c r="H315" s="26">
        <v>1190</v>
      </c>
      <c r="I315" s="26">
        <v>1187</v>
      </c>
      <c r="J315" s="26"/>
      <c r="K315" s="26"/>
      <c r="L315" s="26">
        <v>1190</v>
      </c>
      <c r="M315" s="26">
        <v>1187</v>
      </c>
      <c r="N315" s="26">
        <v>1190</v>
      </c>
      <c r="O315" s="26">
        <v>1187</v>
      </c>
      <c r="P315" s="26">
        <v>1190</v>
      </c>
      <c r="Q315" s="26">
        <v>1187</v>
      </c>
      <c r="R315" s="26">
        <v>1190</v>
      </c>
      <c r="S315" s="26">
        <v>1187</v>
      </c>
      <c r="T315" s="26"/>
      <c r="U315" s="26"/>
      <c r="V315" s="26">
        <v>1190</v>
      </c>
      <c r="W315" s="26">
        <v>1187</v>
      </c>
      <c r="X315" s="32">
        <v>1190</v>
      </c>
      <c r="Y315" s="32">
        <v>1187</v>
      </c>
    </row>
    <row r="316" spans="1:25" x14ac:dyDescent="0.65">
      <c r="A316" s="108">
        <v>24</v>
      </c>
      <c r="B316" s="26"/>
      <c r="C316" s="26"/>
      <c r="D316" s="26">
        <v>1190</v>
      </c>
      <c r="E316" s="26">
        <v>1187</v>
      </c>
      <c r="F316" s="26">
        <v>1190</v>
      </c>
      <c r="G316" s="26">
        <v>1187</v>
      </c>
      <c r="H316" s="26"/>
      <c r="I316" s="26"/>
      <c r="J316" s="26">
        <v>1190</v>
      </c>
      <c r="K316" s="26">
        <v>1187</v>
      </c>
      <c r="L316" s="26">
        <v>1190</v>
      </c>
      <c r="M316" s="26">
        <v>1187</v>
      </c>
      <c r="N316" s="26"/>
      <c r="O316" s="26"/>
      <c r="P316" s="32">
        <v>1190</v>
      </c>
      <c r="Q316" s="32">
        <v>1187</v>
      </c>
      <c r="R316" s="26"/>
      <c r="S316" s="26"/>
      <c r="T316" s="26"/>
      <c r="U316" s="26"/>
      <c r="V316" s="26">
        <v>1190</v>
      </c>
      <c r="W316" s="26">
        <v>1187</v>
      </c>
      <c r="X316" s="26">
        <v>1190</v>
      </c>
      <c r="Y316" s="26">
        <v>1187</v>
      </c>
    </row>
    <row r="317" spans="1:25" x14ac:dyDescent="0.65">
      <c r="A317" s="108">
        <v>25</v>
      </c>
      <c r="B317" s="26">
        <v>1190</v>
      </c>
      <c r="C317" s="26">
        <v>1187</v>
      </c>
      <c r="D317" s="26">
        <v>1190</v>
      </c>
      <c r="E317" s="26">
        <v>1187</v>
      </c>
      <c r="F317" s="26">
        <v>1190</v>
      </c>
      <c r="G317" s="26">
        <v>1187</v>
      </c>
      <c r="H317" s="26"/>
      <c r="I317" s="26"/>
      <c r="J317" s="26">
        <v>1190</v>
      </c>
      <c r="K317" s="26">
        <v>1187</v>
      </c>
      <c r="L317" s="26">
        <v>1190</v>
      </c>
      <c r="M317" s="26">
        <v>1187</v>
      </c>
      <c r="N317" s="26"/>
      <c r="O317" s="26"/>
      <c r="P317" s="32">
        <v>1190</v>
      </c>
      <c r="Q317" s="32">
        <v>1187</v>
      </c>
      <c r="R317" s="26"/>
      <c r="S317" s="26"/>
      <c r="T317" s="26">
        <v>1190</v>
      </c>
      <c r="U317" s="26">
        <v>1187</v>
      </c>
      <c r="V317" s="26">
        <v>1190</v>
      </c>
      <c r="W317" s="26">
        <v>1187</v>
      </c>
      <c r="X317" s="26"/>
      <c r="Y317" s="26"/>
    </row>
    <row r="318" spans="1:25" x14ac:dyDescent="0.65">
      <c r="A318" s="108">
        <v>26</v>
      </c>
      <c r="B318" s="26">
        <v>1190</v>
      </c>
      <c r="C318" s="26">
        <v>1187</v>
      </c>
      <c r="D318" s="26">
        <v>1190</v>
      </c>
      <c r="E318" s="26">
        <v>1187</v>
      </c>
      <c r="F318" s="26">
        <v>1190</v>
      </c>
      <c r="G318" s="26">
        <v>1187</v>
      </c>
      <c r="H318" s="26">
        <v>1190</v>
      </c>
      <c r="I318" s="26">
        <v>1187</v>
      </c>
      <c r="J318" s="26">
        <v>1190</v>
      </c>
      <c r="K318" s="26">
        <v>1187</v>
      </c>
      <c r="L318" s="26"/>
      <c r="M318" s="26"/>
      <c r="N318" s="26">
        <v>1190</v>
      </c>
      <c r="O318" s="26">
        <v>1187</v>
      </c>
      <c r="P318" s="32">
        <v>1190</v>
      </c>
      <c r="Q318" s="32">
        <v>1187</v>
      </c>
      <c r="R318" s="26"/>
      <c r="S318" s="26"/>
      <c r="T318" s="26">
        <v>1190</v>
      </c>
      <c r="U318" s="26">
        <v>1187</v>
      </c>
      <c r="V318" s="26">
        <v>1190</v>
      </c>
      <c r="W318" s="26">
        <v>1187</v>
      </c>
      <c r="X318" s="32"/>
      <c r="Y318" s="32"/>
    </row>
    <row r="319" spans="1:25" x14ac:dyDescent="0.65">
      <c r="A319" s="108">
        <v>27</v>
      </c>
      <c r="B319" s="26">
        <v>1190</v>
      </c>
      <c r="C319" s="26">
        <v>1187</v>
      </c>
      <c r="D319" s="26"/>
      <c r="E319" s="26"/>
      <c r="F319" s="26"/>
      <c r="G319" s="26"/>
      <c r="H319" s="26">
        <v>1190</v>
      </c>
      <c r="I319" s="26">
        <v>1187</v>
      </c>
      <c r="J319" s="26">
        <v>1190</v>
      </c>
      <c r="K319" s="26">
        <v>1187</v>
      </c>
      <c r="L319" s="26"/>
      <c r="M319" s="26"/>
      <c r="N319" s="26">
        <v>1190</v>
      </c>
      <c r="O319" s="26">
        <v>1187</v>
      </c>
      <c r="P319" s="32">
        <v>1190</v>
      </c>
      <c r="Q319" s="32">
        <v>1187</v>
      </c>
      <c r="R319" s="26"/>
      <c r="S319" s="26"/>
      <c r="T319" s="26">
        <v>1190</v>
      </c>
      <c r="U319" s="26">
        <v>1187</v>
      </c>
      <c r="V319" s="26"/>
      <c r="W319" s="26"/>
      <c r="X319" s="26">
        <v>1190</v>
      </c>
      <c r="Y319" s="26">
        <v>1187</v>
      </c>
    </row>
    <row r="320" spans="1:25" x14ac:dyDescent="0.65">
      <c r="A320" s="108">
        <v>28</v>
      </c>
      <c r="B320" s="26">
        <v>1190</v>
      </c>
      <c r="C320" s="26">
        <v>1187</v>
      </c>
      <c r="D320" s="26"/>
      <c r="E320" s="26"/>
      <c r="F320" s="26"/>
      <c r="G320" s="26"/>
      <c r="H320" s="26">
        <v>1190</v>
      </c>
      <c r="I320" s="26">
        <v>1187</v>
      </c>
      <c r="J320" s="26">
        <v>1190</v>
      </c>
      <c r="K320" s="26">
        <v>1187</v>
      </c>
      <c r="L320" s="26">
        <v>1190</v>
      </c>
      <c r="M320" s="26">
        <v>1187</v>
      </c>
      <c r="N320" s="26">
        <v>1190</v>
      </c>
      <c r="O320" s="26">
        <v>1187</v>
      </c>
      <c r="P320" s="32"/>
      <c r="Q320" s="32"/>
      <c r="R320" s="26"/>
      <c r="S320" s="26"/>
      <c r="T320" s="26">
        <v>1190</v>
      </c>
      <c r="U320" s="26">
        <v>1187</v>
      </c>
      <c r="V320" s="26"/>
      <c r="W320" s="26"/>
      <c r="X320" s="32">
        <v>1190</v>
      </c>
      <c r="Y320" s="32">
        <v>1187</v>
      </c>
    </row>
    <row r="321" spans="1:27" x14ac:dyDescent="0.65">
      <c r="A321" s="108">
        <v>29</v>
      </c>
      <c r="B321" s="26">
        <v>1190</v>
      </c>
      <c r="C321" s="26">
        <v>1187</v>
      </c>
      <c r="D321" s="27"/>
      <c r="E321" s="27"/>
      <c r="F321" s="26">
        <v>1190</v>
      </c>
      <c r="G321" s="26">
        <v>1187</v>
      </c>
      <c r="H321" s="26">
        <v>1190</v>
      </c>
      <c r="I321" s="26">
        <v>1187</v>
      </c>
      <c r="J321" s="26"/>
      <c r="K321" s="26"/>
      <c r="L321" s="26">
        <v>1190</v>
      </c>
      <c r="M321" s="26">
        <v>1187</v>
      </c>
      <c r="N321" s="26">
        <v>1190</v>
      </c>
      <c r="O321" s="26">
        <v>1187</v>
      </c>
      <c r="P321" s="32"/>
      <c r="Q321" s="32"/>
      <c r="R321" s="26">
        <v>1190</v>
      </c>
      <c r="S321" s="26">
        <v>1187</v>
      </c>
      <c r="T321" s="26"/>
      <c r="U321" s="26"/>
      <c r="V321" s="26">
        <v>1190</v>
      </c>
      <c r="W321" s="26">
        <v>1187</v>
      </c>
      <c r="X321" s="32">
        <v>1190</v>
      </c>
      <c r="Y321" s="32">
        <v>1187</v>
      </c>
    </row>
    <row r="322" spans="1:27" x14ac:dyDescent="0.65">
      <c r="A322" s="108">
        <v>30</v>
      </c>
      <c r="B322" s="26"/>
      <c r="C322" s="26"/>
      <c r="D322" s="26"/>
      <c r="E322" s="26"/>
      <c r="F322" s="26">
        <v>1190</v>
      </c>
      <c r="G322" s="26">
        <v>1187</v>
      </c>
      <c r="H322" s="26">
        <v>1190</v>
      </c>
      <c r="I322" s="26">
        <v>1187</v>
      </c>
      <c r="J322" s="26"/>
      <c r="K322" s="26"/>
      <c r="L322" s="26">
        <v>1190</v>
      </c>
      <c r="M322" s="26">
        <v>1187</v>
      </c>
      <c r="N322" s="26"/>
      <c r="O322" s="26"/>
      <c r="P322" s="26">
        <v>1190</v>
      </c>
      <c r="Q322" s="26">
        <v>1187</v>
      </c>
      <c r="R322" s="26">
        <v>1190</v>
      </c>
      <c r="S322" s="26">
        <v>1187</v>
      </c>
      <c r="T322" s="26"/>
      <c r="U322" s="26"/>
      <c r="V322" s="26">
        <v>1190</v>
      </c>
      <c r="W322" s="26">
        <v>1187</v>
      </c>
      <c r="X322" s="32">
        <v>1190</v>
      </c>
      <c r="Y322" s="32">
        <v>1187</v>
      </c>
    </row>
    <row r="323" spans="1:27" ht="25.5" thickBot="1" x14ac:dyDescent="0.7">
      <c r="A323" s="109">
        <v>31</v>
      </c>
      <c r="B323" s="32"/>
      <c r="C323" s="32"/>
      <c r="D323" s="56"/>
      <c r="E323" s="56"/>
      <c r="F323" s="32">
        <v>1190</v>
      </c>
      <c r="G323" s="32">
        <v>1187</v>
      </c>
      <c r="H323" s="54"/>
      <c r="I323" s="54"/>
      <c r="J323" s="30">
        <v>1190</v>
      </c>
      <c r="K323" s="30">
        <v>1187</v>
      </c>
      <c r="L323" s="52"/>
      <c r="M323" s="52"/>
      <c r="N323" s="32"/>
      <c r="O323" s="32"/>
      <c r="P323" s="32">
        <v>1190</v>
      </c>
      <c r="Q323" s="32">
        <v>1187</v>
      </c>
      <c r="R323" s="26"/>
      <c r="S323" s="32"/>
      <c r="T323" s="32"/>
      <c r="U323" s="32"/>
      <c r="V323" s="30"/>
      <c r="W323" s="30"/>
      <c r="X323" s="32"/>
      <c r="Y323" s="32"/>
    </row>
    <row r="324" spans="1:27" ht="25.5" thickBot="1" x14ac:dyDescent="0.7">
      <c r="A324" s="17" t="s">
        <v>15</v>
      </c>
      <c r="B324" s="197">
        <f>AVERAGE(B293:B323)</f>
        <v>1190</v>
      </c>
      <c r="C324" s="197">
        <f t="shared" ref="C324:Y324" si="29">AVERAGE(C293:C323)</f>
        <v>1187</v>
      </c>
      <c r="D324" s="197">
        <f t="shared" si="29"/>
        <v>1190</v>
      </c>
      <c r="E324" s="197">
        <f t="shared" si="29"/>
        <v>1187</v>
      </c>
      <c r="F324" s="197">
        <f t="shared" si="29"/>
        <v>1190</v>
      </c>
      <c r="G324" s="197">
        <f t="shared" si="29"/>
        <v>1187</v>
      </c>
      <c r="H324" s="197">
        <f t="shared" si="29"/>
        <v>1190</v>
      </c>
      <c r="I324" s="197">
        <f t="shared" si="29"/>
        <v>1187</v>
      </c>
      <c r="J324" s="197">
        <f t="shared" si="29"/>
        <v>1190</v>
      </c>
      <c r="K324" s="197">
        <f t="shared" si="29"/>
        <v>1187</v>
      </c>
      <c r="L324" s="197">
        <f t="shared" si="29"/>
        <v>1190</v>
      </c>
      <c r="M324" s="197">
        <f t="shared" si="29"/>
        <v>1187</v>
      </c>
      <c r="N324" s="197">
        <f t="shared" si="29"/>
        <v>1190</v>
      </c>
      <c r="O324" s="197">
        <f t="shared" si="29"/>
        <v>1187</v>
      </c>
      <c r="P324" s="197">
        <f t="shared" si="29"/>
        <v>1190</v>
      </c>
      <c r="Q324" s="197">
        <f t="shared" si="29"/>
        <v>1187</v>
      </c>
      <c r="R324" s="197">
        <f t="shared" si="29"/>
        <v>1190</v>
      </c>
      <c r="S324" s="197">
        <f t="shared" si="29"/>
        <v>1187</v>
      </c>
      <c r="T324" s="197">
        <f t="shared" si="29"/>
        <v>1190</v>
      </c>
      <c r="U324" s="197">
        <f t="shared" si="29"/>
        <v>1187</v>
      </c>
      <c r="V324" s="197">
        <f t="shared" si="29"/>
        <v>1190</v>
      </c>
      <c r="W324" s="197">
        <f t="shared" si="29"/>
        <v>1187</v>
      </c>
      <c r="X324" s="197">
        <f t="shared" si="29"/>
        <v>1190</v>
      </c>
      <c r="Y324" s="197">
        <f t="shared" si="29"/>
        <v>1187</v>
      </c>
      <c r="Z324" s="57"/>
      <c r="AA324" s="57"/>
    </row>
    <row r="325" spans="1:27" ht="42" customHeight="1" x14ac:dyDescent="0.65">
      <c r="A325" s="224" t="s">
        <v>32</v>
      </c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 spans="1:27" ht="24.75" customHeight="1" thickBot="1" x14ac:dyDescent="0.7">
      <c r="A326" s="225" t="s">
        <v>71</v>
      </c>
      <c r="B326" s="225"/>
      <c r="C326" s="225"/>
      <c r="D326" s="225"/>
      <c r="E326" s="225"/>
      <c r="F326" s="225"/>
      <c r="G326" s="225"/>
      <c r="H326" s="225"/>
      <c r="I326" s="225"/>
      <c r="J326" s="225"/>
      <c r="K326" s="225"/>
      <c r="L326" s="225"/>
      <c r="M326" s="225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</row>
    <row r="327" spans="1:27" ht="25.5" thickBot="1" x14ac:dyDescent="0.7">
      <c r="A327" s="226" t="s">
        <v>2</v>
      </c>
      <c r="B327" s="228" t="s">
        <v>3</v>
      </c>
      <c r="C327" s="229"/>
      <c r="D327" s="228" t="s">
        <v>4</v>
      </c>
      <c r="E327" s="229"/>
      <c r="F327" s="228" t="s">
        <v>5</v>
      </c>
      <c r="G327" s="229"/>
      <c r="H327" s="228" t="s">
        <v>6</v>
      </c>
      <c r="I327" s="229"/>
      <c r="J327" s="228" t="s">
        <v>7</v>
      </c>
      <c r="K327" s="229"/>
      <c r="L327" s="228" t="s">
        <v>8</v>
      </c>
      <c r="M327" s="229"/>
      <c r="N327" s="228" t="s">
        <v>9</v>
      </c>
      <c r="O327" s="229"/>
      <c r="P327" s="228" t="s">
        <v>10</v>
      </c>
      <c r="Q327" s="229"/>
      <c r="R327" s="228" t="s">
        <v>11</v>
      </c>
      <c r="S327" s="229"/>
      <c r="T327" s="228" t="s">
        <v>12</v>
      </c>
      <c r="U327" s="229"/>
      <c r="V327" s="228" t="s">
        <v>21</v>
      </c>
      <c r="W327" s="229"/>
      <c r="X327" s="228" t="s">
        <v>14</v>
      </c>
      <c r="Y327" s="229"/>
    </row>
    <row r="328" spans="1:27" ht="25.5" thickBot="1" x14ac:dyDescent="0.7">
      <c r="A328" s="227"/>
      <c r="B328" s="17" t="s">
        <v>74</v>
      </c>
      <c r="C328" s="17" t="s">
        <v>75</v>
      </c>
      <c r="D328" s="17" t="s">
        <v>74</v>
      </c>
      <c r="E328" s="17" t="s">
        <v>75</v>
      </c>
      <c r="F328" s="17" t="s">
        <v>74</v>
      </c>
      <c r="G328" s="17" t="s">
        <v>75</v>
      </c>
      <c r="H328" s="17" t="s">
        <v>74</v>
      </c>
      <c r="I328" s="17" t="s">
        <v>75</v>
      </c>
      <c r="J328" s="17" t="s">
        <v>74</v>
      </c>
      <c r="K328" s="17" t="s">
        <v>75</v>
      </c>
      <c r="L328" s="17" t="s">
        <v>74</v>
      </c>
      <c r="M328" s="17" t="s">
        <v>75</v>
      </c>
      <c r="N328" s="17" t="s">
        <v>74</v>
      </c>
      <c r="O328" s="17" t="s">
        <v>75</v>
      </c>
      <c r="P328" s="17" t="s">
        <v>74</v>
      </c>
      <c r="Q328" s="17" t="s">
        <v>75</v>
      </c>
      <c r="R328" s="17" t="s">
        <v>74</v>
      </c>
      <c r="S328" s="17" t="s">
        <v>75</v>
      </c>
      <c r="T328" s="17" t="s">
        <v>74</v>
      </c>
      <c r="U328" s="17" t="s">
        <v>75</v>
      </c>
      <c r="V328" s="17" t="s">
        <v>74</v>
      </c>
      <c r="W328" s="17" t="s">
        <v>75</v>
      </c>
      <c r="X328" s="17" t="s">
        <v>74</v>
      </c>
      <c r="Y328" s="17" t="s">
        <v>75</v>
      </c>
    </row>
    <row r="329" spans="1:27" x14ac:dyDescent="0.65">
      <c r="A329" s="39">
        <v>1</v>
      </c>
      <c r="B329" s="32"/>
      <c r="C329" s="62"/>
      <c r="D329" s="32">
        <v>1190</v>
      </c>
      <c r="E329" s="30">
        <v>1190</v>
      </c>
      <c r="F329" s="32">
        <v>1190</v>
      </c>
      <c r="G329" s="30">
        <v>1190</v>
      </c>
      <c r="H329" s="32"/>
      <c r="I329" s="32"/>
      <c r="J329" s="30"/>
      <c r="K329" s="30"/>
      <c r="L329" s="32">
        <v>1190</v>
      </c>
      <c r="M329" s="32">
        <v>1190</v>
      </c>
      <c r="N329" s="32"/>
      <c r="O329" s="32"/>
      <c r="P329" s="32">
        <v>1190</v>
      </c>
      <c r="Q329" s="32">
        <v>1190</v>
      </c>
      <c r="R329" s="32">
        <v>1190</v>
      </c>
      <c r="S329" s="32">
        <v>1190</v>
      </c>
      <c r="T329" s="32"/>
      <c r="U329" s="32"/>
      <c r="V329" s="30">
        <v>1190</v>
      </c>
      <c r="W329" s="30">
        <v>1190</v>
      </c>
      <c r="X329" s="32">
        <v>1190</v>
      </c>
      <c r="Y329" s="32">
        <v>1190</v>
      </c>
    </row>
    <row r="330" spans="1:27" x14ac:dyDescent="0.65">
      <c r="A330" s="108">
        <v>2</v>
      </c>
      <c r="B330" s="26"/>
      <c r="C330" s="26"/>
      <c r="D330" s="26">
        <v>1190</v>
      </c>
      <c r="E330" s="26">
        <v>1190</v>
      </c>
      <c r="F330" s="26">
        <v>1190</v>
      </c>
      <c r="G330" s="26">
        <v>1190</v>
      </c>
      <c r="H330" s="26"/>
      <c r="I330" s="26"/>
      <c r="J330" s="26">
        <v>1190</v>
      </c>
      <c r="K330" s="26">
        <v>1190</v>
      </c>
      <c r="L330" s="26">
        <v>1190</v>
      </c>
      <c r="M330" s="26">
        <v>1190</v>
      </c>
      <c r="N330" s="26"/>
      <c r="O330" s="26"/>
      <c r="P330" s="26">
        <v>1190</v>
      </c>
      <c r="Q330" s="26">
        <v>1190</v>
      </c>
      <c r="R330" s="26"/>
      <c r="S330" s="26"/>
      <c r="T330" s="26">
        <v>1190</v>
      </c>
      <c r="U330" s="26">
        <v>1190</v>
      </c>
      <c r="V330" s="26">
        <v>1190</v>
      </c>
      <c r="W330" s="26">
        <v>1190</v>
      </c>
      <c r="X330" s="32"/>
      <c r="Y330" s="32"/>
    </row>
    <row r="331" spans="1:27" x14ac:dyDescent="0.65">
      <c r="A331" s="108">
        <v>3</v>
      </c>
      <c r="B331" s="26">
        <v>1190</v>
      </c>
      <c r="C331" s="26">
        <v>1190</v>
      </c>
      <c r="D331" s="26">
        <v>1190</v>
      </c>
      <c r="E331" s="26">
        <v>1190</v>
      </c>
      <c r="F331" s="26">
        <v>1190</v>
      </c>
      <c r="G331" s="26">
        <v>1190</v>
      </c>
      <c r="H331" s="26">
        <v>1190</v>
      </c>
      <c r="I331" s="26">
        <v>1190</v>
      </c>
      <c r="J331" s="26"/>
      <c r="K331" s="26"/>
      <c r="L331" s="26"/>
      <c r="M331" s="26"/>
      <c r="N331" s="26">
        <v>1190</v>
      </c>
      <c r="O331" s="26">
        <v>1190</v>
      </c>
      <c r="P331" s="32">
        <v>1190</v>
      </c>
      <c r="Q331" s="32">
        <v>1190</v>
      </c>
      <c r="R331" s="32"/>
      <c r="S331" s="32"/>
      <c r="T331" s="26">
        <v>1190</v>
      </c>
      <c r="U331" s="26">
        <v>1190</v>
      </c>
      <c r="V331" s="26">
        <v>1190</v>
      </c>
      <c r="W331" s="26">
        <v>1190</v>
      </c>
      <c r="X331" s="32"/>
      <c r="Y331" s="32"/>
    </row>
    <row r="332" spans="1:27" x14ac:dyDescent="0.65">
      <c r="A332" s="108">
        <v>4</v>
      </c>
      <c r="B332" s="26">
        <v>1190</v>
      </c>
      <c r="C332" s="26">
        <v>1190</v>
      </c>
      <c r="D332" s="26">
        <v>1190</v>
      </c>
      <c r="E332" s="26">
        <v>1190</v>
      </c>
      <c r="F332" s="26"/>
      <c r="G332" s="26"/>
      <c r="H332" s="26">
        <v>1190</v>
      </c>
      <c r="I332" s="26">
        <v>1190</v>
      </c>
      <c r="J332" s="26">
        <v>1190</v>
      </c>
      <c r="K332" s="26">
        <v>1190</v>
      </c>
      <c r="L332" s="26"/>
      <c r="M332" s="26"/>
      <c r="N332" s="26">
        <v>1190</v>
      </c>
      <c r="O332" s="26">
        <v>1190</v>
      </c>
      <c r="P332" s="32">
        <v>1190</v>
      </c>
      <c r="Q332" s="32">
        <v>1190</v>
      </c>
      <c r="R332" s="32">
        <v>1190</v>
      </c>
      <c r="S332" s="32">
        <v>1190</v>
      </c>
      <c r="T332" s="26">
        <v>1190</v>
      </c>
      <c r="U332" s="26">
        <v>1190</v>
      </c>
      <c r="V332" s="26"/>
      <c r="W332" s="26"/>
      <c r="X332" s="32">
        <v>1190</v>
      </c>
      <c r="Y332" s="32">
        <v>1190</v>
      </c>
    </row>
    <row r="333" spans="1:27" x14ac:dyDescent="0.65">
      <c r="A333" s="108">
        <v>5</v>
      </c>
      <c r="B333" s="26">
        <v>1190</v>
      </c>
      <c r="C333" s="26">
        <v>1190</v>
      </c>
      <c r="D333" s="26"/>
      <c r="E333" s="26"/>
      <c r="F333" s="26"/>
      <c r="G333" s="26"/>
      <c r="H333" s="26">
        <v>1190</v>
      </c>
      <c r="I333" s="26">
        <v>1190</v>
      </c>
      <c r="J333" s="26">
        <v>1190</v>
      </c>
      <c r="K333" s="26">
        <v>1190</v>
      </c>
      <c r="L333" s="26">
        <v>1190</v>
      </c>
      <c r="M333" s="26">
        <v>1190</v>
      </c>
      <c r="N333" s="26">
        <v>1190</v>
      </c>
      <c r="O333" s="26">
        <v>1190</v>
      </c>
      <c r="P333" s="32"/>
      <c r="Q333" s="32"/>
      <c r="R333" s="32">
        <v>1190</v>
      </c>
      <c r="S333" s="32">
        <v>1190</v>
      </c>
      <c r="T333" s="26">
        <v>1190</v>
      </c>
      <c r="U333" s="26">
        <v>1190</v>
      </c>
      <c r="V333" s="26"/>
      <c r="W333" s="26"/>
      <c r="X333" s="32">
        <v>1190</v>
      </c>
      <c r="Y333" s="32">
        <v>1190</v>
      </c>
    </row>
    <row r="334" spans="1:27" x14ac:dyDescent="0.65">
      <c r="A334" s="108">
        <v>6</v>
      </c>
      <c r="B334" s="26"/>
      <c r="C334" s="26"/>
      <c r="D334" s="26"/>
      <c r="E334" s="26"/>
      <c r="F334" s="26">
        <v>1190</v>
      </c>
      <c r="G334" s="26">
        <v>1190</v>
      </c>
      <c r="H334" s="26">
        <v>1190</v>
      </c>
      <c r="I334" s="26">
        <v>1190</v>
      </c>
      <c r="J334" s="26"/>
      <c r="K334" s="26"/>
      <c r="L334" s="26">
        <v>1190</v>
      </c>
      <c r="M334" s="26">
        <v>1190</v>
      </c>
      <c r="N334" s="26"/>
      <c r="O334" s="26"/>
      <c r="P334" s="32"/>
      <c r="Q334" s="32"/>
      <c r="R334" s="32">
        <v>1190</v>
      </c>
      <c r="S334" s="32">
        <v>1190</v>
      </c>
      <c r="T334" s="26">
        <v>1190</v>
      </c>
      <c r="U334" s="26">
        <v>1190</v>
      </c>
      <c r="V334" s="26">
        <v>1190</v>
      </c>
      <c r="W334" s="26">
        <v>1190</v>
      </c>
      <c r="X334" s="26">
        <v>1190</v>
      </c>
      <c r="Y334" s="26">
        <v>1190</v>
      </c>
    </row>
    <row r="335" spans="1:27" x14ac:dyDescent="0.65">
      <c r="A335" s="108">
        <v>7</v>
      </c>
      <c r="B335" s="26">
        <v>1190</v>
      </c>
      <c r="C335" s="26">
        <v>1190</v>
      </c>
      <c r="D335" s="26">
        <v>1190</v>
      </c>
      <c r="E335" s="26">
        <v>1190</v>
      </c>
      <c r="F335" s="26">
        <v>1190</v>
      </c>
      <c r="G335" s="26">
        <v>1190</v>
      </c>
      <c r="H335" s="26">
        <v>1190</v>
      </c>
      <c r="I335" s="26">
        <v>1190</v>
      </c>
      <c r="J335" s="26"/>
      <c r="K335" s="26"/>
      <c r="L335" s="26">
        <v>1190</v>
      </c>
      <c r="M335" s="26">
        <v>1190</v>
      </c>
      <c r="N335" s="26"/>
      <c r="O335" s="26"/>
      <c r="P335" s="32">
        <v>1190</v>
      </c>
      <c r="Q335" s="32">
        <v>1190</v>
      </c>
      <c r="R335" s="32">
        <v>1190</v>
      </c>
      <c r="S335" s="32">
        <v>1190</v>
      </c>
      <c r="T335" s="26"/>
      <c r="U335" s="26"/>
      <c r="V335" s="26">
        <v>1190</v>
      </c>
      <c r="W335" s="26">
        <v>1190</v>
      </c>
      <c r="X335" s="32">
        <v>1190</v>
      </c>
      <c r="Y335" s="32">
        <v>1190</v>
      </c>
    </row>
    <row r="336" spans="1:27" x14ac:dyDescent="0.65">
      <c r="A336" s="108">
        <v>8</v>
      </c>
      <c r="B336" s="26"/>
      <c r="C336" s="26"/>
      <c r="D336" s="26">
        <v>1190</v>
      </c>
      <c r="E336" s="26">
        <v>1190</v>
      </c>
      <c r="F336" s="26">
        <v>1190</v>
      </c>
      <c r="G336" s="26">
        <v>1190</v>
      </c>
      <c r="H336" s="26"/>
      <c r="I336" s="26"/>
      <c r="J336" s="26">
        <v>1190</v>
      </c>
      <c r="K336" s="26">
        <v>1190</v>
      </c>
      <c r="L336" s="26">
        <v>1190</v>
      </c>
      <c r="M336" s="26">
        <v>1190</v>
      </c>
      <c r="N336" s="26"/>
      <c r="O336" s="26"/>
      <c r="P336" s="32">
        <v>1190</v>
      </c>
      <c r="Q336" s="32">
        <v>1190</v>
      </c>
      <c r="R336" s="32">
        <v>1190</v>
      </c>
      <c r="S336" s="32">
        <v>1190</v>
      </c>
      <c r="T336" s="26"/>
      <c r="U336" s="26"/>
      <c r="V336" s="26">
        <v>1190</v>
      </c>
      <c r="W336" s="26">
        <v>1190</v>
      </c>
      <c r="X336" s="32">
        <v>1190</v>
      </c>
      <c r="Y336" s="32">
        <v>1190</v>
      </c>
    </row>
    <row r="337" spans="1:25" x14ac:dyDescent="0.65">
      <c r="A337" s="108">
        <v>9</v>
      </c>
      <c r="B337" s="26"/>
      <c r="C337" s="26"/>
      <c r="D337" s="26">
        <v>1190</v>
      </c>
      <c r="E337" s="26">
        <v>1190</v>
      </c>
      <c r="F337" s="26">
        <v>1190</v>
      </c>
      <c r="G337" s="26">
        <v>1190</v>
      </c>
      <c r="H337" s="26"/>
      <c r="I337" s="26"/>
      <c r="J337" s="26">
        <v>1190</v>
      </c>
      <c r="K337" s="26">
        <v>1190</v>
      </c>
      <c r="L337" s="26">
        <v>1190</v>
      </c>
      <c r="M337" s="26">
        <v>1190</v>
      </c>
      <c r="N337" s="26"/>
      <c r="O337" s="26"/>
      <c r="P337" s="26">
        <v>1190</v>
      </c>
      <c r="Q337" s="26">
        <v>1190</v>
      </c>
      <c r="R337" s="26"/>
      <c r="S337" s="26"/>
      <c r="T337" s="26">
        <v>1190</v>
      </c>
      <c r="U337" s="26">
        <v>1190</v>
      </c>
      <c r="V337" s="26">
        <v>1190</v>
      </c>
      <c r="W337" s="26">
        <v>1190</v>
      </c>
      <c r="X337" s="32"/>
      <c r="Y337" s="32"/>
    </row>
    <row r="338" spans="1:25" x14ac:dyDescent="0.65">
      <c r="A338" s="108">
        <v>10</v>
      </c>
      <c r="B338" s="26">
        <v>1190</v>
      </c>
      <c r="C338" s="26">
        <v>1190</v>
      </c>
      <c r="D338" s="26">
        <v>1190</v>
      </c>
      <c r="E338" s="26">
        <v>1190</v>
      </c>
      <c r="F338" s="26">
        <v>1190</v>
      </c>
      <c r="G338" s="26">
        <v>1190</v>
      </c>
      <c r="H338" s="26">
        <v>1190</v>
      </c>
      <c r="I338" s="26">
        <v>1190</v>
      </c>
      <c r="J338" s="26">
        <v>1190</v>
      </c>
      <c r="K338" s="26">
        <v>1190</v>
      </c>
      <c r="L338" s="26"/>
      <c r="M338" s="26"/>
      <c r="N338" s="26">
        <v>1190</v>
      </c>
      <c r="O338" s="26">
        <v>1190</v>
      </c>
      <c r="P338" s="32">
        <v>1190</v>
      </c>
      <c r="Q338" s="32">
        <v>1190</v>
      </c>
      <c r="R338" s="32"/>
      <c r="S338" s="32"/>
      <c r="T338" s="26">
        <v>1190</v>
      </c>
      <c r="U338" s="26">
        <v>1190</v>
      </c>
      <c r="V338" s="26">
        <v>1190</v>
      </c>
      <c r="W338" s="26">
        <v>1190</v>
      </c>
      <c r="X338" s="32"/>
      <c r="Y338" s="32"/>
    </row>
    <row r="339" spans="1:25" x14ac:dyDescent="0.65">
      <c r="A339" s="108">
        <v>11</v>
      </c>
      <c r="B339" s="26">
        <v>1190</v>
      </c>
      <c r="C339" s="26">
        <v>1190</v>
      </c>
      <c r="D339" s="26">
        <v>1190</v>
      </c>
      <c r="E339" s="26">
        <v>1190</v>
      </c>
      <c r="F339" s="26"/>
      <c r="G339" s="26"/>
      <c r="H339" s="26">
        <v>1190</v>
      </c>
      <c r="I339" s="26">
        <v>1190</v>
      </c>
      <c r="J339" s="26">
        <v>1190</v>
      </c>
      <c r="K339" s="26">
        <v>1190</v>
      </c>
      <c r="L339" s="26"/>
      <c r="M339" s="26"/>
      <c r="N339" s="26">
        <v>1190</v>
      </c>
      <c r="O339" s="26">
        <v>1190</v>
      </c>
      <c r="P339" s="32">
        <v>1190</v>
      </c>
      <c r="Q339" s="32">
        <v>1190</v>
      </c>
      <c r="R339" s="32"/>
      <c r="S339" s="32"/>
      <c r="T339" s="26">
        <v>1190</v>
      </c>
      <c r="U339" s="26">
        <v>1190</v>
      </c>
      <c r="V339" s="26"/>
      <c r="W339" s="26"/>
      <c r="X339" s="32">
        <v>1190</v>
      </c>
      <c r="Y339" s="32">
        <v>1190</v>
      </c>
    </row>
    <row r="340" spans="1:25" x14ac:dyDescent="0.65">
      <c r="A340" s="108">
        <v>12</v>
      </c>
      <c r="B340" s="26">
        <v>1190</v>
      </c>
      <c r="C340" s="26">
        <v>1190</v>
      </c>
      <c r="D340" s="26"/>
      <c r="E340" s="26"/>
      <c r="F340" s="26"/>
      <c r="G340" s="26"/>
      <c r="H340" s="26">
        <v>1190</v>
      </c>
      <c r="I340" s="26">
        <v>1190</v>
      </c>
      <c r="J340" s="26">
        <v>1190</v>
      </c>
      <c r="K340" s="26">
        <v>1190</v>
      </c>
      <c r="L340" s="26">
        <v>1190</v>
      </c>
      <c r="M340" s="26">
        <v>1190</v>
      </c>
      <c r="N340" s="26">
        <v>1190</v>
      </c>
      <c r="O340" s="26">
        <v>1190</v>
      </c>
      <c r="P340" s="32"/>
      <c r="Q340" s="32"/>
      <c r="R340" s="32"/>
      <c r="S340" s="32"/>
      <c r="T340" s="26"/>
      <c r="U340" s="26"/>
      <c r="V340" s="26"/>
      <c r="W340" s="26"/>
      <c r="X340" s="32">
        <v>1190</v>
      </c>
      <c r="Y340" s="32">
        <v>1190</v>
      </c>
    </row>
    <row r="341" spans="1:25" x14ac:dyDescent="0.65">
      <c r="A341" s="108">
        <v>13</v>
      </c>
      <c r="B341" s="26">
        <v>1190</v>
      </c>
      <c r="C341" s="26">
        <v>1190</v>
      </c>
      <c r="D341" s="26"/>
      <c r="E341" s="26"/>
      <c r="F341" s="26">
        <v>1190</v>
      </c>
      <c r="G341" s="26">
        <v>1190</v>
      </c>
      <c r="H341" s="26">
        <v>1190</v>
      </c>
      <c r="I341" s="26">
        <v>1190</v>
      </c>
      <c r="J341" s="26"/>
      <c r="K341" s="26"/>
      <c r="L341" s="26">
        <v>1190</v>
      </c>
      <c r="M341" s="26">
        <v>1190</v>
      </c>
      <c r="N341" s="26">
        <v>1190</v>
      </c>
      <c r="O341" s="26">
        <v>1190</v>
      </c>
      <c r="P341" s="32"/>
      <c r="Q341" s="32"/>
      <c r="R341" s="32"/>
      <c r="S341" s="32"/>
      <c r="T341" s="26">
        <v>1190</v>
      </c>
      <c r="U341" s="26">
        <v>1190</v>
      </c>
      <c r="V341" s="26">
        <v>1190</v>
      </c>
      <c r="W341" s="26">
        <v>1190</v>
      </c>
      <c r="X341" s="26">
        <v>1190</v>
      </c>
      <c r="Y341" s="26">
        <v>1190</v>
      </c>
    </row>
    <row r="342" spans="1:25" x14ac:dyDescent="0.65">
      <c r="A342" s="108">
        <v>14</v>
      </c>
      <c r="B342" s="26">
        <v>1190</v>
      </c>
      <c r="C342" s="26">
        <v>1190</v>
      </c>
      <c r="D342" s="26">
        <v>1190</v>
      </c>
      <c r="E342" s="26">
        <v>1190</v>
      </c>
      <c r="F342" s="26">
        <v>1190</v>
      </c>
      <c r="G342" s="26">
        <v>1190</v>
      </c>
      <c r="H342" s="26">
        <v>1190</v>
      </c>
      <c r="I342" s="26">
        <v>1190</v>
      </c>
      <c r="J342" s="26"/>
      <c r="K342" s="26"/>
      <c r="L342" s="26">
        <v>1190</v>
      </c>
      <c r="M342" s="26">
        <v>1190</v>
      </c>
      <c r="N342" s="26"/>
      <c r="O342" s="26"/>
      <c r="P342" s="32">
        <v>1190</v>
      </c>
      <c r="Q342" s="32">
        <v>1190</v>
      </c>
      <c r="R342" s="32"/>
      <c r="S342" s="32"/>
      <c r="T342" s="26"/>
      <c r="U342" s="26"/>
      <c r="V342" s="26">
        <v>1190</v>
      </c>
      <c r="W342" s="26">
        <v>1190</v>
      </c>
      <c r="X342" s="32">
        <v>1190</v>
      </c>
      <c r="Y342" s="32">
        <v>1190</v>
      </c>
    </row>
    <row r="343" spans="1:25" x14ac:dyDescent="0.65">
      <c r="A343" s="108">
        <v>15</v>
      </c>
      <c r="B343" s="26"/>
      <c r="C343" s="26"/>
      <c r="D343" s="26">
        <v>1190</v>
      </c>
      <c r="E343" s="26">
        <v>1190</v>
      </c>
      <c r="F343" s="26">
        <v>1190</v>
      </c>
      <c r="G343" s="26">
        <v>1190</v>
      </c>
      <c r="H343" s="26"/>
      <c r="I343" s="26"/>
      <c r="J343" s="26">
        <v>1190</v>
      </c>
      <c r="K343" s="26">
        <v>1190</v>
      </c>
      <c r="L343" s="26">
        <v>1190</v>
      </c>
      <c r="M343" s="26">
        <v>1190</v>
      </c>
      <c r="N343" s="26"/>
      <c r="O343" s="26"/>
      <c r="P343" s="32">
        <v>1190</v>
      </c>
      <c r="Q343" s="32">
        <v>1190</v>
      </c>
      <c r="R343" s="32"/>
      <c r="S343" s="32"/>
      <c r="T343" s="26"/>
      <c r="U343" s="26"/>
      <c r="V343" s="26">
        <v>1190</v>
      </c>
      <c r="W343" s="26">
        <v>1190</v>
      </c>
      <c r="X343" s="32">
        <v>1190</v>
      </c>
      <c r="Y343" s="32">
        <v>1190</v>
      </c>
    </row>
    <row r="344" spans="1:25" x14ac:dyDescent="0.65">
      <c r="A344" s="108">
        <v>16</v>
      </c>
      <c r="B344" s="26"/>
      <c r="C344" s="26"/>
      <c r="D344" s="26">
        <v>1190</v>
      </c>
      <c r="E344" s="26">
        <v>1190</v>
      </c>
      <c r="F344" s="26">
        <v>1190</v>
      </c>
      <c r="G344" s="26">
        <v>1190</v>
      </c>
      <c r="H344" s="26"/>
      <c r="I344" s="26"/>
      <c r="J344" s="26">
        <v>1190</v>
      </c>
      <c r="K344" s="26">
        <v>1190</v>
      </c>
      <c r="L344" s="26">
        <v>1190</v>
      </c>
      <c r="M344" s="26">
        <v>1190</v>
      </c>
      <c r="N344" s="26"/>
      <c r="O344" s="26"/>
      <c r="P344" s="26">
        <v>1190</v>
      </c>
      <c r="Q344" s="26">
        <v>1190</v>
      </c>
      <c r="R344" s="26"/>
      <c r="S344" s="26"/>
      <c r="T344" s="26">
        <v>1190</v>
      </c>
      <c r="U344" s="26">
        <v>1190</v>
      </c>
      <c r="V344" s="26">
        <v>1190</v>
      </c>
      <c r="W344" s="26">
        <v>1190</v>
      </c>
      <c r="X344" s="32"/>
      <c r="Y344" s="32"/>
    </row>
    <row r="345" spans="1:25" x14ac:dyDescent="0.65">
      <c r="A345" s="108">
        <v>17</v>
      </c>
      <c r="B345" s="26">
        <v>1190</v>
      </c>
      <c r="C345" s="26">
        <v>1190</v>
      </c>
      <c r="D345" s="26">
        <v>1190</v>
      </c>
      <c r="E345" s="26">
        <v>1190</v>
      </c>
      <c r="F345" s="26">
        <v>1190</v>
      </c>
      <c r="G345" s="26">
        <v>1190</v>
      </c>
      <c r="H345" s="26">
        <v>1190</v>
      </c>
      <c r="I345" s="26">
        <v>1190</v>
      </c>
      <c r="J345" s="26">
        <v>1190</v>
      </c>
      <c r="K345" s="26">
        <v>1190</v>
      </c>
      <c r="L345" s="26"/>
      <c r="M345" s="26"/>
      <c r="N345" s="26">
        <v>1190</v>
      </c>
      <c r="O345" s="26">
        <v>1190</v>
      </c>
      <c r="P345" s="32">
        <v>1190</v>
      </c>
      <c r="Q345" s="32">
        <v>1190</v>
      </c>
      <c r="R345" s="32"/>
      <c r="S345" s="32"/>
      <c r="T345" s="26">
        <v>1190</v>
      </c>
      <c r="U345" s="26">
        <v>1190</v>
      </c>
      <c r="V345" s="26">
        <v>1190</v>
      </c>
      <c r="W345" s="26">
        <v>1190</v>
      </c>
      <c r="X345" s="32"/>
      <c r="Y345" s="32"/>
    </row>
    <row r="346" spans="1:25" x14ac:dyDescent="0.65">
      <c r="A346" s="108">
        <v>18</v>
      </c>
      <c r="B346" s="26">
        <v>1190</v>
      </c>
      <c r="C346" s="26">
        <v>1190</v>
      </c>
      <c r="D346" s="26">
        <v>1190</v>
      </c>
      <c r="E346" s="26">
        <v>1190</v>
      </c>
      <c r="F346" s="26"/>
      <c r="G346" s="26"/>
      <c r="H346" s="26">
        <v>1190</v>
      </c>
      <c r="I346" s="26">
        <v>1190</v>
      </c>
      <c r="J346" s="26">
        <v>1190</v>
      </c>
      <c r="K346" s="26">
        <v>1190</v>
      </c>
      <c r="L346" s="26"/>
      <c r="M346" s="26"/>
      <c r="N346" s="26">
        <v>1190</v>
      </c>
      <c r="O346" s="26">
        <v>1190</v>
      </c>
      <c r="P346" s="32">
        <v>1190</v>
      </c>
      <c r="Q346" s="32">
        <v>1190</v>
      </c>
      <c r="R346" s="32">
        <v>1190</v>
      </c>
      <c r="S346" s="32">
        <v>1190</v>
      </c>
      <c r="T346" s="26">
        <v>1190</v>
      </c>
      <c r="U346" s="26">
        <v>1190</v>
      </c>
      <c r="V346" s="26"/>
      <c r="W346" s="26"/>
      <c r="X346" s="32">
        <v>1190</v>
      </c>
      <c r="Y346" s="32">
        <v>1190</v>
      </c>
    </row>
    <row r="347" spans="1:25" x14ac:dyDescent="0.65">
      <c r="A347" s="108">
        <v>19</v>
      </c>
      <c r="B347" s="26">
        <v>1190</v>
      </c>
      <c r="C347" s="26">
        <v>1190</v>
      </c>
      <c r="D347" s="26"/>
      <c r="E347" s="26"/>
      <c r="F347" s="26"/>
      <c r="G347" s="26"/>
      <c r="H347" s="26">
        <v>1190</v>
      </c>
      <c r="I347" s="26">
        <v>1190</v>
      </c>
      <c r="J347" s="26">
        <v>1190</v>
      </c>
      <c r="K347" s="26">
        <v>1190</v>
      </c>
      <c r="L347" s="26">
        <v>1190</v>
      </c>
      <c r="M347" s="26">
        <v>1190</v>
      </c>
      <c r="N347" s="26">
        <v>1190</v>
      </c>
      <c r="O347" s="26">
        <v>1190</v>
      </c>
      <c r="P347" s="32"/>
      <c r="Q347" s="32"/>
      <c r="R347" s="32">
        <v>1190</v>
      </c>
      <c r="S347" s="32">
        <v>1190</v>
      </c>
      <c r="T347" s="26">
        <v>1190</v>
      </c>
      <c r="U347" s="26">
        <v>1190</v>
      </c>
      <c r="V347" s="26"/>
      <c r="W347" s="26"/>
      <c r="X347" s="32">
        <v>1190</v>
      </c>
      <c r="Y347" s="32">
        <v>1190</v>
      </c>
    </row>
    <row r="348" spans="1:25" x14ac:dyDescent="0.65">
      <c r="A348" s="108">
        <v>20</v>
      </c>
      <c r="B348" s="26">
        <v>1190</v>
      </c>
      <c r="C348" s="26">
        <v>1190</v>
      </c>
      <c r="D348" s="26"/>
      <c r="E348" s="26"/>
      <c r="F348" s="26">
        <v>1190</v>
      </c>
      <c r="G348" s="26">
        <v>1190</v>
      </c>
      <c r="H348" s="26">
        <v>1190</v>
      </c>
      <c r="I348" s="26">
        <v>1190</v>
      </c>
      <c r="J348" s="26"/>
      <c r="K348" s="26"/>
      <c r="L348" s="26">
        <v>1190</v>
      </c>
      <c r="M348" s="26">
        <v>1190</v>
      </c>
      <c r="N348" s="26"/>
      <c r="O348" s="26"/>
      <c r="P348" s="32"/>
      <c r="Q348" s="32"/>
      <c r="R348" s="32">
        <v>1190</v>
      </c>
      <c r="S348" s="32">
        <v>1190</v>
      </c>
      <c r="T348" s="26">
        <v>1190</v>
      </c>
      <c r="U348" s="26">
        <v>1190</v>
      </c>
      <c r="V348" s="26">
        <v>1190</v>
      </c>
      <c r="W348" s="26">
        <v>1190</v>
      </c>
      <c r="X348" s="26">
        <v>1190</v>
      </c>
      <c r="Y348" s="26">
        <v>1190</v>
      </c>
    </row>
    <row r="349" spans="1:25" x14ac:dyDescent="0.65">
      <c r="A349" s="108">
        <v>21</v>
      </c>
      <c r="B349" s="26">
        <v>1190</v>
      </c>
      <c r="C349" s="26">
        <v>1190</v>
      </c>
      <c r="D349" s="26">
        <v>1190</v>
      </c>
      <c r="E349" s="26">
        <v>1190</v>
      </c>
      <c r="F349" s="26"/>
      <c r="G349" s="26"/>
      <c r="H349" s="26">
        <v>1190</v>
      </c>
      <c r="I349" s="26">
        <v>1190</v>
      </c>
      <c r="J349" s="26"/>
      <c r="K349" s="26"/>
      <c r="L349" s="26">
        <v>1190</v>
      </c>
      <c r="M349" s="26">
        <v>1190</v>
      </c>
      <c r="N349" s="26"/>
      <c r="O349" s="26"/>
      <c r="P349" s="32">
        <v>1190</v>
      </c>
      <c r="Q349" s="32">
        <v>1190</v>
      </c>
      <c r="R349" s="32">
        <v>1190</v>
      </c>
      <c r="S349" s="32">
        <v>1190</v>
      </c>
      <c r="T349" s="26"/>
      <c r="U349" s="26"/>
      <c r="V349" s="26"/>
      <c r="W349" s="26"/>
      <c r="X349" s="32">
        <v>1190</v>
      </c>
      <c r="Y349" s="32">
        <v>1190</v>
      </c>
    </row>
    <row r="350" spans="1:25" x14ac:dyDescent="0.65">
      <c r="A350" s="108">
        <v>22</v>
      </c>
      <c r="B350" s="26"/>
      <c r="C350" s="26"/>
      <c r="D350" s="26">
        <v>1190</v>
      </c>
      <c r="E350" s="26">
        <v>1190</v>
      </c>
      <c r="F350" s="26">
        <v>1190</v>
      </c>
      <c r="G350" s="26">
        <v>1190</v>
      </c>
      <c r="H350" s="26"/>
      <c r="I350" s="26"/>
      <c r="J350" s="26">
        <v>1190</v>
      </c>
      <c r="K350" s="26">
        <v>1190</v>
      </c>
      <c r="L350" s="26">
        <v>1190</v>
      </c>
      <c r="M350" s="26">
        <v>1190</v>
      </c>
      <c r="N350" s="26"/>
      <c r="O350" s="26"/>
      <c r="P350" s="32">
        <v>1190</v>
      </c>
      <c r="Q350" s="32">
        <v>1190</v>
      </c>
      <c r="R350" s="32">
        <v>1190</v>
      </c>
      <c r="S350" s="32">
        <v>1190</v>
      </c>
      <c r="T350" s="26"/>
      <c r="U350" s="26"/>
      <c r="V350" s="26">
        <v>1190</v>
      </c>
      <c r="W350" s="26">
        <v>1190</v>
      </c>
      <c r="X350" s="32">
        <v>1190</v>
      </c>
      <c r="Y350" s="32">
        <v>1190</v>
      </c>
    </row>
    <row r="351" spans="1:25" x14ac:dyDescent="0.65">
      <c r="A351" s="108">
        <v>23</v>
      </c>
      <c r="B351" s="26"/>
      <c r="C351" s="26"/>
      <c r="D351" s="26">
        <v>1190</v>
      </c>
      <c r="E351" s="26">
        <v>1190</v>
      </c>
      <c r="F351" s="26">
        <v>1190</v>
      </c>
      <c r="G351" s="26">
        <v>1190</v>
      </c>
      <c r="H351" s="26"/>
      <c r="I351" s="26"/>
      <c r="J351" s="26">
        <v>1190</v>
      </c>
      <c r="K351" s="26">
        <v>1190</v>
      </c>
      <c r="L351" s="26">
        <v>1190</v>
      </c>
      <c r="M351" s="26">
        <v>1190</v>
      </c>
      <c r="N351" s="26"/>
      <c r="O351" s="26"/>
      <c r="P351" s="26">
        <v>1190</v>
      </c>
      <c r="Q351" s="26">
        <v>1190</v>
      </c>
      <c r="R351" s="26"/>
      <c r="S351" s="26"/>
      <c r="T351" s="26">
        <v>1190</v>
      </c>
      <c r="U351" s="26">
        <v>1190</v>
      </c>
      <c r="V351" s="26">
        <v>1190</v>
      </c>
      <c r="W351" s="26">
        <v>1190</v>
      </c>
      <c r="X351" s="32"/>
      <c r="Y351" s="32"/>
    </row>
    <row r="352" spans="1:25" x14ac:dyDescent="0.65">
      <c r="A352" s="108">
        <v>24</v>
      </c>
      <c r="B352" s="26">
        <v>1190</v>
      </c>
      <c r="C352" s="26">
        <v>1190</v>
      </c>
      <c r="D352" s="26">
        <v>1190</v>
      </c>
      <c r="E352" s="26">
        <v>1190</v>
      </c>
      <c r="F352" s="26">
        <v>1190</v>
      </c>
      <c r="G352" s="26">
        <v>1190</v>
      </c>
      <c r="H352" s="26">
        <v>1190</v>
      </c>
      <c r="I352" s="26">
        <v>1190</v>
      </c>
      <c r="J352" s="26">
        <v>1190</v>
      </c>
      <c r="K352" s="26">
        <v>1190</v>
      </c>
      <c r="L352" s="26"/>
      <c r="M352" s="26"/>
      <c r="N352" s="26">
        <v>1190</v>
      </c>
      <c r="O352" s="26">
        <v>1190</v>
      </c>
      <c r="P352" s="32">
        <v>1190</v>
      </c>
      <c r="Q352" s="32">
        <v>1190</v>
      </c>
      <c r="R352" s="32"/>
      <c r="S352" s="32"/>
      <c r="T352" s="26">
        <v>1190</v>
      </c>
      <c r="U352" s="26">
        <v>1190</v>
      </c>
      <c r="V352" s="26">
        <v>1190</v>
      </c>
      <c r="W352" s="26">
        <v>1190</v>
      </c>
      <c r="X352" s="26"/>
      <c r="Y352" s="26"/>
    </row>
    <row r="353" spans="1:27" x14ac:dyDescent="0.65">
      <c r="A353" s="108">
        <v>25</v>
      </c>
      <c r="B353" s="26">
        <v>1190</v>
      </c>
      <c r="C353" s="26">
        <v>1190</v>
      </c>
      <c r="D353" s="26">
        <v>1190</v>
      </c>
      <c r="E353" s="26">
        <v>1190</v>
      </c>
      <c r="F353" s="26"/>
      <c r="G353" s="26"/>
      <c r="H353" s="26">
        <v>1190</v>
      </c>
      <c r="I353" s="26">
        <v>1190</v>
      </c>
      <c r="J353" s="26">
        <v>1190</v>
      </c>
      <c r="K353" s="26">
        <v>1190</v>
      </c>
      <c r="L353" s="26"/>
      <c r="M353" s="26"/>
      <c r="N353" s="26">
        <v>1190</v>
      </c>
      <c r="O353" s="26">
        <v>1190</v>
      </c>
      <c r="P353" s="32">
        <v>1190</v>
      </c>
      <c r="Q353" s="32">
        <v>1190</v>
      </c>
      <c r="R353" s="32">
        <v>1190</v>
      </c>
      <c r="S353" s="32">
        <v>1190</v>
      </c>
      <c r="T353" s="26">
        <v>1190</v>
      </c>
      <c r="U353" s="26">
        <v>1190</v>
      </c>
      <c r="V353" s="26"/>
      <c r="W353" s="26"/>
      <c r="X353" s="26">
        <v>1190</v>
      </c>
      <c r="Y353" s="26">
        <v>1190</v>
      </c>
    </row>
    <row r="354" spans="1:27" x14ac:dyDescent="0.65">
      <c r="A354" s="108">
        <v>26</v>
      </c>
      <c r="B354" s="26">
        <v>1190</v>
      </c>
      <c r="C354" s="26">
        <v>1190</v>
      </c>
      <c r="D354" s="26"/>
      <c r="E354" s="26"/>
      <c r="F354" s="26"/>
      <c r="G354" s="26"/>
      <c r="H354" s="26">
        <v>1190</v>
      </c>
      <c r="I354" s="26">
        <v>1190</v>
      </c>
      <c r="J354" s="26">
        <v>1190</v>
      </c>
      <c r="K354" s="26">
        <v>1190</v>
      </c>
      <c r="L354" s="26">
        <v>1190</v>
      </c>
      <c r="M354" s="26">
        <v>1190</v>
      </c>
      <c r="N354" s="26">
        <v>1190</v>
      </c>
      <c r="O354" s="26">
        <v>1190</v>
      </c>
      <c r="P354" s="32"/>
      <c r="Q354" s="32"/>
      <c r="R354" s="32">
        <v>1190</v>
      </c>
      <c r="S354" s="32">
        <v>1190</v>
      </c>
      <c r="T354" s="26">
        <v>1190</v>
      </c>
      <c r="U354" s="26">
        <v>1190</v>
      </c>
      <c r="V354" s="26"/>
      <c r="W354" s="26"/>
      <c r="X354" s="32">
        <v>1190</v>
      </c>
      <c r="Y354" s="32">
        <v>1190</v>
      </c>
    </row>
    <row r="355" spans="1:27" x14ac:dyDescent="0.65">
      <c r="A355" s="108">
        <v>27</v>
      </c>
      <c r="B355" s="26">
        <v>1190</v>
      </c>
      <c r="C355" s="26">
        <v>1190</v>
      </c>
      <c r="D355" s="26"/>
      <c r="E355" s="26"/>
      <c r="F355" s="26">
        <v>1190</v>
      </c>
      <c r="G355" s="26">
        <v>1190</v>
      </c>
      <c r="H355" s="26">
        <v>1190</v>
      </c>
      <c r="I355" s="26">
        <v>1190</v>
      </c>
      <c r="J355" s="26"/>
      <c r="K355" s="26"/>
      <c r="L355" s="26">
        <v>1190</v>
      </c>
      <c r="M355" s="26">
        <v>1190</v>
      </c>
      <c r="N355" s="26">
        <v>1190</v>
      </c>
      <c r="O355" s="26">
        <v>1190</v>
      </c>
      <c r="P355" s="32"/>
      <c r="Q355" s="32"/>
      <c r="R355" s="32">
        <v>1190</v>
      </c>
      <c r="S355" s="32">
        <v>1190</v>
      </c>
      <c r="T355" s="26">
        <v>1190</v>
      </c>
      <c r="U355" s="26">
        <v>1190</v>
      </c>
      <c r="V355" s="26">
        <v>1190</v>
      </c>
      <c r="W355" s="26">
        <v>1190</v>
      </c>
      <c r="X355" s="26">
        <v>1190</v>
      </c>
      <c r="Y355" s="26">
        <v>1190</v>
      </c>
    </row>
    <row r="356" spans="1:27" x14ac:dyDescent="0.65">
      <c r="A356" s="108">
        <v>28</v>
      </c>
      <c r="B356" s="26">
        <v>1190</v>
      </c>
      <c r="C356" s="26">
        <v>1190</v>
      </c>
      <c r="D356" s="26">
        <v>1190</v>
      </c>
      <c r="E356" s="26">
        <v>1190</v>
      </c>
      <c r="F356" s="26">
        <v>1190</v>
      </c>
      <c r="G356" s="26">
        <v>1190</v>
      </c>
      <c r="H356" s="26">
        <v>1190</v>
      </c>
      <c r="I356" s="26">
        <v>1190</v>
      </c>
      <c r="J356" s="26"/>
      <c r="K356" s="26"/>
      <c r="L356" s="26">
        <v>1190</v>
      </c>
      <c r="M356" s="26">
        <v>1190</v>
      </c>
      <c r="N356" s="26">
        <v>1190</v>
      </c>
      <c r="O356" s="26">
        <v>1190</v>
      </c>
      <c r="P356" s="32">
        <v>1190</v>
      </c>
      <c r="Q356" s="32">
        <v>1190</v>
      </c>
      <c r="R356" s="32">
        <v>1190</v>
      </c>
      <c r="S356" s="32">
        <v>1190</v>
      </c>
      <c r="T356" s="26"/>
      <c r="U356" s="26"/>
      <c r="V356" s="26">
        <v>1190</v>
      </c>
      <c r="W356" s="26">
        <v>1190</v>
      </c>
      <c r="X356" s="32">
        <v>1190</v>
      </c>
      <c r="Y356" s="32">
        <v>1190</v>
      </c>
    </row>
    <row r="357" spans="1:27" x14ac:dyDescent="0.65">
      <c r="A357" s="108">
        <v>29</v>
      </c>
      <c r="B357" s="26"/>
      <c r="C357" s="26"/>
      <c r="D357" s="27">
        <v>1190</v>
      </c>
      <c r="E357" s="27">
        <v>1190</v>
      </c>
      <c r="F357" s="26">
        <v>1190</v>
      </c>
      <c r="G357" s="26">
        <v>1190</v>
      </c>
      <c r="H357" s="26"/>
      <c r="I357" s="26"/>
      <c r="J357" s="26">
        <v>1190</v>
      </c>
      <c r="K357" s="26">
        <v>1190</v>
      </c>
      <c r="L357" s="26">
        <v>1190</v>
      </c>
      <c r="M357" s="26">
        <v>1190</v>
      </c>
      <c r="N357" s="26"/>
      <c r="O357" s="26"/>
      <c r="P357" s="32">
        <v>1190</v>
      </c>
      <c r="Q357" s="32">
        <v>1190</v>
      </c>
      <c r="R357" s="32">
        <v>1190</v>
      </c>
      <c r="S357" s="32">
        <v>1190</v>
      </c>
      <c r="T357" s="26"/>
      <c r="U357" s="26"/>
      <c r="V357" s="26">
        <v>1190</v>
      </c>
      <c r="W357" s="26">
        <v>1190</v>
      </c>
      <c r="X357" s="32">
        <v>1190</v>
      </c>
      <c r="Y357" s="32">
        <v>1190</v>
      </c>
    </row>
    <row r="358" spans="1:27" x14ac:dyDescent="0.65">
      <c r="A358" s="108">
        <v>30</v>
      </c>
      <c r="B358" s="26"/>
      <c r="C358" s="26"/>
      <c r="D358" s="26"/>
      <c r="E358" s="26"/>
      <c r="F358" s="26">
        <v>1190</v>
      </c>
      <c r="G358" s="26">
        <v>1190</v>
      </c>
      <c r="H358" s="26"/>
      <c r="I358" s="26"/>
      <c r="J358" s="26">
        <v>1190</v>
      </c>
      <c r="K358" s="26">
        <v>1190</v>
      </c>
      <c r="L358" s="26">
        <v>1190</v>
      </c>
      <c r="M358" s="26">
        <v>1190</v>
      </c>
      <c r="N358" s="26"/>
      <c r="O358" s="26"/>
      <c r="P358" s="26">
        <v>1190</v>
      </c>
      <c r="Q358" s="26">
        <v>1190</v>
      </c>
      <c r="R358" s="26"/>
      <c r="S358" s="26"/>
      <c r="T358" s="26">
        <v>1190</v>
      </c>
      <c r="U358" s="26">
        <v>1190</v>
      </c>
      <c r="V358" s="26">
        <v>1190</v>
      </c>
      <c r="W358" s="26">
        <v>1190</v>
      </c>
      <c r="X358" s="32"/>
      <c r="Y358" s="32"/>
    </row>
    <row r="359" spans="1:27" ht="25.5" thickBot="1" x14ac:dyDescent="0.7">
      <c r="A359" s="109">
        <v>31</v>
      </c>
      <c r="B359" s="32">
        <v>1190</v>
      </c>
      <c r="C359" s="32">
        <v>1190</v>
      </c>
      <c r="D359" s="56"/>
      <c r="E359" s="56"/>
      <c r="F359" s="32">
        <v>1190</v>
      </c>
      <c r="G359" s="32">
        <v>1190</v>
      </c>
      <c r="H359" s="54"/>
      <c r="I359" s="54"/>
      <c r="J359" s="30">
        <v>1190</v>
      </c>
      <c r="K359" s="30">
        <v>1190</v>
      </c>
      <c r="L359" s="52"/>
      <c r="M359" s="52"/>
      <c r="N359" s="32">
        <v>1190</v>
      </c>
      <c r="O359" s="32">
        <v>1190</v>
      </c>
      <c r="P359" s="32">
        <v>1190</v>
      </c>
      <c r="Q359" s="32">
        <v>1190</v>
      </c>
      <c r="R359" s="32"/>
      <c r="S359" s="32"/>
      <c r="T359" s="32">
        <v>1190</v>
      </c>
      <c r="U359" s="32">
        <v>1190</v>
      </c>
      <c r="V359" s="30"/>
      <c r="W359" s="30"/>
      <c r="X359" s="32"/>
      <c r="Y359" s="32"/>
    </row>
    <row r="360" spans="1:27" ht="25.5" thickBot="1" x14ac:dyDescent="0.7">
      <c r="A360" s="17" t="s">
        <v>15</v>
      </c>
      <c r="B360" s="197">
        <f>AVERAGE(B329:B359)</f>
        <v>1190</v>
      </c>
      <c r="C360" s="197">
        <f t="shared" ref="C360:Y360" si="30">AVERAGE(C329:C359)</f>
        <v>1190</v>
      </c>
      <c r="D360" s="197">
        <f t="shared" si="30"/>
        <v>1190</v>
      </c>
      <c r="E360" s="197">
        <f t="shared" si="30"/>
        <v>1190</v>
      </c>
      <c r="F360" s="197">
        <f t="shared" si="30"/>
        <v>1190</v>
      </c>
      <c r="G360" s="197">
        <f t="shared" si="30"/>
        <v>1190</v>
      </c>
      <c r="H360" s="197">
        <f t="shared" si="30"/>
        <v>1190</v>
      </c>
      <c r="I360" s="197">
        <f t="shared" si="30"/>
        <v>1190</v>
      </c>
      <c r="J360" s="197">
        <f t="shared" si="30"/>
        <v>1190</v>
      </c>
      <c r="K360" s="197">
        <f t="shared" si="30"/>
        <v>1190</v>
      </c>
      <c r="L360" s="197">
        <f t="shared" si="30"/>
        <v>1190</v>
      </c>
      <c r="M360" s="197">
        <f t="shared" si="30"/>
        <v>1190</v>
      </c>
      <c r="N360" s="197">
        <f t="shared" si="30"/>
        <v>1190</v>
      </c>
      <c r="O360" s="197">
        <f t="shared" si="30"/>
        <v>1190</v>
      </c>
      <c r="P360" s="197">
        <f t="shared" si="30"/>
        <v>1190</v>
      </c>
      <c r="Q360" s="197">
        <f t="shared" si="30"/>
        <v>1190</v>
      </c>
      <c r="R360" s="197">
        <f t="shared" si="30"/>
        <v>1190</v>
      </c>
      <c r="S360" s="197">
        <f t="shared" si="30"/>
        <v>1190</v>
      </c>
      <c r="T360" s="197">
        <f t="shared" si="30"/>
        <v>1190</v>
      </c>
      <c r="U360" s="197">
        <f t="shared" si="30"/>
        <v>1190</v>
      </c>
      <c r="V360" s="197">
        <f t="shared" si="30"/>
        <v>1190</v>
      </c>
      <c r="W360" s="197">
        <f t="shared" si="30"/>
        <v>1190</v>
      </c>
      <c r="X360" s="197">
        <f t="shared" si="30"/>
        <v>1190</v>
      </c>
      <c r="Y360" s="197">
        <f t="shared" si="30"/>
        <v>1190</v>
      </c>
      <c r="Z360" s="57"/>
      <c r="AA360" s="57"/>
    </row>
    <row r="361" spans="1:27" ht="42" customHeight="1" x14ac:dyDescent="0.65">
      <c r="A361" s="224" t="s">
        <v>33</v>
      </c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 spans="1:27" ht="24.75" customHeight="1" thickBot="1" x14ac:dyDescent="0.7">
      <c r="A362" s="225" t="s">
        <v>71</v>
      </c>
      <c r="B362" s="225"/>
      <c r="C362" s="225"/>
      <c r="D362" s="225"/>
      <c r="E362" s="225"/>
      <c r="F362" s="225"/>
      <c r="G362" s="225"/>
      <c r="H362" s="225"/>
      <c r="I362" s="225"/>
      <c r="J362" s="225"/>
      <c r="K362" s="225"/>
      <c r="L362" s="225"/>
      <c r="M362" s="225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</row>
    <row r="363" spans="1:27" ht="25.5" thickBot="1" x14ac:dyDescent="0.7">
      <c r="A363" s="226" t="s">
        <v>2</v>
      </c>
      <c r="B363" s="228" t="s">
        <v>3</v>
      </c>
      <c r="C363" s="229"/>
      <c r="D363" s="228" t="s">
        <v>4</v>
      </c>
      <c r="E363" s="229"/>
      <c r="F363" s="228" t="s">
        <v>5</v>
      </c>
      <c r="G363" s="229"/>
      <c r="H363" s="228" t="s">
        <v>6</v>
      </c>
      <c r="I363" s="229"/>
      <c r="J363" s="228" t="s">
        <v>7</v>
      </c>
      <c r="K363" s="229"/>
      <c r="L363" s="228" t="s">
        <v>8</v>
      </c>
      <c r="M363" s="229"/>
      <c r="N363" s="228" t="s">
        <v>9</v>
      </c>
      <c r="O363" s="229"/>
      <c r="P363" s="228" t="s">
        <v>10</v>
      </c>
      <c r="Q363" s="229"/>
      <c r="R363" s="228" t="s">
        <v>11</v>
      </c>
      <c r="S363" s="229"/>
      <c r="T363" s="228" t="s">
        <v>12</v>
      </c>
      <c r="U363" s="229"/>
      <c r="V363" s="228" t="s">
        <v>21</v>
      </c>
      <c r="W363" s="229"/>
      <c r="X363" s="228" t="s">
        <v>14</v>
      </c>
      <c r="Y363" s="229"/>
    </row>
    <row r="364" spans="1:27" ht="25.5" thickBot="1" x14ac:dyDescent="0.7">
      <c r="A364" s="227"/>
      <c r="B364" s="17" t="s">
        <v>74</v>
      </c>
      <c r="C364" s="17" t="s">
        <v>75</v>
      </c>
      <c r="D364" s="17" t="s">
        <v>74</v>
      </c>
      <c r="E364" s="17" t="s">
        <v>75</v>
      </c>
      <c r="F364" s="17" t="s">
        <v>74</v>
      </c>
      <c r="G364" s="17" t="s">
        <v>75</v>
      </c>
      <c r="H364" s="17" t="s">
        <v>74</v>
      </c>
      <c r="I364" s="17" t="s">
        <v>75</v>
      </c>
      <c r="J364" s="17" t="s">
        <v>74</v>
      </c>
      <c r="K364" s="17" t="s">
        <v>75</v>
      </c>
      <c r="L364" s="17" t="s">
        <v>74</v>
      </c>
      <c r="M364" s="17" t="s">
        <v>75</v>
      </c>
      <c r="N364" s="17" t="s">
        <v>74</v>
      </c>
      <c r="O364" s="17" t="s">
        <v>75</v>
      </c>
      <c r="P364" s="17" t="s">
        <v>74</v>
      </c>
      <c r="Q364" s="17" t="s">
        <v>75</v>
      </c>
      <c r="R364" s="17" t="s">
        <v>74</v>
      </c>
      <c r="S364" s="17" t="s">
        <v>75</v>
      </c>
      <c r="T364" s="17" t="s">
        <v>74</v>
      </c>
      <c r="U364" s="17" t="s">
        <v>75</v>
      </c>
      <c r="V364" s="17" t="s">
        <v>74</v>
      </c>
      <c r="W364" s="17" t="s">
        <v>75</v>
      </c>
      <c r="X364" s="17" t="s">
        <v>74</v>
      </c>
      <c r="Y364" s="17" t="s">
        <v>75</v>
      </c>
    </row>
    <row r="365" spans="1:27" x14ac:dyDescent="0.65">
      <c r="A365" s="39">
        <v>1</v>
      </c>
      <c r="B365" s="32"/>
      <c r="C365" s="62"/>
      <c r="D365" s="32">
        <v>1190</v>
      </c>
      <c r="E365" s="30">
        <v>1190</v>
      </c>
      <c r="F365" s="32">
        <v>1190</v>
      </c>
      <c r="G365" s="30">
        <v>1190</v>
      </c>
      <c r="H365" s="32">
        <v>1190</v>
      </c>
      <c r="I365" s="32">
        <v>1190</v>
      </c>
      <c r="J365" s="30"/>
      <c r="K365" s="30"/>
      <c r="L365" s="32">
        <v>1190</v>
      </c>
      <c r="M365" s="32">
        <v>1190</v>
      </c>
      <c r="N365" s="32"/>
      <c r="O365" s="32"/>
      <c r="P365" s="32">
        <v>1190</v>
      </c>
      <c r="Q365" s="32">
        <v>1190</v>
      </c>
      <c r="R365" s="32"/>
      <c r="S365" s="32"/>
      <c r="T365" s="32"/>
      <c r="U365" s="32"/>
      <c r="V365" s="30">
        <v>1190</v>
      </c>
      <c r="W365" s="30">
        <v>1190</v>
      </c>
      <c r="X365" s="32"/>
      <c r="Y365" s="32"/>
    </row>
    <row r="366" spans="1:27" x14ac:dyDescent="0.65">
      <c r="A366" s="108">
        <v>2</v>
      </c>
      <c r="B366" s="26">
        <v>1190</v>
      </c>
      <c r="C366" s="26">
        <v>1190</v>
      </c>
      <c r="D366" s="26">
        <v>1190</v>
      </c>
      <c r="E366" s="26">
        <v>1190</v>
      </c>
      <c r="F366" s="26">
        <v>1190</v>
      </c>
      <c r="G366" s="26">
        <v>1190</v>
      </c>
      <c r="H366" s="26">
        <v>1190</v>
      </c>
      <c r="I366" s="26">
        <v>1190</v>
      </c>
      <c r="J366" s="26">
        <v>1190</v>
      </c>
      <c r="K366" s="26">
        <v>1190</v>
      </c>
      <c r="L366" s="26"/>
      <c r="M366" s="26"/>
      <c r="N366" s="26">
        <v>1190</v>
      </c>
      <c r="O366" s="26">
        <v>1190</v>
      </c>
      <c r="P366" s="26">
        <v>1190</v>
      </c>
      <c r="Q366" s="26">
        <v>1190</v>
      </c>
      <c r="R366" s="26"/>
      <c r="S366" s="26"/>
      <c r="T366" s="26">
        <v>1190</v>
      </c>
      <c r="U366" s="26">
        <v>1190</v>
      </c>
      <c r="V366" s="26">
        <v>1190</v>
      </c>
      <c r="W366" s="26">
        <v>1190</v>
      </c>
      <c r="X366" s="32"/>
      <c r="Y366" s="32"/>
    </row>
    <row r="367" spans="1:27" x14ac:dyDescent="0.65">
      <c r="A367" s="108">
        <v>3</v>
      </c>
      <c r="B367" s="26">
        <v>1190</v>
      </c>
      <c r="C367" s="26">
        <v>1190</v>
      </c>
      <c r="D367" s="26"/>
      <c r="E367" s="26"/>
      <c r="F367" s="26"/>
      <c r="G367" s="26"/>
      <c r="H367" s="26">
        <v>1190</v>
      </c>
      <c r="I367" s="26">
        <v>1190</v>
      </c>
      <c r="J367" s="26">
        <v>1190</v>
      </c>
      <c r="K367" s="26">
        <v>1190</v>
      </c>
      <c r="L367" s="26"/>
      <c r="M367" s="26"/>
      <c r="N367" s="26">
        <v>1190</v>
      </c>
      <c r="O367" s="26">
        <v>1190</v>
      </c>
      <c r="P367" s="32">
        <v>1190</v>
      </c>
      <c r="Q367" s="32">
        <v>1190</v>
      </c>
      <c r="R367" s="32"/>
      <c r="S367" s="32"/>
      <c r="T367" s="26">
        <v>1190</v>
      </c>
      <c r="U367" s="26">
        <v>1190</v>
      </c>
      <c r="V367" s="26"/>
      <c r="W367" s="26"/>
      <c r="X367" s="32">
        <v>1190</v>
      </c>
      <c r="Y367" s="32">
        <v>1190</v>
      </c>
    </row>
    <row r="368" spans="1:27" x14ac:dyDescent="0.65">
      <c r="A368" s="108">
        <v>4</v>
      </c>
      <c r="B368" s="26">
        <v>1190</v>
      </c>
      <c r="C368" s="26">
        <v>1190</v>
      </c>
      <c r="D368" s="26"/>
      <c r="E368" s="26"/>
      <c r="F368" s="26"/>
      <c r="G368" s="26"/>
      <c r="H368" s="26">
        <v>1190</v>
      </c>
      <c r="I368" s="26">
        <v>1190</v>
      </c>
      <c r="J368" s="26">
        <v>1190</v>
      </c>
      <c r="K368" s="26">
        <v>1190</v>
      </c>
      <c r="L368" s="26">
        <v>1190</v>
      </c>
      <c r="M368" s="26">
        <v>1190</v>
      </c>
      <c r="N368" s="26">
        <v>1190</v>
      </c>
      <c r="O368" s="26">
        <v>1190</v>
      </c>
      <c r="P368" s="32"/>
      <c r="Q368" s="32"/>
      <c r="R368" s="32"/>
      <c r="S368" s="32"/>
      <c r="T368" s="26">
        <v>1190</v>
      </c>
      <c r="U368" s="26">
        <v>1190</v>
      </c>
      <c r="V368" s="26"/>
      <c r="W368" s="26"/>
      <c r="X368" s="32">
        <v>1190</v>
      </c>
      <c r="Y368" s="32">
        <v>1190</v>
      </c>
    </row>
    <row r="369" spans="1:25" x14ac:dyDescent="0.65">
      <c r="A369" s="108">
        <v>5</v>
      </c>
      <c r="B369" s="26">
        <v>1190</v>
      </c>
      <c r="C369" s="26">
        <v>1190</v>
      </c>
      <c r="D369" s="26">
        <v>1190</v>
      </c>
      <c r="E369" s="26">
        <v>1190</v>
      </c>
      <c r="F369" s="26">
        <v>1190</v>
      </c>
      <c r="G369" s="26">
        <v>1190</v>
      </c>
      <c r="H369" s="26">
        <v>1190</v>
      </c>
      <c r="I369" s="26">
        <v>1190</v>
      </c>
      <c r="J369" s="26"/>
      <c r="K369" s="26"/>
      <c r="L369" s="26">
        <v>1190</v>
      </c>
      <c r="M369" s="26">
        <v>1190</v>
      </c>
      <c r="N369" s="26">
        <v>1190</v>
      </c>
      <c r="O369" s="26">
        <v>1190</v>
      </c>
      <c r="P369" s="32"/>
      <c r="Q369" s="32"/>
      <c r="R369" s="32"/>
      <c r="S369" s="32"/>
      <c r="T369" s="26">
        <v>1190</v>
      </c>
      <c r="U369" s="26">
        <v>1190</v>
      </c>
      <c r="V369" s="26">
        <v>1190</v>
      </c>
      <c r="W369" s="26">
        <v>1190</v>
      </c>
      <c r="X369" s="32">
        <v>1190</v>
      </c>
      <c r="Y369" s="32">
        <v>1190</v>
      </c>
    </row>
    <row r="370" spans="1:25" x14ac:dyDescent="0.65">
      <c r="A370" s="108">
        <v>6</v>
      </c>
      <c r="B370" s="26"/>
      <c r="C370" s="26"/>
      <c r="D370" s="26">
        <v>1190</v>
      </c>
      <c r="E370" s="26">
        <v>1190</v>
      </c>
      <c r="F370" s="26">
        <v>1190</v>
      </c>
      <c r="G370" s="26">
        <v>1190</v>
      </c>
      <c r="H370" s="26"/>
      <c r="I370" s="26"/>
      <c r="J370" s="26"/>
      <c r="K370" s="26"/>
      <c r="L370" s="26">
        <v>1190</v>
      </c>
      <c r="M370" s="26">
        <v>1190</v>
      </c>
      <c r="N370" s="26">
        <v>1190</v>
      </c>
      <c r="O370" s="26">
        <v>1190</v>
      </c>
      <c r="P370" s="32">
        <v>1190</v>
      </c>
      <c r="Q370" s="32">
        <v>1190</v>
      </c>
      <c r="R370" s="32">
        <v>1190</v>
      </c>
      <c r="S370" s="32">
        <v>1190</v>
      </c>
      <c r="T370" s="26"/>
      <c r="U370" s="26"/>
      <c r="V370" s="26">
        <v>1190</v>
      </c>
      <c r="W370" s="26">
        <v>1190</v>
      </c>
      <c r="X370" s="26">
        <v>1190</v>
      </c>
      <c r="Y370" s="26">
        <v>1190</v>
      </c>
    </row>
    <row r="371" spans="1:25" x14ac:dyDescent="0.65">
      <c r="A371" s="108">
        <v>7</v>
      </c>
      <c r="B371" s="26"/>
      <c r="C371" s="26"/>
      <c r="D371" s="26">
        <v>1190</v>
      </c>
      <c r="E371" s="26">
        <v>1190</v>
      </c>
      <c r="F371" s="26">
        <v>1190</v>
      </c>
      <c r="G371" s="26">
        <v>1190</v>
      </c>
      <c r="H371" s="26"/>
      <c r="I371" s="26"/>
      <c r="J371" s="26">
        <v>1190</v>
      </c>
      <c r="K371" s="26">
        <v>1190</v>
      </c>
      <c r="L371" s="26">
        <v>1190</v>
      </c>
      <c r="M371" s="26">
        <v>1190</v>
      </c>
      <c r="N371" s="26"/>
      <c r="O371" s="26"/>
      <c r="P371" s="32"/>
      <c r="Q371" s="32"/>
      <c r="R371" s="32">
        <v>1190</v>
      </c>
      <c r="S371" s="32">
        <v>1190</v>
      </c>
      <c r="T371" s="26"/>
      <c r="U371" s="26"/>
      <c r="V371" s="26">
        <v>1190</v>
      </c>
      <c r="W371" s="26">
        <v>1190</v>
      </c>
      <c r="X371" s="32">
        <v>1190</v>
      </c>
      <c r="Y371" s="32">
        <v>1190</v>
      </c>
    </row>
    <row r="372" spans="1:25" x14ac:dyDescent="0.65">
      <c r="A372" s="108">
        <v>8</v>
      </c>
      <c r="B372" s="26">
        <v>1190</v>
      </c>
      <c r="C372" s="26">
        <v>1190</v>
      </c>
      <c r="D372" s="26">
        <v>1190</v>
      </c>
      <c r="E372" s="26">
        <v>1190</v>
      </c>
      <c r="F372" s="26">
        <v>1190</v>
      </c>
      <c r="G372" s="26">
        <v>1190</v>
      </c>
      <c r="H372" s="26">
        <v>1190</v>
      </c>
      <c r="I372" s="26">
        <v>1190</v>
      </c>
      <c r="J372" s="26">
        <v>1190</v>
      </c>
      <c r="K372" s="26">
        <v>1190</v>
      </c>
      <c r="L372" s="26">
        <v>1190</v>
      </c>
      <c r="M372" s="26">
        <v>1190</v>
      </c>
      <c r="N372" s="26"/>
      <c r="O372" s="26"/>
      <c r="P372" s="32">
        <v>1190</v>
      </c>
      <c r="Q372" s="32">
        <v>1190</v>
      </c>
      <c r="R372" s="32"/>
      <c r="S372" s="32"/>
      <c r="T372" s="26">
        <v>1190</v>
      </c>
      <c r="U372" s="26">
        <v>1190</v>
      </c>
      <c r="V372" s="26">
        <v>1190</v>
      </c>
      <c r="W372" s="26">
        <v>1190</v>
      </c>
      <c r="X372" s="32"/>
      <c r="Y372" s="32"/>
    </row>
    <row r="373" spans="1:25" x14ac:dyDescent="0.65">
      <c r="A373" s="108">
        <v>9</v>
      </c>
      <c r="B373" s="26">
        <v>1190</v>
      </c>
      <c r="C373" s="26">
        <v>1190</v>
      </c>
      <c r="D373" s="26">
        <v>1190</v>
      </c>
      <c r="E373" s="26">
        <v>1190</v>
      </c>
      <c r="F373" s="26">
        <v>1190</v>
      </c>
      <c r="G373" s="26">
        <v>1190</v>
      </c>
      <c r="H373" s="26">
        <v>1190</v>
      </c>
      <c r="I373" s="26">
        <v>1190</v>
      </c>
      <c r="J373" s="26">
        <v>1190</v>
      </c>
      <c r="K373" s="26">
        <v>1190</v>
      </c>
      <c r="L373" s="26"/>
      <c r="M373" s="26"/>
      <c r="N373" s="26">
        <v>1190</v>
      </c>
      <c r="O373" s="26">
        <v>1190</v>
      </c>
      <c r="P373" s="26">
        <v>1190</v>
      </c>
      <c r="Q373" s="26">
        <v>1190</v>
      </c>
      <c r="R373" s="26"/>
      <c r="S373" s="26"/>
      <c r="T373" s="26">
        <v>1190</v>
      </c>
      <c r="U373" s="26">
        <v>1190</v>
      </c>
      <c r="V373" s="26">
        <v>1190</v>
      </c>
      <c r="W373" s="26">
        <v>1190</v>
      </c>
      <c r="X373" s="32"/>
      <c r="Y373" s="32"/>
    </row>
    <row r="374" spans="1:25" x14ac:dyDescent="0.65">
      <c r="A374" s="108">
        <v>10</v>
      </c>
      <c r="B374" s="26">
        <v>1190</v>
      </c>
      <c r="C374" s="26">
        <v>1190</v>
      </c>
      <c r="D374" s="26"/>
      <c r="E374" s="26"/>
      <c r="F374" s="26"/>
      <c r="G374" s="26"/>
      <c r="H374" s="26">
        <v>1190</v>
      </c>
      <c r="I374" s="26">
        <v>1190</v>
      </c>
      <c r="J374" s="26">
        <v>1190</v>
      </c>
      <c r="K374" s="26">
        <v>1190</v>
      </c>
      <c r="L374" s="26"/>
      <c r="M374" s="26"/>
      <c r="N374" s="26">
        <v>1190</v>
      </c>
      <c r="O374" s="26">
        <v>1190</v>
      </c>
      <c r="P374" s="32"/>
      <c r="Q374" s="32"/>
      <c r="R374" s="32">
        <v>1190</v>
      </c>
      <c r="S374" s="32">
        <v>1190</v>
      </c>
      <c r="T374" s="26">
        <v>1190</v>
      </c>
      <c r="U374" s="26">
        <v>1190</v>
      </c>
      <c r="V374" s="26"/>
      <c r="W374" s="26"/>
      <c r="X374" s="32"/>
      <c r="Y374" s="32"/>
    </row>
    <row r="375" spans="1:25" x14ac:dyDescent="0.65">
      <c r="A375" s="108">
        <v>11</v>
      </c>
      <c r="B375" s="26">
        <v>1190</v>
      </c>
      <c r="C375" s="26">
        <v>1190</v>
      </c>
      <c r="D375" s="26"/>
      <c r="E375" s="26"/>
      <c r="F375" s="26"/>
      <c r="G375" s="26"/>
      <c r="H375" s="26">
        <v>1190</v>
      </c>
      <c r="I375" s="26">
        <v>1190</v>
      </c>
      <c r="J375" s="26">
        <v>1190</v>
      </c>
      <c r="K375" s="26">
        <v>1190</v>
      </c>
      <c r="L375" s="26">
        <v>1190</v>
      </c>
      <c r="M375" s="26">
        <v>1190</v>
      </c>
      <c r="N375" s="26"/>
      <c r="O375" s="26"/>
      <c r="P375" s="32"/>
      <c r="Q375" s="32"/>
      <c r="R375" s="32">
        <v>1190</v>
      </c>
      <c r="S375" s="32">
        <v>1190</v>
      </c>
      <c r="T375" s="26">
        <v>1190</v>
      </c>
      <c r="U375" s="26">
        <v>1190</v>
      </c>
      <c r="V375" s="26"/>
      <c r="W375" s="26"/>
      <c r="X375" s="32">
        <v>1190</v>
      </c>
      <c r="Y375" s="32">
        <v>1190</v>
      </c>
    </row>
    <row r="376" spans="1:25" x14ac:dyDescent="0.65">
      <c r="A376" s="108">
        <v>12</v>
      </c>
      <c r="B376" s="26">
        <v>1190</v>
      </c>
      <c r="C376" s="26">
        <v>1190</v>
      </c>
      <c r="D376" s="26">
        <v>1190</v>
      </c>
      <c r="E376" s="26">
        <v>1190</v>
      </c>
      <c r="F376" s="26">
        <v>1190</v>
      </c>
      <c r="G376" s="26">
        <v>1190</v>
      </c>
      <c r="H376" s="26">
        <v>1190</v>
      </c>
      <c r="I376" s="26">
        <v>1190</v>
      </c>
      <c r="J376" s="26"/>
      <c r="K376" s="26"/>
      <c r="L376" s="26">
        <v>1190</v>
      </c>
      <c r="M376" s="26">
        <v>1190</v>
      </c>
      <c r="N376" s="26">
        <v>1190</v>
      </c>
      <c r="O376" s="26">
        <v>1190</v>
      </c>
      <c r="P376" s="32"/>
      <c r="Q376" s="32"/>
      <c r="R376" s="32">
        <v>1190</v>
      </c>
      <c r="S376" s="32">
        <v>1190</v>
      </c>
      <c r="T376" s="26">
        <v>1190</v>
      </c>
      <c r="U376" s="26">
        <v>1190</v>
      </c>
      <c r="V376" s="26">
        <v>1190</v>
      </c>
      <c r="W376" s="26">
        <v>1190</v>
      </c>
      <c r="X376" s="32">
        <v>1190</v>
      </c>
      <c r="Y376" s="32">
        <v>1190</v>
      </c>
    </row>
    <row r="377" spans="1:25" x14ac:dyDescent="0.65">
      <c r="A377" s="108">
        <v>13</v>
      </c>
      <c r="B377" s="26"/>
      <c r="C377" s="26"/>
      <c r="D377" s="26">
        <v>1190</v>
      </c>
      <c r="E377" s="26">
        <v>1190</v>
      </c>
      <c r="F377" s="26">
        <v>1190</v>
      </c>
      <c r="G377" s="26">
        <v>1190</v>
      </c>
      <c r="H377" s="26"/>
      <c r="I377" s="26"/>
      <c r="J377" s="26"/>
      <c r="K377" s="26"/>
      <c r="L377" s="26">
        <v>1190</v>
      </c>
      <c r="M377" s="26">
        <v>1190</v>
      </c>
      <c r="N377" s="26">
        <v>1190</v>
      </c>
      <c r="O377" s="26">
        <v>1190</v>
      </c>
      <c r="P377" s="32">
        <v>1190</v>
      </c>
      <c r="Q377" s="32">
        <v>1190</v>
      </c>
      <c r="R377" s="32">
        <v>1190</v>
      </c>
      <c r="S377" s="32">
        <v>1190</v>
      </c>
      <c r="T377" s="26"/>
      <c r="U377" s="26"/>
      <c r="V377" s="26">
        <v>1190</v>
      </c>
      <c r="W377" s="26">
        <v>1190</v>
      </c>
      <c r="X377" s="26">
        <v>1190</v>
      </c>
      <c r="Y377" s="26">
        <v>1190</v>
      </c>
    </row>
    <row r="378" spans="1:25" x14ac:dyDescent="0.65">
      <c r="A378" s="108">
        <v>14</v>
      </c>
      <c r="B378" s="26"/>
      <c r="C378" s="26"/>
      <c r="D378" s="26">
        <v>1190</v>
      </c>
      <c r="E378" s="26">
        <v>1190</v>
      </c>
      <c r="F378" s="26">
        <v>1190</v>
      </c>
      <c r="G378" s="26">
        <v>1190</v>
      </c>
      <c r="H378" s="26"/>
      <c r="I378" s="26"/>
      <c r="J378" s="26">
        <v>1190</v>
      </c>
      <c r="K378" s="26">
        <v>1190</v>
      </c>
      <c r="L378" s="26">
        <v>1190</v>
      </c>
      <c r="M378" s="26">
        <v>1190</v>
      </c>
      <c r="N378" s="26"/>
      <c r="O378" s="26"/>
      <c r="P378" s="32">
        <v>1190</v>
      </c>
      <c r="Q378" s="32">
        <v>1190</v>
      </c>
      <c r="R378" s="32">
        <v>1190</v>
      </c>
      <c r="S378" s="32">
        <v>1190</v>
      </c>
      <c r="T378" s="26"/>
      <c r="U378" s="26"/>
      <c r="V378" s="26">
        <v>1190</v>
      </c>
      <c r="W378" s="26">
        <v>1190</v>
      </c>
      <c r="X378" s="32">
        <v>1190</v>
      </c>
      <c r="Y378" s="32">
        <v>1190</v>
      </c>
    </row>
    <row r="379" spans="1:25" x14ac:dyDescent="0.65">
      <c r="A379" s="108">
        <v>15</v>
      </c>
      <c r="B379" s="26">
        <v>1190</v>
      </c>
      <c r="C379" s="26">
        <v>1190</v>
      </c>
      <c r="D379" s="26">
        <v>1190</v>
      </c>
      <c r="E379" s="26">
        <v>1190</v>
      </c>
      <c r="F379" s="26">
        <v>1190</v>
      </c>
      <c r="G379" s="26">
        <v>1190</v>
      </c>
      <c r="H379" s="26">
        <v>1190</v>
      </c>
      <c r="I379" s="26">
        <v>1190</v>
      </c>
      <c r="J379" s="26">
        <v>1190</v>
      </c>
      <c r="K379" s="26">
        <v>1190</v>
      </c>
      <c r="L379" s="26">
        <v>1190</v>
      </c>
      <c r="M379" s="26">
        <v>1190</v>
      </c>
      <c r="N379" s="26"/>
      <c r="O379" s="26"/>
      <c r="P379" s="32">
        <v>1190</v>
      </c>
      <c r="Q379" s="32">
        <v>1190</v>
      </c>
      <c r="R379" s="32"/>
      <c r="S379" s="32"/>
      <c r="T379" s="26">
        <v>1190</v>
      </c>
      <c r="U379" s="26">
        <v>1190</v>
      </c>
      <c r="V379" s="26">
        <v>1190</v>
      </c>
      <c r="W379" s="26">
        <v>1190</v>
      </c>
      <c r="X379" s="32"/>
      <c r="Y379" s="32"/>
    </row>
    <row r="380" spans="1:25" x14ac:dyDescent="0.65">
      <c r="A380" s="108">
        <v>16</v>
      </c>
      <c r="B380" s="26">
        <v>1190</v>
      </c>
      <c r="C380" s="26">
        <v>1190</v>
      </c>
      <c r="D380" s="26">
        <v>1190</v>
      </c>
      <c r="E380" s="26">
        <v>1190</v>
      </c>
      <c r="F380" s="26">
        <v>1190</v>
      </c>
      <c r="G380" s="26">
        <v>1190</v>
      </c>
      <c r="H380" s="26">
        <v>1190</v>
      </c>
      <c r="I380" s="26">
        <v>1190</v>
      </c>
      <c r="J380" s="26">
        <v>1190</v>
      </c>
      <c r="K380" s="26">
        <v>1190</v>
      </c>
      <c r="L380" s="26"/>
      <c r="M380" s="26"/>
      <c r="N380" s="26">
        <v>1190</v>
      </c>
      <c r="O380" s="26">
        <v>1190</v>
      </c>
      <c r="P380" s="26">
        <v>1190</v>
      </c>
      <c r="Q380" s="26">
        <v>1190</v>
      </c>
      <c r="R380" s="26"/>
      <c r="S380" s="26"/>
      <c r="T380" s="26">
        <v>1190</v>
      </c>
      <c r="U380" s="26">
        <v>1190</v>
      </c>
      <c r="V380" s="26">
        <v>1190</v>
      </c>
      <c r="W380" s="26">
        <v>1190</v>
      </c>
      <c r="X380" s="32"/>
      <c r="Y380" s="32"/>
    </row>
    <row r="381" spans="1:25" x14ac:dyDescent="0.65">
      <c r="A381" s="108">
        <v>17</v>
      </c>
      <c r="B381" s="26">
        <v>1190</v>
      </c>
      <c r="C381" s="26">
        <v>1190</v>
      </c>
      <c r="D381" s="26"/>
      <c r="E381" s="26"/>
      <c r="F381" s="26"/>
      <c r="G381" s="26"/>
      <c r="H381" s="26">
        <v>1190</v>
      </c>
      <c r="I381" s="26">
        <v>1190</v>
      </c>
      <c r="J381" s="26">
        <v>1190</v>
      </c>
      <c r="K381" s="26">
        <v>1190</v>
      </c>
      <c r="L381" s="26"/>
      <c r="M381" s="26"/>
      <c r="N381" s="26">
        <v>1190</v>
      </c>
      <c r="O381" s="26">
        <v>1190</v>
      </c>
      <c r="P381" s="32">
        <v>1190</v>
      </c>
      <c r="Q381" s="32">
        <v>1190</v>
      </c>
      <c r="R381" s="32">
        <v>1190</v>
      </c>
      <c r="S381" s="32">
        <v>1190</v>
      </c>
      <c r="T381" s="26">
        <v>1190</v>
      </c>
      <c r="U381" s="26">
        <v>1190</v>
      </c>
      <c r="V381" s="26"/>
      <c r="W381" s="26"/>
      <c r="X381" s="32">
        <v>1190</v>
      </c>
      <c r="Y381" s="32">
        <v>1190</v>
      </c>
    </row>
    <row r="382" spans="1:25" x14ac:dyDescent="0.65">
      <c r="A382" s="108">
        <v>18</v>
      </c>
      <c r="B382" s="26">
        <v>1190</v>
      </c>
      <c r="C382" s="26">
        <v>1190</v>
      </c>
      <c r="D382" s="26"/>
      <c r="E382" s="26"/>
      <c r="F382" s="26"/>
      <c r="G382" s="26"/>
      <c r="H382" s="26">
        <v>1190</v>
      </c>
      <c r="I382" s="26">
        <v>1190</v>
      </c>
      <c r="J382" s="26">
        <v>1190</v>
      </c>
      <c r="K382" s="26">
        <v>1190</v>
      </c>
      <c r="L382" s="26">
        <v>1190</v>
      </c>
      <c r="M382" s="26">
        <v>1190</v>
      </c>
      <c r="N382" s="26">
        <v>1190</v>
      </c>
      <c r="O382" s="26">
        <v>1190</v>
      </c>
      <c r="P382" s="32"/>
      <c r="Q382" s="32"/>
      <c r="R382" s="32">
        <v>1190</v>
      </c>
      <c r="S382" s="32">
        <v>1190</v>
      </c>
      <c r="T382" s="26">
        <v>1190</v>
      </c>
      <c r="U382" s="26">
        <v>1190</v>
      </c>
      <c r="V382" s="26"/>
      <c r="W382" s="26"/>
      <c r="X382" s="32">
        <v>1190</v>
      </c>
      <c r="Y382" s="32">
        <v>1190</v>
      </c>
    </row>
    <row r="383" spans="1:25" x14ac:dyDescent="0.65">
      <c r="A383" s="108">
        <v>19</v>
      </c>
      <c r="B383" s="26">
        <v>1190</v>
      </c>
      <c r="C383" s="26">
        <v>1190</v>
      </c>
      <c r="D383" s="26">
        <v>1190</v>
      </c>
      <c r="E383" s="26">
        <v>1190</v>
      </c>
      <c r="F383" s="26">
        <v>1190</v>
      </c>
      <c r="G383" s="26">
        <v>1190</v>
      </c>
      <c r="H383" s="26">
        <v>1190</v>
      </c>
      <c r="I383" s="26">
        <v>1190</v>
      </c>
      <c r="J383" s="26"/>
      <c r="K383" s="26"/>
      <c r="L383" s="26">
        <v>1190</v>
      </c>
      <c r="M383" s="26">
        <v>1190</v>
      </c>
      <c r="N383" s="26">
        <v>1190</v>
      </c>
      <c r="O383" s="26">
        <v>1190</v>
      </c>
      <c r="P383" s="32"/>
      <c r="Q383" s="32"/>
      <c r="R383" s="32">
        <v>1190</v>
      </c>
      <c r="S383" s="32">
        <v>1190</v>
      </c>
      <c r="T383" s="26">
        <v>1190</v>
      </c>
      <c r="U383" s="26">
        <v>1190</v>
      </c>
      <c r="V383" s="26">
        <v>1190</v>
      </c>
      <c r="W383" s="26">
        <v>1190</v>
      </c>
      <c r="X383" s="32">
        <v>1190</v>
      </c>
      <c r="Y383" s="32">
        <v>1190</v>
      </c>
    </row>
    <row r="384" spans="1:25" x14ac:dyDescent="0.65">
      <c r="A384" s="108">
        <v>20</v>
      </c>
      <c r="B384" s="26"/>
      <c r="C384" s="26"/>
      <c r="D384" s="26">
        <v>1190</v>
      </c>
      <c r="E384" s="26">
        <v>1190</v>
      </c>
      <c r="F384" s="26">
        <v>1190</v>
      </c>
      <c r="G384" s="26">
        <v>1190</v>
      </c>
      <c r="H384" s="26"/>
      <c r="I384" s="26"/>
      <c r="J384" s="26"/>
      <c r="K384" s="26"/>
      <c r="L384" s="26">
        <v>1190</v>
      </c>
      <c r="M384" s="26">
        <v>1190</v>
      </c>
      <c r="N384" s="26">
        <v>1190</v>
      </c>
      <c r="O384" s="26">
        <v>1190</v>
      </c>
      <c r="P384" s="32">
        <v>1190</v>
      </c>
      <c r="Q384" s="32">
        <v>1190</v>
      </c>
      <c r="R384" s="32">
        <v>1190</v>
      </c>
      <c r="S384" s="32">
        <v>1190</v>
      </c>
      <c r="T384" s="26"/>
      <c r="U384" s="26"/>
      <c r="V384" s="26">
        <v>1190</v>
      </c>
      <c r="W384" s="26">
        <v>1190</v>
      </c>
      <c r="X384" s="26">
        <v>1190</v>
      </c>
      <c r="Y384" s="26">
        <v>1190</v>
      </c>
    </row>
    <row r="385" spans="1:27" x14ac:dyDescent="0.65">
      <c r="A385" s="108">
        <v>21</v>
      </c>
      <c r="B385" s="26"/>
      <c r="C385" s="26"/>
      <c r="D385" s="26">
        <v>1190</v>
      </c>
      <c r="E385" s="26">
        <v>1190</v>
      </c>
      <c r="F385" s="26"/>
      <c r="G385" s="26"/>
      <c r="H385" s="26"/>
      <c r="I385" s="26"/>
      <c r="J385" s="26">
        <v>1190</v>
      </c>
      <c r="K385" s="26">
        <v>1190</v>
      </c>
      <c r="L385" s="26">
        <v>1190</v>
      </c>
      <c r="M385" s="26">
        <v>1190</v>
      </c>
      <c r="N385" s="26"/>
      <c r="O385" s="26"/>
      <c r="P385" s="32">
        <v>1190</v>
      </c>
      <c r="Q385" s="32">
        <v>1190</v>
      </c>
      <c r="R385" s="32"/>
      <c r="S385" s="32"/>
      <c r="T385" s="26"/>
      <c r="U385" s="26"/>
      <c r="V385" s="26">
        <v>1190</v>
      </c>
      <c r="W385" s="26">
        <v>1190</v>
      </c>
      <c r="X385" s="32">
        <v>1190</v>
      </c>
      <c r="Y385" s="32">
        <v>1190</v>
      </c>
    </row>
    <row r="386" spans="1:27" x14ac:dyDescent="0.65">
      <c r="A386" s="108">
        <v>22</v>
      </c>
      <c r="B386" s="26">
        <v>1190</v>
      </c>
      <c r="C386" s="26">
        <v>1190</v>
      </c>
      <c r="D386" s="26">
        <v>1190</v>
      </c>
      <c r="E386" s="26">
        <v>1190</v>
      </c>
      <c r="F386" s="26">
        <v>1190</v>
      </c>
      <c r="G386" s="26">
        <v>1190</v>
      </c>
      <c r="H386" s="26"/>
      <c r="I386" s="26"/>
      <c r="J386" s="26">
        <v>1190</v>
      </c>
      <c r="K386" s="26">
        <v>1190</v>
      </c>
      <c r="L386" s="26">
        <v>1190</v>
      </c>
      <c r="M386" s="26">
        <v>1190</v>
      </c>
      <c r="N386" s="26"/>
      <c r="O386" s="26"/>
      <c r="P386" s="32">
        <v>1190</v>
      </c>
      <c r="Q386" s="32">
        <v>1190</v>
      </c>
      <c r="R386" s="32"/>
      <c r="S386" s="32"/>
      <c r="T386" s="26">
        <v>1190</v>
      </c>
      <c r="U386" s="26">
        <v>1190</v>
      </c>
      <c r="V386" s="26">
        <v>1190</v>
      </c>
      <c r="W386" s="26">
        <v>1190</v>
      </c>
      <c r="X386" s="32"/>
      <c r="Y386" s="32"/>
    </row>
    <row r="387" spans="1:27" x14ac:dyDescent="0.65">
      <c r="A387" s="108">
        <v>23</v>
      </c>
      <c r="B387" s="26">
        <v>1190</v>
      </c>
      <c r="C387" s="26">
        <v>1190</v>
      </c>
      <c r="D387" s="26">
        <v>1190</v>
      </c>
      <c r="E387" s="26">
        <v>1190</v>
      </c>
      <c r="F387" s="26">
        <v>1190</v>
      </c>
      <c r="G387" s="26">
        <v>1190</v>
      </c>
      <c r="H387" s="26">
        <v>1190</v>
      </c>
      <c r="I387" s="26">
        <v>1190</v>
      </c>
      <c r="J387" s="26">
        <v>1190</v>
      </c>
      <c r="K387" s="26">
        <v>1190</v>
      </c>
      <c r="L387" s="26"/>
      <c r="M387" s="26"/>
      <c r="N387" s="26">
        <v>1190</v>
      </c>
      <c r="O387" s="26">
        <v>1190</v>
      </c>
      <c r="P387" s="26">
        <v>1190</v>
      </c>
      <c r="Q387" s="26">
        <v>1190</v>
      </c>
      <c r="R387" s="26"/>
      <c r="S387" s="26"/>
      <c r="T387" s="26">
        <v>1190</v>
      </c>
      <c r="U387" s="26">
        <v>1190</v>
      </c>
      <c r="V387" s="26">
        <v>1190</v>
      </c>
      <c r="W387" s="26">
        <v>1190</v>
      </c>
      <c r="X387" s="32"/>
      <c r="Y387" s="32"/>
    </row>
    <row r="388" spans="1:27" x14ac:dyDescent="0.65">
      <c r="A388" s="108">
        <v>24</v>
      </c>
      <c r="B388" s="26">
        <v>1190</v>
      </c>
      <c r="C388" s="26">
        <v>1190</v>
      </c>
      <c r="D388" s="26"/>
      <c r="E388" s="26"/>
      <c r="F388" s="26"/>
      <c r="G388" s="26"/>
      <c r="H388" s="26">
        <v>1190</v>
      </c>
      <c r="I388" s="26">
        <v>1190</v>
      </c>
      <c r="J388" s="26">
        <v>1190</v>
      </c>
      <c r="K388" s="26">
        <v>1190</v>
      </c>
      <c r="L388" s="26"/>
      <c r="M388" s="26"/>
      <c r="N388" s="26">
        <v>1190</v>
      </c>
      <c r="O388" s="26">
        <v>1190</v>
      </c>
      <c r="P388" s="32">
        <v>1190</v>
      </c>
      <c r="Q388" s="32">
        <v>1190</v>
      </c>
      <c r="R388" s="32">
        <v>1190</v>
      </c>
      <c r="S388" s="32">
        <v>1190</v>
      </c>
      <c r="T388" s="26">
        <v>1190</v>
      </c>
      <c r="U388" s="26">
        <v>1190</v>
      </c>
      <c r="V388" s="26"/>
      <c r="W388" s="26"/>
      <c r="X388" s="26">
        <v>1190</v>
      </c>
      <c r="Y388" s="26">
        <v>1190</v>
      </c>
    </row>
    <row r="389" spans="1:27" x14ac:dyDescent="0.65">
      <c r="A389" s="108">
        <v>25</v>
      </c>
      <c r="B389" s="26">
        <v>1190</v>
      </c>
      <c r="C389" s="26">
        <v>1190</v>
      </c>
      <c r="D389" s="26"/>
      <c r="E389" s="26"/>
      <c r="F389" s="26"/>
      <c r="G389" s="26"/>
      <c r="H389" s="26">
        <v>1190</v>
      </c>
      <c r="I389" s="26">
        <v>1190</v>
      </c>
      <c r="J389" s="26">
        <v>1190</v>
      </c>
      <c r="K389" s="26">
        <v>1190</v>
      </c>
      <c r="L389" s="26"/>
      <c r="M389" s="26"/>
      <c r="N389" s="26">
        <v>1190</v>
      </c>
      <c r="O389" s="26">
        <v>1190</v>
      </c>
      <c r="P389" s="32"/>
      <c r="Q389" s="32"/>
      <c r="R389" s="32">
        <v>1190</v>
      </c>
      <c r="S389" s="32">
        <v>1190</v>
      </c>
      <c r="T389" s="26">
        <v>1190</v>
      </c>
      <c r="U389" s="26">
        <v>1190</v>
      </c>
      <c r="V389" s="26"/>
      <c r="W389" s="26"/>
      <c r="X389" s="26">
        <v>1190</v>
      </c>
      <c r="Y389" s="26">
        <v>1190</v>
      </c>
    </row>
    <row r="390" spans="1:27" x14ac:dyDescent="0.65">
      <c r="A390" s="108">
        <v>26</v>
      </c>
      <c r="B390" s="26">
        <v>1190</v>
      </c>
      <c r="C390" s="26">
        <v>1190</v>
      </c>
      <c r="D390" s="26">
        <v>1190</v>
      </c>
      <c r="E390" s="26">
        <v>1190</v>
      </c>
      <c r="F390" s="26">
        <v>1190</v>
      </c>
      <c r="G390" s="26">
        <v>1190</v>
      </c>
      <c r="H390" s="26">
        <v>1190</v>
      </c>
      <c r="I390" s="26">
        <v>1190</v>
      </c>
      <c r="J390" s="26"/>
      <c r="K390" s="26"/>
      <c r="L390" s="26"/>
      <c r="M390" s="26"/>
      <c r="N390" s="26">
        <v>1190</v>
      </c>
      <c r="O390" s="26">
        <v>1190</v>
      </c>
      <c r="P390" s="32"/>
      <c r="Q390" s="32"/>
      <c r="R390" s="32">
        <v>1190</v>
      </c>
      <c r="S390" s="32">
        <v>1190</v>
      </c>
      <c r="T390" s="26">
        <v>1190</v>
      </c>
      <c r="U390" s="26">
        <v>1190</v>
      </c>
      <c r="V390" s="26">
        <v>1190</v>
      </c>
      <c r="W390" s="26">
        <v>1190</v>
      </c>
      <c r="X390" s="32">
        <v>1190</v>
      </c>
      <c r="Y390" s="32">
        <v>1190</v>
      </c>
    </row>
    <row r="391" spans="1:27" x14ac:dyDescent="0.65">
      <c r="A391" s="108">
        <v>27</v>
      </c>
      <c r="B391" s="26"/>
      <c r="C391" s="26"/>
      <c r="D391" s="26">
        <v>1190</v>
      </c>
      <c r="E391" s="26">
        <v>1190</v>
      </c>
      <c r="F391" s="26">
        <v>1190</v>
      </c>
      <c r="G391" s="26">
        <v>1190</v>
      </c>
      <c r="H391" s="26"/>
      <c r="I391" s="26"/>
      <c r="J391" s="26"/>
      <c r="K391" s="26"/>
      <c r="L391" s="26"/>
      <c r="M391" s="26"/>
      <c r="N391" s="26">
        <v>1190</v>
      </c>
      <c r="O391" s="26">
        <v>1190</v>
      </c>
      <c r="P391" s="32">
        <v>1190</v>
      </c>
      <c r="Q391" s="32">
        <v>1190</v>
      </c>
      <c r="R391" s="32">
        <v>1190</v>
      </c>
      <c r="S391" s="32">
        <v>1190</v>
      </c>
      <c r="T391" s="26"/>
      <c r="U391" s="26"/>
      <c r="V391" s="26">
        <v>1190</v>
      </c>
      <c r="W391" s="26">
        <v>1190</v>
      </c>
      <c r="X391" s="26">
        <v>1190</v>
      </c>
      <c r="Y391" s="26">
        <v>1190</v>
      </c>
    </row>
    <row r="392" spans="1:27" x14ac:dyDescent="0.65">
      <c r="A392" s="108">
        <v>28</v>
      </c>
      <c r="B392" s="26"/>
      <c r="C392" s="26"/>
      <c r="D392" s="26">
        <v>1190</v>
      </c>
      <c r="E392" s="26">
        <v>1190</v>
      </c>
      <c r="F392" s="26">
        <v>1190</v>
      </c>
      <c r="G392" s="26">
        <v>1190</v>
      </c>
      <c r="H392" s="26"/>
      <c r="I392" s="26"/>
      <c r="J392" s="26">
        <v>1190</v>
      </c>
      <c r="K392" s="26">
        <v>1190</v>
      </c>
      <c r="L392" s="26"/>
      <c r="M392" s="26"/>
      <c r="N392" s="26"/>
      <c r="O392" s="26"/>
      <c r="P392" s="32">
        <v>1190</v>
      </c>
      <c r="Q392" s="32">
        <v>1190</v>
      </c>
      <c r="R392" s="32">
        <v>1190</v>
      </c>
      <c r="S392" s="32">
        <v>1190</v>
      </c>
      <c r="T392" s="26"/>
      <c r="U392" s="26"/>
      <c r="V392" s="26">
        <v>1190</v>
      </c>
      <c r="W392" s="26">
        <v>1190</v>
      </c>
      <c r="X392" s="32">
        <v>1190</v>
      </c>
      <c r="Y392" s="32">
        <v>1190</v>
      </c>
    </row>
    <row r="393" spans="1:27" x14ac:dyDescent="0.65">
      <c r="A393" s="108">
        <v>29</v>
      </c>
      <c r="B393" s="26">
        <v>1190</v>
      </c>
      <c r="C393" s="26">
        <v>1190</v>
      </c>
      <c r="D393" s="27"/>
      <c r="E393" s="27"/>
      <c r="F393" s="26">
        <v>1190</v>
      </c>
      <c r="G393" s="26">
        <v>1190</v>
      </c>
      <c r="H393" s="26">
        <v>1190</v>
      </c>
      <c r="I393" s="26">
        <v>1190</v>
      </c>
      <c r="J393" s="26">
        <v>1190</v>
      </c>
      <c r="K393" s="26">
        <v>1190</v>
      </c>
      <c r="L393" s="26"/>
      <c r="M393" s="26"/>
      <c r="N393" s="26"/>
      <c r="O393" s="26"/>
      <c r="P393" s="32">
        <v>1190</v>
      </c>
      <c r="Q393" s="32">
        <v>1190</v>
      </c>
      <c r="R393" s="32"/>
      <c r="S393" s="32"/>
      <c r="T393" s="26">
        <v>1190</v>
      </c>
      <c r="U393" s="26">
        <v>1190</v>
      </c>
      <c r="V393" s="26">
        <v>1190</v>
      </c>
      <c r="W393" s="26">
        <v>1190</v>
      </c>
      <c r="X393" s="32"/>
      <c r="Y393" s="32"/>
    </row>
    <row r="394" spans="1:27" x14ac:dyDescent="0.65">
      <c r="A394" s="108">
        <v>30</v>
      </c>
      <c r="B394" s="26">
        <v>1190</v>
      </c>
      <c r="C394" s="26">
        <v>1190</v>
      </c>
      <c r="D394" s="26"/>
      <c r="E394" s="26"/>
      <c r="F394" s="26">
        <v>1190</v>
      </c>
      <c r="G394" s="26">
        <v>1190</v>
      </c>
      <c r="H394" s="26"/>
      <c r="I394" s="26"/>
      <c r="J394" s="26">
        <v>1190</v>
      </c>
      <c r="K394" s="26">
        <v>1190</v>
      </c>
      <c r="L394" s="26"/>
      <c r="M394" s="26"/>
      <c r="N394" s="26">
        <v>1190</v>
      </c>
      <c r="O394" s="26">
        <v>1190</v>
      </c>
      <c r="P394" s="26">
        <v>1190</v>
      </c>
      <c r="Q394" s="26">
        <v>1190</v>
      </c>
      <c r="R394" s="26"/>
      <c r="S394" s="26"/>
      <c r="T394" s="26">
        <v>1190</v>
      </c>
      <c r="U394" s="26">
        <v>1190</v>
      </c>
      <c r="V394" s="26"/>
      <c r="W394" s="26"/>
      <c r="X394" s="32"/>
      <c r="Y394" s="32"/>
    </row>
    <row r="395" spans="1:27" ht="25.5" thickBot="1" x14ac:dyDescent="0.7">
      <c r="A395" s="109">
        <v>31</v>
      </c>
      <c r="B395" s="32">
        <v>1190</v>
      </c>
      <c r="C395" s="32">
        <v>1190</v>
      </c>
      <c r="D395" s="56"/>
      <c r="E395" s="56"/>
      <c r="F395" s="32"/>
      <c r="G395" s="32"/>
      <c r="H395" s="54"/>
      <c r="I395" s="54"/>
      <c r="J395" s="30">
        <v>1190</v>
      </c>
      <c r="K395" s="30">
        <v>1190</v>
      </c>
      <c r="L395" s="52"/>
      <c r="M395" s="52"/>
      <c r="N395" s="32">
        <v>1190</v>
      </c>
      <c r="O395" s="32">
        <v>1190</v>
      </c>
      <c r="P395" s="32">
        <v>1190</v>
      </c>
      <c r="Q395" s="32">
        <v>1190</v>
      </c>
      <c r="R395" s="32"/>
      <c r="S395" s="32"/>
      <c r="T395" s="32">
        <v>1190</v>
      </c>
      <c r="U395" s="32">
        <v>1190</v>
      </c>
      <c r="V395" s="30"/>
      <c r="W395" s="30"/>
      <c r="X395" s="32"/>
      <c r="Y395" s="32"/>
    </row>
    <row r="396" spans="1:27" ht="25.5" thickBot="1" x14ac:dyDescent="0.7">
      <c r="A396" s="17" t="s">
        <v>15</v>
      </c>
      <c r="B396" s="197">
        <f>AVERAGE(B365:B395)</f>
        <v>1190</v>
      </c>
      <c r="C396" s="197">
        <f t="shared" ref="C396:Y396" si="31">AVERAGE(C365:C395)</f>
        <v>1190</v>
      </c>
      <c r="D396" s="197">
        <f t="shared" si="31"/>
        <v>1190</v>
      </c>
      <c r="E396" s="197">
        <f t="shared" si="31"/>
        <v>1190</v>
      </c>
      <c r="F396" s="197">
        <f t="shared" si="31"/>
        <v>1190</v>
      </c>
      <c r="G396" s="197">
        <f t="shared" si="31"/>
        <v>1190</v>
      </c>
      <c r="H396" s="197">
        <f t="shared" si="31"/>
        <v>1190</v>
      </c>
      <c r="I396" s="197">
        <f t="shared" si="31"/>
        <v>1190</v>
      </c>
      <c r="J396" s="197">
        <f t="shared" si="31"/>
        <v>1190</v>
      </c>
      <c r="K396" s="197">
        <f t="shared" si="31"/>
        <v>1190</v>
      </c>
      <c r="L396" s="197">
        <f t="shared" si="31"/>
        <v>1190</v>
      </c>
      <c r="M396" s="197">
        <f t="shared" si="31"/>
        <v>1190</v>
      </c>
      <c r="N396" s="197">
        <f t="shared" si="31"/>
        <v>1190</v>
      </c>
      <c r="O396" s="197">
        <f t="shared" si="31"/>
        <v>1190</v>
      </c>
      <c r="P396" s="197">
        <f t="shared" si="31"/>
        <v>1190</v>
      </c>
      <c r="Q396" s="197">
        <f t="shared" si="31"/>
        <v>1190</v>
      </c>
      <c r="R396" s="197">
        <f t="shared" si="31"/>
        <v>1190</v>
      </c>
      <c r="S396" s="197">
        <f t="shared" si="31"/>
        <v>1190</v>
      </c>
      <c r="T396" s="197">
        <f t="shared" si="31"/>
        <v>1190</v>
      </c>
      <c r="U396" s="197">
        <f t="shared" si="31"/>
        <v>1190</v>
      </c>
      <c r="V396" s="197">
        <f t="shared" si="31"/>
        <v>1190</v>
      </c>
      <c r="W396" s="197">
        <f t="shared" si="31"/>
        <v>1190</v>
      </c>
      <c r="X396" s="197">
        <f t="shared" si="31"/>
        <v>1190</v>
      </c>
      <c r="Y396" s="197">
        <f t="shared" si="31"/>
        <v>1190</v>
      </c>
      <c r="Z396" s="57"/>
      <c r="AA396" s="57"/>
    </row>
    <row r="397" spans="1:27" ht="42" customHeight="1" x14ac:dyDescent="0.65">
      <c r="A397" s="224" t="s">
        <v>34</v>
      </c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 spans="1:27" ht="24.75" customHeight="1" thickBot="1" x14ac:dyDescent="0.7">
      <c r="A398" s="225" t="s">
        <v>71</v>
      </c>
      <c r="B398" s="225"/>
      <c r="C398" s="225"/>
      <c r="D398" s="225"/>
      <c r="E398" s="225"/>
      <c r="F398" s="22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</row>
    <row r="399" spans="1:27" ht="25.5" thickBot="1" x14ac:dyDescent="0.7">
      <c r="A399" s="226" t="s">
        <v>2</v>
      </c>
      <c r="B399" s="228" t="s">
        <v>3</v>
      </c>
      <c r="C399" s="229"/>
      <c r="D399" s="228" t="s">
        <v>4</v>
      </c>
      <c r="E399" s="229"/>
      <c r="F399" s="228" t="s">
        <v>5</v>
      </c>
      <c r="G399" s="229"/>
      <c r="H399" s="228" t="s">
        <v>6</v>
      </c>
      <c r="I399" s="229"/>
      <c r="J399" s="228" t="s">
        <v>7</v>
      </c>
      <c r="K399" s="229"/>
      <c r="L399" s="228" t="s">
        <v>8</v>
      </c>
      <c r="M399" s="229"/>
      <c r="N399" s="228" t="s">
        <v>9</v>
      </c>
      <c r="O399" s="229"/>
      <c r="P399" s="228" t="s">
        <v>10</v>
      </c>
      <c r="Q399" s="229"/>
      <c r="R399" s="228" t="s">
        <v>11</v>
      </c>
      <c r="S399" s="229"/>
      <c r="T399" s="228" t="s">
        <v>12</v>
      </c>
      <c r="U399" s="229"/>
      <c r="V399" s="228" t="s">
        <v>21</v>
      </c>
      <c r="W399" s="229"/>
      <c r="X399" s="228" t="s">
        <v>14</v>
      </c>
      <c r="Y399" s="229"/>
    </row>
    <row r="400" spans="1:27" ht="25.5" thickBot="1" x14ac:dyDescent="0.7">
      <c r="A400" s="227"/>
      <c r="B400" s="17" t="s">
        <v>74</v>
      </c>
      <c r="C400" s="17" t="s">
        <v>75</v>
      </c>
      <c r="D400" s="17" t="s">
        <v>74</v>
      </c>
      <c r="E400" s="17" t="s">
        <v>75</v>
      </c>
      <c r="F400" s="17" t="s">
        <v>74</v>
      </c>
      <c r="G400" s="17" t="s">
        <v>75</v>
      </c>
      <c r="H400" s="17" t="s">
        <v>74</v>
      </c>
      <c r="I400" s="17" t="s">
        <v>75</v>
      </c>
      <c r="J400" s="17" t="s">
        <v>74</v>
      </c>
      <c r="K400" s="17" t="s">
        <v>75</v>
      </c>
      <c r="L400" s="17" t="s">
        <v>74</v>
      </c>
      <c r="M400" s="17" t="s">
        <v>75</v>
      </c>
      <c r="N400" s="17" t="s">
        <v>74</v>
      </c>
      <c r="O400" s="17" t="s">
        <v>75</v>
      </c>
      <c r="P400" s="17" t="s">
        <v>74</v>
      </c>
      <c r="Q400" s="17" t="s">
        <v>75</v>
      </c>
      <c r="R400" s="17" t="s">
        <v>74</v>
      </c>
      <c r="S400" s="17" t="s">
        <v>75</v>
      </c>
      <c r="T400" s="17" t="s">
        <v>74</v>
      </c>
      <c r="U400" s="17" t="s">
        <v>75</v>
      </c>
      <c r="V400" s="17" t="s">
        <v>74</v>
      </c>
      <c r="W400" s="17" t="s">
        <v>75</v>
      </c>
      <c r="X400" s="17" t="s">
        <v>74</v>
      </c>
      <c r="Y400" s="17" t="s">
        <v>75</v>
      </c>
    </row>
    <row r="401" spans="1:25" x14ac:dyDescent="0.65">
      <c r="A401" s="39">
        <v>1</v>
      </c>
      <c r="B401" s="32"/>
      <c r="C401" s="62"/>
      <c r="D401" s="32">
        <v>1190</v>
      </c>
      <c r="E401" s="30">
        <v>1190</v>
      </c>
      <c r="F401" s="32">
        <v>1190</v>
      </c>
      <c r="G401" s="30">
        <v>1190</v>
      </c>
      <c r="H401" s="32">
        <v>1190</v>
      </c>
      <c r="I401" s="32">
        <v>1190</v>
      </c>
      <c r="J401" s="30"/>
      <c r="K401" s="30"/>
      <c r="L401" s="32"/>
      <c r="M401" s="32"/>
      <c r="N401" s="32">
        <v>1190</v>
      </c>
      <c r="O401" s="32">
        <v>1190</v>
      </c>
      <c r="P401" s="32">
        <v>1190</v>
      </c>
      <c r="Q401" s="32">
        <v>1190</v>
      </c>
      <c r="R401" s="32"/>
      <c r="S401" s="32"/>
      <c r="T401" s="32">
        <v>1190</v>
      </c>
      <c r="U401" s="32">
        <v>1190</v>
      </c>
      <c r="V401" s="30">
        <v>1190</v>
      </c>
      <c r="W401" s="30">
        <v>1190</v>
      </c>
      <c r="X401" s="32"/>
      <c r="Y401" s="32"/>
    </row>
    <row r="402" spans="1:25" x14ac:dyDescent="0.65">
      <c r="A402" s="108">
        <v>2</v>
      </c>
      <c r="B402" s="26">
        <v>1190</v>
      </c>
      <c r="C402" s="26">
        <v>1190</v>
      </c>
      <c r="D402" s="26"/>
      <c r="E402" s="26"/>
      <c r="F402" s="26"/>
      <c r="G402" s="26"/>
      <c r="H402" s="26">
        <v>1190</v>
      </c>
      <c r="I402" s="26">
        <v>1190</v>
      </c>
      <c r="J402" s="26">
        <v>1190</v>
      </c>
      <c r="K402" s="26">
        <v>1190</v>
      </c>
      <c r="L402" s="26"/>
      <c r="M402" s="26"/>
      <c r="N402" s="26">
        <v>1190</v>
      </c>
      <c r="O402" s="26">
        <v>1190</v>
      </c>
      <c r="P402" s="26">
        <v>1190</v>
      </c>
      <c r="Q402" s="26">
        <v>1190</v>
      </c>
      <c r="R402" s="26">
        <v>1190</v>
      </c>
      <c r="S402" s="26">
        <v>1190</v>
      </c>
      <c r="T402" s="26">
        <v>1190</v>
      </c>
      <c r="U402" s="26">
        <v>1190</v>
      </c>
      <c r="V402" s="26"/>
      <c r="W402" s="26"/>
      <c r="X402" s="32">
        <v>1190</v>
      </c>
      <c r="Y402" s="32">
        <v>1190</v>
      </c>
    </row>
    <row r="403" spans="1:25" x14ac:dyDescent="0.65">
      <c r="A403" s="108">
        <v>3</v>
      </c>
      <c r="B403" s="26">
        <v>1190</v>
      </c>
      <c r="C403" s="26">
        <v>1190</v>
      </c>
      <c r="D403" s="26"/>
      <c r="E403" s="26"/>
      <c r="F403" s="26"/>
      <c r="G403" s="26"/>
      <c r="H403" s="26">
        <v>1190</v>
      </c>
      <c r="I403" s="26">
        <v>1190</v>
      </c>
      <c r="J403" s="26">
        <v>1190</v>
      </c>
      <c r="K403" s="26">
        <v>1190</v>
      </c>
      <c r="L403" s="26">
        <v>1190</v>
      </c>
      <c r="M403" s="26">
        <v>1190</v>
      </c>
      <c r="N403" s="26">
        <v>1190</v>
      </c>
      <c r="O403" s="26">
        <v>1190</v>
      </c>
      <c r="P403" s="32"/>
      <c r="Q403" s="32"/>
      <c r="R403" s="26">
        <v>1190</v>
      </c>
      <c r="S403" s="26">
        <v>1190</v>
      </c>
      <c r="T403" s="26">
        <v>1190</v>
      </c>
      <c r="U403" s="26">
        <v>1190</v>
      </c>
      <c r="V403" s="26"/>
      <c r="W403" s="26"/>
      <c r="X403" s="32">
        <v>1190</v>
      </c>
      <c r="Y403" s="32">
        <v>1190</v>
      </c>
    </row>
    <row r="404" spans="1:25" x14ac:dyDescent="0.65">
      <c r="A404" s="108">
        <v>4</v>
      </c>
      <c r="B404" s="26">
        <v>1190</v>
      </c>
      <c r="C404" s="26">
        <v>1190</v>
      </c>
      <c r="D404" s="26">
        <v>1190</v>
      </c>
      <c r="E404" s="26">
        <v>1190</v>
      </c>
      <c r="F404" s="26">
        <v>1190</v>
      </c>
      <c r="G404" s="26">
        <v>1190</v>
      </c>
      <c r="H404" s="26">
        <v>1190</v>
      </c>
      <c r="I404" s="26">
        <v>1190</v>
      </c>
      <c r="J404" s="26"/>
      <c r="K404" s="26"/>
      <c r="L404" s="26">
        <v>1190</v>
      </c>
      <c r="M404" s="26">
        <v>1190</v>
      </c>
      <c r="N404" s="26">
        <v>1190</v>
      </c>
      <c r="O404" s="26">
        <v>1190</v>
      </c>
      <c r="P404" s="32"/>
      <c r="Q404" s="32"/>
      <c r="R404" s="26">
        <v>1190</v>
      </c>
      <c r="S404" s="26">
        <v>1190</v>
      </c>
      <c r="T404" s="26">
        <v>1190</v>
      </c>
      <c r="U404" s="26">
        <v>1190</v>
      </c>
      <c r="V404" s="26">
        <v>1190</v>
      </c>
      <c r="W404" s="26">
        <v>1190</v>
      </c>
      <c r="X404" s="32">
        <v>1190</v>
      </c>
      <c r="Y404" s="32">
        <v>1190</v>
      </c>
    </row>
    <row r="405" spans="1:25" x14ac:dyDescent="0.65">
      <c r="A405" s="108">
        <v>5</v>
      </c>
      <c r="B405" s="26"/>
      <c r="C405" s="26"/>
      <c r="D405" s="26">
        <v>1190</v>
      </c>
      <c r="E405" s="26">
        <v>1190</v>
      </c>
      <c r="F405" s="26">
        <v>1190</v>
      </c>
      <c r="G405" s="26">
        <v>1190</v>
      </c>
      <c r="H405" s="26">
        <v>1190</v>
      </c>
      <c r="I405" s="26">
        <v>1190</v>
      </c>
      <c r="J405" s="26"/>
      <c r="K405" s="26"/>
      <c r="L405" s="26">
        <v>1190</v>
      </c>
      <c r="M405" s="26">
        <v>1190</v>
      </c>
      <c r="N405" s="26">
        <v>1190</v>
      </c>
      <c r="O405" s="26">
        <v>1190</v>
      </c>
      <c r="P405" s="32">
        <v>1190</v>
      </c>
      <c r="Q405" s="32">
        <v>1190</v>
      </c>
      <c r="R405" s="26">
        <v>1190</v>
      </c>
      <c r="S405" s="26">
        <v>1190</v>
      </c>
      <c r="T405" s="26"/>
      <c r="U405" s="26"/>
      <c r="V405" s="26">
        <v>1190</v>
      </c>
      <c r="W405" s="26">
        <v>1190</v>
      </c>
      <c r="X405" s="32">
        <v>1190</v>
      </c>
      <c r="Y405" s="32">
        <v>1190</v>
      </c>
    </row>
    <row r="406" spans="1:25" x14ac:dyDescent="0.65">
      <c r="A406" s="108">
        <v>6</v>
      </c>
      <c r="B406" s="26"/>
      <c r="C406" s="26"/>
      <c r="D406" s="26">
        <v>1190</v>
      </c>
      <c r="E406" s="26">
        <v>1190</v>
      </c>
      <c r="F406" s="26">
        <v>1190</v>
      </c>
      <c r="G406" s="26">
        <v>1190</v>
      </c>
      <c r="H406" s="26"/>
      <c r="I406" s="26"/>
      <c r="J406" s="26">
        <v>1190</v>
      </c>
      <c r="K406" s="26">
        <v>1190</v>
      </c>
      <c r="L406" s="26">
        <v>1190</v>
      </c>
      <c r="M406" s="26">
        <v>1190</v>
      </c>
      <c r="N406" s="26"/>
      <c r="O406" s="26"/>
      <c r="P406" s="32">
        <v>1190</v>
      </c>
      <c r="Q406" s="32">
        <v>1190</v>
      </c>
      <c r="R406" s="26">
        <v>1190</v>
      </c>
      <c r="S406" s="26">
        <v>1190</v>
      </c>
      <c r="T406" s="26"/>
      <c r="U406" s="26"/>
      <c r="V406" s="26">
        <v>1190</v>
      </c>
      <c r="W406" s="26">
        <v>1190</v>
      </c>
      <c r="X406" s="26">
        <v>1190</v>
      </c>
      <c r="Y406" s="26">
        <v>1190</v>
      </c>
    </row>
    <row r="407" spans="1:25" x14ac:dyDescent="0.65">
      <c r="A407" s="108">
        <v>7</v>
      </c>
      <c r="B407" s="26">
        <v>1190</v>
      </c>
      <c r="C407" s="26">
        <v>1190</v>
      </c>
      <c r="D407" s="26">
        <v>1190</v>
      </c>
      <c r="E407" s="26">
        <v>1190</v>
      </c>
      <c r="F407" s="26">
        <v>1190</v>
      </c>
      <c r="G407" s="26">
        <v>1190</v>
      </c>
      <c r="H407" s="26"/>
      <c r="I407" s="26"/>
      <c r="J407" s="26">
        <v>1190</v>
      </c>
      <c r="K407" s="26">
        <v>1190</v>
      </c>
      <c r="L407" s="26">
        <v>1190</v>
      </c>
      <c r="M407" s="26">
        <v>1190</v>
      </c>
      <c r="N407" s="26"/>
      <c r="O407" s="26"/>
      <c r="P407" s="32">
        <v>1190</v>
      </c>
      <c r="Q407" s="32">
        <v>1190</v>
      </c>
      <c r="R407" s="26"/>
      <c r="S407" s="26"/>
      <c r="T407" s="26">
        <v>1190</v>
      </c>
      <c r="U407" s="26">
        <v>1190</v>
      </c>
      <c r="V407" s="26">
        <v>1190</v>
      </c>
      <c r="W407" s="26">
        <v>1190</v>
      </c>
      <c r="X407" s="32"/>
      <c r="Y407" s="32"/>
    </row>
    <row r="408" spans="1:25" x14ac:dyDescent="0.65">
      <c r="A408" s="108">
        <v>8</v>
      </c>
      <c r="B408" s="26">
        <v>1190</v>
      </c>
      <c r="C408" s="26">
        <v>1190</v>
      </c>
      <c r="D408" s="26">
        <v>1190</v>
      </c>
      <c r="E408" s="26">
        <v>1190</v>
      </c>
      <c r="F408" s="26">
        <v>1190</v>
      </c>
      <c r="G408" s="26">
        <v>1190</v>
      </c>
      <c r="H408" s="26">
        <v>1190</v>
      </c>
      <c r="I408" s="26">
        <v>1190</v>
      </c>
      <c r="J408" s="26">
        <v>1190</v>
      </c>
      <c r="K408" s="26">
        <v>1190</v>
      </c>
      <c r="L408" s="26"/>
      <c r="M408" s="26"/>
      <c r="N408" s="26">
        <v>1190</v>
      </c>
      <c r="O408" s="26">
        <v>1190</v>
      </c>
      <c r="P408" s="32">
        <v>1190</v>
      </c>
      <c r="Q408" s="32">
        <v>1190</v>
      </c>
      <c r="R408" s="26"/>
      <c r="S408" s="26"/>
      <c r="T408" s="26">
        <v>1190</v>
      </c>
      <c r="U408" s="26">
        <v>1190</v>
      </c>
      <c r="V408" s="26">
        <v>1190</v>
      </c>
      <c r="W408" s="26">
        <v>1190</v>
      </c>
      <c r="X408" s="32"/>
      <c r="Y408" s="32"/>
    </row>
    <row r="409" spans="1:25" x14ac:dyDescent="0.65">
      <c r="A409" s="108">
        <v>9</v>
      </c>
      <c r="B409" s="26">
        <v>1190</v>
      </c>
      <c r="C409" s="26">
        <v>1190</v>
      </c>
      <c r="D409" s="26"/>
      <c r="E409" s="26"/>
      <c r="F409" s="26"/>
      <c r="G409" s="26"/>
      <c r="H409" s="26">
        <v>1190</v>
      </c>
      <c r="I409" s="26">
        <v>1190</v>
      </c>
      <c r="J409" s="26">
        <v>1190</v>
      </c>
      <c r="K409" s="26">
        <v>1190</v>
      </c>
      <c r="L409" s="26"/>
      <c r="M409" s="26"/>
      <c r="N409" s="26">
        <v>1190</v>
      </c>
      <c r="O409" s="26">
        <v>1190</v>
      </c>
      <c r="P409" s="26">
        <v>1190</v>
      </c>
      <c r="Q409" s="26">
        <v>1190</v>
      </c>
      <c r="R409" s="26">
        <v>1190</v>
      </c>
      <c r="S409" s="26">
        <v>1190</v>
      </c>
      <c r="T409" s="26">
        <v>1190</v>
      </c>
      <c r="U409" s="26">
        <v>1190</v>
      </c>
      <c r="V409" s="26"/>
      <c r="W409" s="26"/>
      <c r="X409" s="32">
        <v>1190</v>
      </c>
      <c r="Y409" s="32">
        <v>1190</v>
      </c>
    </row>
    <row r="410" spans="1:25" x14ac:dyDescent="0.65">
      <c r="A410" s="108">
        <v>10</v>
      </c>
      <c r="B410" s="26">
        <v>1190</v>
      </c>
      <c r="C410" s="26">
        <v>1190</v>
      </c>
      <c r="D410" s="26"/>
      <c r="E410" s="26"/>
      <c r="F410" s="26"/>
      <c r="G410" s="26"/>
      <c r="H410" s="26">
        <v>1190</v>
      </c>
      <c r="I410" s="26">
        <v>1190</v>
      </c>
      <c r="J410" s="26">
        <v>1190</v>
      </c>
      <c r="K410" s="26">
        <v>1190</v>
      </c>
      <c r="L410" s="26">
        <v>1190</v>
      </c>
      <c r="M410" s="26">
        <v>1190</v>
      </c>
      <c r="N410" s="26">
        <v>1190</v>
      </c>
      <c r="O410" s="26">
        <v>1190</v>
      </c>
      <c r="P410" s="32"/>
      <c r="Q410" s="32"/>
      <c r="R410" s="26">
        <v>1190</v>
      </c>
      <c r="S410" s="26">
        <v>1190</v>
      </c>
      <c r="T410" s="26">
        <v>1190</v>
      </c>
      <c r="U410" s="26">
        <v>1190</v>
      </c>
      <c r="V410" s="26"/>
      <c r="W410" s="26"/>
      <c r="X410" s="32"/>
      <c r="Y410" s="32"/>
    </row>
    <row r="411" spans="1:25" x14ac:dyDescent="0.65">
      <c r="A411" s="108">
        <v>11</v>
      </c>
      <c r="B411" s="26">
        <v>1190</v>
      </c>
      <c r="C411" s="26">
        <v>1190</v>
      </c>
      <c r="D411" s="26">
        <v>1190</v>
      </c>
      <c r="E411" s="26">
        <v>1190</v>
      </c>
      <c r="F411" s="26">
        <v>1190</v>
      </c>
      <c r="G411" s="26">
        <v>1190</v>
      </c>
      <c r="H411" s="26">
        <v>1190</v>
      </c>
      <c r="I411" s="26">
        <v>1190</v>
      </c>
      <c r="J411" s="26"/>
      <c r="K411" s="26"/>
      <c r="L411" s="26">
        <v>1190</v>
      </c>
      <c r="M411" s="26">
        <v>1190</v>
      </c>
      <c r="N411" s="26">
        <v>1190</v>
      </c>
      <c r="O411" s="26">
        <v>1190</v>
      </c>
      <c r="P411" s="32"/>
      <c r="Q411" s="32"/>
      <c r="R411" s="26"/>
      <c r="S411" s="26"/>
      <c r="T411" s="26">
        <v>1190</v>
      </c>
      <c r="U411" s="26">
        <v>1190</v>
      </c>
      <c r="V411" s="26">
        <v>1190</v>
      </c>
      <c r="W411" s="26">
        <v>1190</v>
      </c>
      <c r="X411" s="32">
        <v>1190</v>
      </c>
      <c r="Y411" s="32">
        <v>1190</v>
      </c>
    </row>
    <row r="412" spans="1:25" x14ac:dyDescent="0.65">
      <c r="A412" s="108">
        <v>12</v>
      </c>
      <c r="B412" s="26"/>
      <c r="C412" s="26"/>
      <c r="D412" s="26">
        <v>1190</v>
      </c>
      <c r="E412" s="26">
        <v>1190</v>
      </c>
      <c r="F412" s="26">
        <v>1190</v>
      </c>
      <c r="G412" s="26">
        <v>1190</v>
      </c>
      <c r="H412" s="26"/>
      <c r="I412" s="26"/>
      <c r="J412" s="26"/>
      <c r="K412" s="26"/>
      <c r="L412" s="26">
        <v>1190</v>
      </c>
      <c r="M412" s="26">
        <v>1190</v>
      </c>
      <c r="N412" s="26">
        <v>1190</v>
      </c>
      <c r="O412" s="26">
        <v>1190</v>
      </c>
      <c r="P412" s="32">
        <v>1190</v>
      </c>
      <c r="Q412" s="32">
        <v>1190</v>
      </c>
      <c r="R412" s="26">
        <v>1190</v>
      </c>
      <c r="S412" s="26">
        <v>1190</v>
      </c>
      <c r="T412" s="26"/>
      <c r="U412" s="26"/>
      <c r="V412" s="26">
        <v>1190</v>
      </c>
      <c r="W412" s="26">
        <v>1190</v>
      </c>
      <c r="X412" s="32">
        <v>1190</v>
      </c>
      <c r="Y412" s="32">
        <v>1190</v>
      </c>
    </row>
    <row r="413" spans="1:25" x14ac:dyDescent="0.65">
      <c r="A413" s="108">
        <v>13</v>
      </c>
      <c r="B413" s="26"/>
      <c r="C413" s="26"/>
      <c r="D413" s="26">
        <v>1190</v>
      </c>
      <c r="E413" s="26">
        <v>1190</v>
      </c>
      <c r="F413" s="26">
        <v>1190</v>
      </c>
      <c r="G413" s="26">
        <v>1190</v>
      </c>
      <c r="H413" s="26"/>
      <c r="I413" s="26"/>
      <c r="J413" s="26"/>
      <c r="K413" s="26"/>
      <c r="L413" s="26">
        <v>1190</v>
      </c>
      <c r="M413" s="26">
        <v>1190</v>
      </c>
      <c r="N413" s="26"/>
      <c r="O413" s="26"/>
      <c r="P413" s="32">
        <v>1190</v>
      </c>
      <c r="Q413" s="32">
        <v>1190</v>
      </c>
      <c r="R413" s="26">
        <v>1190</v>
      </c>
      <c r="S413" s="26">
        <v>1190</v>
      </c>
      <c r="T413" s="26"/>
      <c r="U413" s="26"/>
      <c r="V413" s="26">
        <v>1190</v>
      </c>
      <c r="W413" s="26">
        <v>1190</v>
      </c>
      <c r="X413" s="26">
        <v>1190</v>
      </c>
      <c r="Y413" s="26">
        <v>1190</v>
      </c>
    </row>
    <row r="414" spans="1:25" x14ac:dyDescent="0.65">
      <c r="A414" s="108">
        <v>14</v>
      </c>
      <c r="B414" s="26">
        <v>1190</v>
      </c>
      <c r="C414" s="26">
        <v>1190</v>
      </c>
      <c r="D414" s="26">
        <v>1190</v>
      </c>
      <c r="E414" s="26">
        <v>1190</v>
      </c>
      <c r="F414" s="26">
        <v>1190</v>
      </c>
      <c r="G414" s="26">
        <v>1190</v>
      </c>
      <c r="H414" s="26"/>
      <c r="I414" s="26"/>
      <c r="J414" s="26">
        <v>1190</v>
      </c>
      <c r="K414" s="26">
        <v>1190</v>
      </c>
      <c r="L414" s="26">
        <v>1190</v>
      </c>
      <c r="M414" s="26">
        <v>1190</v>
      </c>
      <c r="N414" s="26"/>
      <c r="O414" s="26"/>
      <c r="P414" s="32">
        <v>1190</v>
      </c>
      <c r="Q414" s="32">
        <v>1190</v>
      </c>
      <c r="R414" s="26"/>
      <c r="S414" s="26"/>
      <c r="T414" s="26">
        <v>1190</v>
      </c>
      <c r="U414" s="26">
        <v>1190</v>
      </c>
      <c r="V414" s="26">
        <v>1190</v>
      </c>
      <c r="W414" s="26">
        <v>1190</v>
      </c>
      <c r="X414" s="32"/>
      <c r="Y414" s="32"/>
    </row>
    <row r="415" spans="1:25" x14ac:dyDescent="0.65">
      <c r="A415" s="108">
        <v>15</v>
      </c>
      <c r="B415" s="26">
        <v>1190</v>
      </c>
      <c r="C415" s="26">
        <v>1190</v>
      </c>
      <c r="D415" s="26">
        <v>1190</v>
      </c>
      <c r="E415" s="26">
        <v>1190</v>
      </c>
      <c r="F415" s="26">
        <v>1190</v>
      </c>
      <c r="G415" s="26">
        <v>1190</v>
      </c>
      <c r="H415" s="26">
        <v>1190</v>
      </c>
      <c r="I415" s="26">
        <v>1190</v>
      </c>
      <c r="J415" s="26">
        <v>1190</v>
      </c>
      <c r="K415" s="26">
        <v>1190</v>
      </c>
      <c r="L415" s="26"/>
      <c r="M415" s="26"/>
      <c r="N415" s="26">
        <v>1190</v>
      </c>
      <c r="O415" s="26">
        <v>1190</v>
      </c>
      <c r="P415" s="32">
        <v>1190</v>
      </c>
      <c r="Q415" s="32">
        <v>1190</v>
      </c>
      <c r="R415" s="26"/>
      <c r="S415" s="26"/>
      <c r="T415" s="26">
        <v>1190</v>
      </c>
      <c r="U415" s="26">
        <v>1190</v>
      </c>
      <c r="V415" s="26">
        <v>1190</v>
      </c>
      <c r="W415" s="26">
        <v>1190</v>
      </c>
      <c r="X415" s="32"/>
      <c r="Y415" s="32"/>
    </row>
    <row r="416" spans="1:25" x14ac:dyDescent="0.65">
      <c r="A416" s="108">
        <v>16</v>
      </c>
      <c r="B416" s="26">
        <v>1190</v>
      </c>
      <c r="C416" s="26">
        <v>1190</v>
      </c>
      <c r="D416" s="26"/>
      <c r="E416" s="26"/>
      <c r="F416" s="26"/>
      <c r="G416" s="26"/>
      <c r="H416" s="26">
        <v>1190</v>
      </c>
      <c r="I416" s="26">
        <v>1190</v>
      </c>
      <c r="J416" s="26">
        <v>1190</v>
      </c>
      <c r="K416" s="26">
        <v>1190</v>
      </c>
      <c r="L416" s="26"/>
      <c r="M416" s="26"/>
      <c r="N416" s="26">
        <v>1190</v>
      </c>
      <c r="O416" s="26">
        <v>1190</v>
      </c>
      <c r="P416" s="26">
        <v>1190</v>
      </c>
      <c r="Q416" s="26">
        <v>1190</v>
      </c>
      <c r="R416" s="26">
        <v>1190</v>
      </c>
      <c r="S416" s="26">
        <v>1190</v>
      </c>
      <c r="T416" s="26">
        <v>1190</v>
      </c>
      <c r="U416" s="26">
        <v>1190</v>
      </c>
      <c r="V416" s="26"/>
      <c r="W416" s="26"/>
      <c r="X416" s="32">
        <v>1190</v>
      </c>
      <c r="Y416" s="32">
        <v>1190</v>
      </c>
    </row>
    <row r="417" spans="1:27" x14ac:dyDescent="0.65">
      <c r="A417" s="108">
        <v>17</v>
      </c>
      <c r="B417" s="26">
        <v>1190</v>
      </c>
      <c r="C417" s="26">
        <v>1190</v>
      </c>
      <c r="D417" s="26"/>
      <c r="E417" s="26"/>
      <c r="F417" s="26"/>
      <c r="G417" s="26"/>
      <c r="H417" s="26">
        <v>1190</v>
      </c>
      <c r="I417" s="26">
        <v>1190</v>
      </c>
      <c r="J417" s="26">
        <v>1190</v>
      </c>
      <c r="K417" s="26">
        <v>1190</v>
      </c>
      <c r="L417" s="26"/>
      <c r="M417" s="26"/>
      <c r="N417" s="26">
        <v>1190</v>
      </c>
      <c r="O417" s="26">
        <v>1190</v>
      </c>
      <c r="P417" s="32"/>
      <c r="Q417" s="32"/>
      <c r="R417" s="26">
        <v>1190</v>
      </c>
      <c r="S417" s="26">
        <v>1190</v>
      </c>
      <c r="T417" s="26">
        <v>1190</v>
      </c>
      <c r="U417" s="26">
        <v>1190</v>
      </c>
      <c r="V417" s="26"/>
      <c r="W417" s="26"/>
      <c r="X417" s="32">
        <v>1190</v>
      </c>
      <c r="Y417" s="32">
        <v>1190</v>
      </c>
    </row>
    <row r="418" spans="1:27" x14ac:dyDescent="0.65">
      <c r="A418" s="108">
        <v>18</v>
      </c>
      <c r="B418" s="26">
        <v>1190</v>
      </c>
      <c r="C418" s="26">
        <v>1190</v>
      </c>
      <c r="D418" s="26">
        <v>1190</v>
      </c>
      <c r="E418" s="26">
        <v>1190</v>
      </c>
      <c r="F418" s="26">
        <v>1190</v>
      </c>
      <c r="G418" s="26">
        <v>1190</v>
      </c>
      <c r="H418" s="26">
        <v>1190</v>
      </c>
      <c r="I418" s="26">
        <v>1190</v>
      </c>
      <c r="J418" s="26"/>
      <c r="K418" s="26"/>
      <c r="L418" s="26"/>
      <c r="M418" s="26"/>
      <c r="N418" s="26">
        <v>1190</v>
      </c>
      <c r="O418" s="26">
        <v>1190</v>
      </c>
      <c r="P418" s="32"/>
      <c r="Q418" s="32"/>
      <c r="R418" s="26">
        <v>1190</v>
      </c>
      <c r="S418" s="26">
        <v>1190</v>
      </c>
      <c r="T418" s="26">
        <v>1190</v>
      </c>
      <c r="U418" s="26">
        <v>1190</v>
      </c>
      <c r="V418" s="26">
        <v>1190</v>
      </c>
      <c r="W418" s="26">
        <v>1190</v>
      </c>
      <c r="X418" s="32">
        <v>1190</v>
      </c>
      <c r="Y418" s="32">
        <v>1190</v>
      </c>
    </row>
    <row r="419" spans="1:27" x14ac:dyDescent="0.65">
      <c r="A419" s="108">
        <v>19</v>
      </c>
      <c r="B419" s="26"/>
      <c r="C419" s="26"/>
      <c r="D419" s="26">
        <v>1190</v>
      </c>
      <c r="E419" s="26">
        <v>1190</v>
      </c>
      <c r="F419" s="26">
        <v>1190</v>
      </c>
      <c r="G419" s="26">
        <v>1190</v>
      </c>
      <c r="H419" s="26">
        <v>1190</v>
      </c>
      <c r="I419" s="26">
        <v>1190</v>
      </c>
      <c r="J419" s="26"/>
      <c r="K419" s="26"/>
      <c r="L419" s="26"/>
      <c r="M419" s="26"/>
      <c r="N419" s="26">
        <v>1190</v>
      </c>
      <c r="O419" s="26">
        <v>1190</v>
      </c>
      <c r="P419" s="32">
        <v>1190</v>
      </c>
      <c r="Q419" s="32">
        <v>1190</v>
      </c>
      <c r="R419" s="26">
        <v>1190</v>
      </c>
      <c r="S419" s="26">
        <v>1190</v>
      </c>
      <c r="T419" s="26"/>
      <c r="U419" s="26"/>
      <c r="V419" s="26">
        <v>1190</v>
      </c>
      <c r="W419" s="26">
        <v>1190</v>
      </c>
      <c r="X419" s="32">
        <v>1190</v>
      </c>
      <c r="Y419" s="32">
        <v>1190</v>
      </c>
    </row>
    <row r="420" spans="1:27" x14ac:dyDescent="0.65">
      <c r="A420" s="108">
        <v>20</v>
      </c>
      <c r="B420" s="26"/>
      <c r="C420" s="26"/>
      <c r="D420" s="26">
        <v>1190</v>
      </c>
      <c r="E420" s="26">
        <v>1190</v>
      </c>
      <c r="F420" s="26">
        <v>1190</v>
      </c>
      <c r="G420" s="26">
        <v>1190</v>
      </c>
      <c r="H420" s="26"/>
      <c r="I420" s="26"/>
      <c r="J420" s="26">
        <v>1190</v>
      </c>
      <c r="K420" s="26">
        <v>1190</v>
      </c>
      <c r="L420" s="26">
        <v>1190</v>
      </c>
      <c r="M420" s="26">
        <v>1190</v>
      </c>
      <c r="N420" s="26"/>
      <c r="O420" s="26"/>
      <c r="P420" s="32">
        <v>1190</v>
      </c>
      <c r="Q420" s="32">
        <v>1190</v>
      </c>
      <c r="R420" s="26"/>
      <c r="S420" s="26"/>
      <c r="T420" s="26"/>
      <c r="U420" s="26"/>
      <c r="V420" s="26"/>
      <c r="W420" s="26"/>
      <c r="X420" s="26">
        <v>1190</v>
      </c>
      <c r="Y420" s="26">
        <v>1190</v>
      </c>
    </row>
    <row r="421" spans="1:27" x14ac:dyDescent="0.65">
      <c r="A421" s="108">
        <v>21</v>
      </c>
      <c r="B421" s="26">
        <v>1190</v>
      </c>
      <c r="C421" s="26">
        <v>1190</v>
      </c>
      <c r="D421" s="26">
        <v>1190</v>
      </c>
      <c r="E421" s="26">
        <v>1190</v>
      </c>
      <c r="F421" s="26"/>
      <c r="G421" s="26"/>
      <c r="H421" s="26"/>
      <c r="I421" s="26"/>
      <c r="J421" s="26">
        <v>1190</v>
      </c>
      <c r="K421" s="26">
        <v>1190</v>
      </c>
      <c r="L421" s="26">
        <v>1190</v>
      </c>
      <c r="M421" s="26">
        <v>1190</v>
      </c>
      <c r="N421" s="26"/>
      <c r="O421" s="26"/>
      <c r="P421" s="32"/>
      <c r="Q421" s="32"/>
      <c r="R421" s="26"/>
      <c r="S421" s="26"/>
      <c r="T421" s="26">
        <v>1190</v>
      </c>
      <c r="U421" s="26">
        <v>1190</v>
      </c>
      <c r="V421" s="26">
        <v>1190</v>
      </c>
      <c r="W421" s="26">
        <v>1190</v>
      </c>
      <c r="X421" s="32"/>
      <c r="Y421" s="32"/>
    </row>
    <row r="422" spans="1:27" x14ac:dyDescent="0.65">
      <c r="A422" s="108">
        <v>22</v>
      </c>
      <c r="B422" s="26">
        <v>1190</v>
      </c>
      <c r="C422" s="26">
        <v>1190</v>
      </c>
      <c r="D422" s="26">
        <v>1190</v>
      </c>
      <c r="E422" s="26">
        <v>1190</v>
      </c>
      <c r="F422" s="26"/>
      <c r="G422" s="26"/>
      <c r="H422" s="26">
        <v>1190</v>
      </c>
      <c r="I422" s="26">
        <v>1190</v>
      </c>
      <c r="J422" s="26">
        <v>1190</v>
      </c>
      <c r="K422" s="26">
        <v>1190</v>
      </c>
      <c r="L422" s="26"/>
      <c r="M422" s="26"/>
      <c r="N422" s="26">
        <v>1190</v>
      </c>
      <c r="O422" s="26">
        <v>1190</v>
      </c>
      <c r="P422" s="32"/>
      <c r="Q422" s="32"/>
      <c r="R422" s="26"/>
      <c r="S422" s="26"/>
      <c r="T422" s="26">
        <v>1190</v>
      </c>
      <c r="U422" s="26">
        <v>1190</v>
      </c>
      <c r="V422" s="26">
        <v>1190</v>
      </c>
      <c r="W422" s="26">
        <v>1190</v>
      </c>
      <c r="X422" s="32"/>
      <c r="Y422" s="32"/>
    </row>
    <row r="423" spans="1:27" x14ac:dyDescent="0.65">
      <c r="A423" s="108">
        <v>23</v>
      </c>
      <c r="B423" s="26">
        <v>1190</v>
      </c>
      <c r="C423" s="26">
        <v>1190</v>
      </c>
      <c r="D423" s="26"/>
      <c r="E423" s="26"/>
      <c r="F423" s="26"/>
      <c r="G423" s="26"/>
      <c r="H423" s="26">
        <v>1190</v>
      </c>
      <c r="I423" s="26">
        <v>1190</v>
      </c>
      <c r="J423" s="26">
        <v>1190</v>
      </c>
      <c r="K423" s="26">
        <v>1190</v>
      </c>
      <c r="L423" s="26"/>
      <c r="M423" s="26"/>
      <c r="N423" s="26">
        <v>1190</v>
      </c>
      <c r="O423" s="26">
        <v>1190</v>
      </c>
      <c r="P423" s="26"/>
      <c r="Q423" s="26"/>
      <c r="R423" s="26">
        <v>1190</v>
      </c>
      <c r="S423" s="26">
        <v>1190</v>
      </c>
      <c r="T423" s="26">
        <v>1190</v>
      </c>
      <c r="U423" s="26">
        <v>1190</v>
      </c>
      <c r="V423" s="26"/>
      <c r="W423" s="26"/>
      <c r="X423" s="32">
        <v>1190</v>
      </c>
      <c r="Y423" s="32">
        <v>1190</v>
      </c>
    </row>
    <row r="424" spans="1:27" x14ac:dyDescent="0.65">
      <c r="A424" s="108">
        <v>24</v>
      </c>
      <c r="B424" s="26">
        <v>1190</v>
      </c>
      <c r="C424" s="26">
        <v>1190</v>
      </c>
      <c r="D424" s="26"/>
      <c r="E424" s="26"/>
      <c r="F424" s="26"/>
      <c r="G424" s="26"/>
      <c r="H424" s="26">
        <v>1190</v>
      </c>
      <c r="I424" s="26">
        <v>1190</v>
      </c>
      <c r="J424" s="26">
        <v>1190</v>
      </c>
      <c r="K424" s="26">
        <v>1190</v>
      </c>
      <c r="L424" s="26">
        <v>1190</v>
      </c>
      <c r="M424" s="26">
        <v>1190</v>
      </c>
      <c r="N424" s="26">
        <v>1190</v>
      </c>
      <c r="O424" s="26">
        <v>1190</v>
      </c>
      <c r="P424" s="32"/>
      <c r="Q424" s="32"/>
      <c r="R424" s="26">
        <v>1190</v>
      </c>
      <c r="S424" s="26">
        <v>1190</v>
      </c>
      <c r="T424" s="26">
        <v>1190</v>
      </c>
      <c r="U424" s="26">
        <v>1190</v>
      </c>
      <c r="V424" s="26"/>
      <c r="W424" s="26"/>
      <c r="X424" s="26">
        <v>1190</v>
      </c>
      <c r="Y424" s="26">
        <v>1190</v>
      </c>
    </row>
    <row r="425" spans="1:27" x14ac:dyDescent="0.65">
      <c r="A425" s="108">
        <v>25</v>
      </c>
      <c r="B425" s="26">
        <v>1190</v>
      </c>
      <c r="C425" s="26">
        <v>1190</v>
      </c>
      <c r="D425" s="26">
        <v>1190</v>
      </c>
      <c r="E425" s="26">
        <v>1190</v>
      </c>
      <c r="F425" s="26">
        <v>1190</v>
      </c>
      <c r="G425" s="26">
        <v>1190</v>
      </c>
      <c r="H425" s="26">
        <v>1190</v>
      </c>
      <c r="I425" s="26">
        <v>1190</v>
      </c>
      <c r="J425" s="26"/>
      <c r="K425" s="26"/>
      <c r="L425" s="26">
        <v>1190</v>
      </c>
      <c r="M425" s="26">
        <v>1190</v>
      </c>
      <c r="N425" s="26">
        <v>1190</v>
      </c>
      <c r="O425" s="26">
        <v>1190</v>
      </c>
      <c r="P425" s="32"/>
      <c r="Q425" s="32"/>
      <c r="R425" s="26">
        <v>1190</v>
      </c>
      <c r="S425" s="26">
        <v>1190</v>
      </c>
      <c r="T425" s="26">
        <v>1190</v>
      </c>
      <c r="U425" s="26">
        <v>1190</v>
      </c>
      <c r="V425" s="26">
        <v>1190</v>
      </c>
      <c r="W425" s="26">
        <v>1190</v>
      </c>
      <c r="X425" s="26"/>
      <c r="Y425" s="26"/>
    </row>
    <row r="426" spans="1:27" x14ac:dyDescent="0.65">
      <c r="A426" s="108">
        <v>26</v>
      </c>
      <c r="B426" s="26"/>
      <c r="C426" s="26"/>
      <c r="D426" s="26">
        <v>1190</v>
      </c>
      <c r="E426" s="26">
        <v>1190</v>
      </c>
      <c r="F426" s="26">
        <v>1190</v>
      </c>
      <c r="G426" s="26">
        <v>1190</v>
      </c>
      <c r="H426" s="26">
        <v>1190</v>
      </c>
      <c r="I426" s="26">
        <v>1190</v>
      </c>
      <c r="J426" s="26"/>
      <c r="K426" s="26"/>
      <c r="L426" s="26">
        <v>1190</v>
      </c>
      <c r="M426" s="26">
        <v>1190</v>
      </c>
      <c r="N426" s="26">
        <v>1190</v>
      </c>
      <c r="O426" s="26">
        <v>1190</v>
      </c>
      <c r="P426" s="32"/>
      <c r="Q426" s="32"/>
      <c r="R426" s="26">
        <v>1190</v>
      </c>
      <c r="S426" s="26">
        <v>1190</v>
      </c>
      <c r="T426" s="26"/>
      <c r="U426" s="26"/>
      <c r="V426" s="26">
        <v>1190</v>
      </c>
      <c r="W426" s="26">
        <v>1190</v>
      </c>
      <c r="X426" s="32">
        <v>1190</v>
      </c>
      <c r="Y426" s="32">
        <v>1190</v>
      </c>
    </row>
    <row r="427" spans="1:27" x14ac:dyDescent="0.65">
      <c r="A427" s="108">
        <v>27</v>
      </c>
      <c r="B427" s="26"/>
      <c r="C427" s="26"/>
      <c r="D427" s="26">
        <v>1190</v>
      </c>
      <c r="E427" s="26">
        <v>1190</v>
      </c>
      <c r="F427" s="26">
        <v>1190</v>
      </c>
      <c r="G427" s="26">
        <v>1190</v>
      </c>
      <c r="H427" s="26"/>
      <c r="I427" s="26"/>
      <c r="J427" s="26">
        <v>1190</v>
      </c>
      <c r="K427" s="26">
        <v>1190</v>
      </c>
      <c r="L427" s="26">
        <v>1190</v>
      </c>
      <c r="M427" s="26">
        <v>1190</v>
      </c>
      <c r="N427" s="26"/>
      <c r="O427" s="26"/>
      <c r="P427" s="32">
        <v>1190</v>
      </c>
      <c r="Q427" s="32">
        <v>1190</v>
      </c>
      <c r="R427" s="26">
        <v>1190</v>
      </c>
      <c r="S427" s="26">
        <v>1190</v>
      </c>
      <c r="T427" s="26"/>
      <c r="U427" s="26"/>
      <c r="V427" s="26">
        <v>1190</v>
      </c>
      <c r="W427" s="26">
        <v>1190</v>
      </c>
      <c r="X427" s="26">
        <v>1190</v>
      </c>
      <c r="Y427" s="26">
        <v>1190</v>
      </c>
    </row>
    <row r="428" spans="1:27" x14ac:dyDescent="0.65">
      <c r="A428" s="108">
        <v>28</v>
      </c>
      <c r="B428" s="26">
        <v>1190</v>
      </c>
      <c r="C428" s="26">
        <v>1190</v>
      </c>
      <c r="D428" s="26">
        <v>1190</v>
      </c>
      <c r="E428" s="26">
        <v>1190</v>
      </c>
      <c r="F428" s="26">
        <v>1190</v>
      </c>
      <c r="G428" s="26">
        <v>1190</v>
      </c>
      <c r="H428" s="26"/>
      <c r="I428" s="26"/>
      <c r="J428" s="26">
        <v>1190</v>
      </c>
      <c r="K428" s="26">
        <v>1190</v>
      </c>
      <c r="L428" s="26">
        <v>1190</v>
      </c>
      <c r="M428" s="26">
        <v>1190</v>
      </c>
      <c r="N428" s="26"/>
      <c r="O428" s="26"/>
      <c r="P428" s="32">
        <v>1190</v>
      </c>
      <c r="Q428" s="32">
        <v>1190</v>
      </c>
      <c r="R428" s="26"/>
      <c r="S428" s="26"/>
      <c r="T428" s="26">
        <v>1190</v>
      </c>
      <c r="U428" s="26">
        <v>1190</v>
      </c>
      <c r="V428" s="26">
        <v>1190</v>
      </c>
      <c r="W428" s="26">
        <v>1190</v>
      </c>
      <c r="X428" s="32"/>
      <c r="Y428" s="32"/>
    </row>
    <row r="429" spans="1:27" x14ac:dyDescent="0.65">
      <c r="A429" s="108">
        <v>29</v>
      </c>
      <c r="B429" s="26">
        <v>1190</v>
      </c>
      <c r="C429" s="26">
        <v>1190</v>
      </c>
      <c r="D429" s="27"/>
      <c r="E429" s="27"/>
      <c r="F429" s="26">
        <v>1190</v>
      </c>
      <c r="G429" s="26">
        <v>1190</v>
      </c>
      <c r="H429" s="26">
        <v>1190</v>
      </c>
      <c r="I429" s="26">
        <v>1190</v>
      </c>
      <c r="J429" s="26">
        <v>1190</v>
      </c>
      <c r="K429" s="26">
        <v>1190</v>
      </c>
      <c r="L429" s="26"/>
      <c r="M429" s="26"/>
      <c r="N429" s="26">
        <v>1190</v>
      </c>
      <c r="O429" s="26">
        <v>1190</v>
      </c>
      <c r="P429" s="32">
        <v>1190</v>
      </c>
      <c r="Q429" s="32">
        <v>1190</v>
      </c>
      <c r="R429" s="26"/>
      <c r="S429" s="26"/>
      <c r="T429" s="26">
        <v>1190</v>
      </c>
      <c r="U429" s="26">
        <v>1190</v>
      </c>
      <c r="V429" s="26">
        <v>1190</v>
      </c>
      <c r="W429" s="26">
        <v>1190</v>
      </c>
      <c r="X429" s="32"/>
      <c r="Y429" s="32"/>
    </row>
    <row r="430" spans="1:27" x14ac:dyDescent="0.65">
      <c r="A430" s="108">
        <v>30</v>
      </c>
      <c r="B430" s="26">
        <v>1190</v>
      </c>
      <c r="C430" s="26">
        <v>1190</v>
      </c>
      <c r="D430" s="26"/>
      <c r="E430" s="26"/>
      <c r="F430" s="26"/>
      <c r="G430" s="26"/>
      <c r="H430" s="26">
        <v>1190</v>
      </c>
      <c r="I430" s="26">
        <v>1190</v>
      </c>
      <c r="J430" s="26">
        <v>1190</v>
      </c>
      <c r="K430" s="26">
        <v>1190</v>
      </c>
      <c r="L430" s="26"/>
      <c r="M430" s="26"/>
      <c r="N430" s="26">
        <v>1190</v>
      </c>
      <c r="O430" s="26">
        <v>1190</v>
      </c>
      <c r="P430" s="26">
        <v>1190</v>
      </c>
      <c r="Q430" s="26">
        <v>1190</v>
      </c>
      <c r="R430" s="26">
        <v>1190</v>
      </c>
      <c r="S430" s="26">
        <v>1190</v>
      </c>
      <c r="T430" s="26"/>
      <c r="U430" s="26"/>
      <c r="V430" s="26"/>
      <c r="W430" s="26"/>
      <c r="X430" s="32">
        <v>1190</v>
      </c>
      <c r="Y430" s="32">
        <v>1190</v>
      </c>
    </row>
    <row r="431" spans="1:27" ht="25.5" thickBot="1" x14ac:dyDescent="0.7">
      <c r="A431" s="109">
        <v>31</v>
      </c>
      <c r="B431" s="32">
        <v>1190</v>
      </c>
      <c r="C431" s="32">
        <v>1190</v>
      </c>
      <c r="D431" s="56"/>
      <c r="E431" s="56"/>
      <c r="F431" s="32"/>
      <c r="G431" s="32"/>
      <c r="H431" s="54"/>
      <c r="I431" s="54"/>
      <c r="J431" s="30">
        <v>1190</v>
      </c>
      <c r="K431" s="30">
        <v>1190</v>
      </c>
      <c r="L431" s="52"/>
      <c r="M431" s="52"/>
      <c r="N431" s="32">
        <v>1190</v>
      </c>
      <c r="O431" s="32">
        <v>1190</v>
      </c>
      <c r="P431" s="32"/>
      <c r="Q431" s="32"/>
      <c r="R431" s="32"/>
      <c r="S431" s="32"/>
      <c r="T431" s="32">
        <v>1190</v>
      </c>
      <c r="U431" s="32">
        <v>1190</v>
      </c>
      <c r="V431" s="30"/>
      <c r="W431" s="30"/>
      <c r="X431" s="32">
        <v>1190</v>
      </c>
      <c r="Y431" s="32">
        <v>1190</v>
      </c>
    </row>
    <row r="432" spans="1:27" ht="25.5" thickBot="1" x14ac:dyDescent="0.7">
      <c r="A432" s="17" t="s">
        <v>15</v>
      </c>
      <c r="B432" s="197">
        <f>AVERAGE(B401:B431)</f>
        <v>1190</v>
      </c>
      <c r="C432" s="197">
        <f t="shared" ref="C432:Y432" si="32">AVERAGE(C401:C431)</f>
        <v>1190</v>
      </c>
      <c r="D432" s="197">
        <f t="shared" si="32"/>
        <v>1190</v>
      </c>
      <c r="E432" s="197">
        <f t="shared" si="32"/>
        <v>1190</v>
      </c>
      <c r="F432" s="197">
        <f t="shared" si="32"/>
        <v>1190</v>
      </c>
      <c r="G432" s="197">
        <f t="shared" si="32"/>
        <v>1190</v>
      </c>
      <c r="H432" s="197">
        <f t="shared" si="32"/>
        <v>1190</v>
      </c>
      <c r="I432" s="197">
        <f t="shared" si="32"/>
        <v>1190</v>
      </c>
      <c r="J432" s="197">
        <f t="shared" si="32"/>
        <v>1190</v>
      </c>
      <c r="K432" s="197">
        <f t="shared" si="32"/>
        <v>1190</v>
      </c>
      <c r="L432" s="197">
        <f t="shared" si="32"/>
        <v>1190</v>
      </c>
      <c r="M432" s="197">
        <f t="shared" si="32"/>
        <v>1190</v>
      </c>
      <c r="N432" s="197">
        <f t="shared" si="32"/>
        <v>1190</v>
      </c>
      <c r="O432" s="197">
        <f t="shared" si="32"/>
        <v>1190</v>
      </c>
      <c r="P432" s="197">
        <f t="shared" si="32"/>
        <v>1190</v>
      </c>
      <c r="Q432" s="197">
        <f t="shared" si="32"/>
        <v>1190</v>
      </c>
      <c r="R432" s="197">
        <f t="shared" si="32"/>
        <v>1190</v>
      </c>
      <c r="S432" s="197">
        <f t="shared" si="32"/>
        <v>1190</v>
      </c>
      <c r="T432" s="197">
        <f t="shared" si="32"/>
        <v>1190</v>
      </c>
      <c r="U432" s="197">
        <f t="shared" si="32"/>
        <v>1190</v>
      </c>
      <c r="V432" s="197">
        <f t="shared" si="32"/>
        <v>1190</v>
      </c>
      <c r="W432" s="197">
        <f t="shared" si="32"/>
        <v>1190</v>
      </c>
      <c r="X432" s="197">
        <f t="shared" si="32"/>
        <v>1190</v>
      </c>
      <c r="Y432" s="197">
        <f t="shared" si="32"/>
        <v>1190</v>
      </c>
      <c r="Z432" s="57"/>
      <c r="AA432" s="57"/>
    </row>
    <row r="433" spans="1:25" ht="30" x14ac:dyDescent="0.65">
      <c r="A433" s="224" t="s">
        <v>36</v>
      </c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 spans="1:25" ht="25.5" thickBot="1" x14ac:dyDescent="0.7">
      <c r="A434" s="225" t="s">
        <v>71</v>
      </c>
      <c r="B434" s="225"/>
      <c r="C434" s="225"/>
      <c r="D434" s="225"/>
      <c r="E434" s="225"/>
      <c r="F434" s="225"/>
      <c r="G434" s="225"/>
      <c r="H434" s="225"/>
      <c r="I434" s="225"/>
      <c r="J434" s="225"/>
      <c r="K434" s="225"/>
      <c r="L434" s="225"/>
      <c r="M434" s="225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</row>
    <row r="435" spans="1:25" ht="25.5" thickBot="1" x14ac:dyDescent="0.7">
      <c r="A435" s="226" t="s">
        <v>2</v>
      </c>
      <c r="B435" s="228" t="s">
        <v>3</v>
      </c>
      <c r="C435" s="229"/>
      <c r="D435" s="228" t="s">
        <v>4</v>
      </c>
      <c r="E435" s="229"/>
      <c r="F435" s="228" t="s">
        <v>5</v>
      </c>
      <c r="G435" s="229"/>
      <c r="H435" s="228" t="s">
        <v>6</v>
      </c>
      <c r="I435" s="229"/>
      <c r="J435" s="228" t="s">
        <v>7</v>
      </c>
      <c r="K435" s="229"/>
      <c r="L435" s="228" t="s">
        <v>8</v>
      </c>
      <c r="M435" s="229"/>
      <c r="N435" s="228" t="s">
        <v>9</v>
      </c>
      <c r="O435" s="229"/>
      <c r="P435" s="228" t="s">
        <v>10</v>
      </c>
      <c r="Q435" s="229"/>
      <c r="R435" s="228" t="s">
        <v>11</v>
      </c>
      <c r="S435" s="229"/>
      <c r="T435" s="228" t="s">
        <v>12</v>
      </c>
      <c r="U435" s="229"/>
      <c r="V435" s="228" t="s">
        <v>21</v>
      </c>
      <c r="W435" s="229"/>
      <c r="X435" s="228" t="s">
        <v>14</v>
      </c>
      <c r="Y435" s="229"/>
    </row>
    <row r="436" spans="1:25" ht="25.5" thickBot="1" x14ac:dyDescent="0.7">
      <c r="A436" s="227"/>
      <c r="B436" s="17" t="s">
        <v>74</v>
      </c>
      <c r="C436" s="17" t="s">
        <v>75</v>
      </c>
      <c r="D436" s="17" t="s">
        <v>74</v>
      </c>
      <c r="E436" s="17" t="s">
        <v>75</v>
      </c>
      <c r="F436" s="17" t="s">
        <v>74</v>
      </c>
      <c r="G436" s="17" t="s">
        <v>75</v>
      </c>
      <c r="H436" s="17" t="s">
        <v>74</v>
      </c>
      <c r="I436" s="17" t="s">
        <v>75</v>
      </c>
      <c r="J436" s="17" t="s">
        <v>74</v>
      </c>
      <c r="K436" s="17" t="s">
        <v>75</v>
      </c>
      <c r="L436" s="17" t="s">
        <v>74</v>
      </c>
      <c r="M436" s="17" t="s">
        <v>75</v>
      </c>
      <c r="N436" s="17" t="s">
        <v>74</v>
      </c>
      <c r="O436" s="17" t="s">
        <v>75</v>
      </c>
      <c r="P436" s="17" t="s">
        <v>74</v>
      </c>
      <c r="Q436" s="17" t="s">
        <v>75</v>
      </c>
      <c r="R436" s="17" t="s">
        <v>74</v>
      </c>
      <c r="S436" s="17" t="s">
        <v>75</v>
      </c>
      <c r="T436" s="17" t="s">
        <v>74</v>
      </c>
      <c r="U436" s="17" t="s">
        <v>75</v>
      </c>
      <c r="V436" s="17" t="s">
        <v>74</v>
      </c>
      <c r="W436" s="17" t="s">
        <v>75</v>
      </c>
      <c r="X436" s="17" t="s">
        <v>74</v>
      </c>
      <c r="Y436" s="17" t="s">
        <v>75</v>
      </c>
    </row>
    <row r="437" spans="1:25" x14ac:dyDescent="0.65">
      <c r="A437" s="39">
        <v>1</v>
      </c>
      <c r="B437" s="32"/>
      <c r="C437" s="62"/>
      <c r="D437" s="32">
        <v>1190</v>
      </c>
      <c r="E437" s="30">
        <v>1190</v>
      </c>
      <c r="F437" s="32">
        <v>1190</v>
      </c>
      <c r="G437" s="30">
        <v>1190</v>
      </c>
      <c r="H437" s="32">
        <v>1190</v>
      </c>
      <c r="I437" s="26">
        <v>1190</v>
      </c>
      <c r="J437" s="30"/>
      <c r="K437" s="30"/>
      <c r="L437" s="32"/>
      <c r="M437" s="32"/>
      <c r="N437" s="32">
        <v>1190</v>
      </c>
      <c r="O437" s="32">
        <v>1190</v>
      </c>
      <c r="P437" s="32">
        <v>1190</v>
      </c>
      <c r="Q437" s="32">
        <v>1190</v>
      </c>
      <c r="R437" s="32">
        <v>1190</v>
      </c>
      <c r="S437" s="32">
        <v>1190</v>
      </c>
      <c r="T437" s="32">
        <v>1190</v>
      </c>
      <c r="U437" s="32">
        <v>1190</v>
      </c>
      <c r="V437" s="30"/>
      <c r="W437" s="30"/>
      <c r="X437" s="32">
        <v>1190</v>
      </c>
      <c r="Y437" s="32">
        <v>1190</v>
      </c>
    </row>
    <row r="438" spans="1:25" x14ac:dyDescent="0.65">
      <c r="A438" s="108">
        <v>2</v>
      </c>
      <c r="B438" s="26">
        <v>1190</v>
      </c>
      <c r="C438" s="26">
        <v>1190</v>
      </c>
      <c r="D438" s="26"/>
      <c r="E438" s="26"/>
      <c r="F438" s="26"/>
      <c r="G438" s="26"/>
      <c r="H438" s="32">
        <v>1190</v>
      </c>
      <c r="I438" s="26">
        <v>1190</v>
      </c>
      <c r="J438" s="26">
        <v>1190</v>
      </c>
      <c r="K438" s="30">
        <v>1190</v>
      </c>
      <c r="L438" s="26">
        <v>1190</v>
      </c>
      <c r="M438" s="26">
        <v>1190</v>
      </c>
      <c r="N438" s="26">
        <v>1190</v>
      </c>
      <c r="O438" s="26">
        <v>1190</v>
      </c>
      <c r="P438" s="26"/>
      <c r="Q438" s="26"/>
      <c r="R438" s="26">
        <v>1190</v>
      </c>
      <c r="S438" s="26">
        <v>1190</v>
      </c>
      <c r="T438" s="26">
        <v>1190</v>
      </c>
      <c r="U438" s="26">
        <v>1190</v>
      </c>
      <c r="V438" s="26"/>
      <c r="W438" s="26"/>
      <c r="X438" s="32">
        <v>1190</v>
      </c>
      <c r="Y438" s="32">
        <v>1190</v>
      </c>
    </row>
    <row r="439" spans="1:25" x14ac:dyDescent="0.65">
      <c r="A439" s="108">
        <v>3</v>
      </c>
      <c r="B439" s="26">
        <v>1190</v>
      </c>
      <c r="C439" s="26">
        <v>1190</v>
      </c>
      <c r="D439" s="26"/>
      <c r="E439" s="26"/>
      <c r="F439" s="26"/>
      <c r="G439" s="26"/>
      <c r="H439" s="32">
        <v>1190</v>
      </c>
      <c r="I439" s="26">
        <v>1190</v>
      </c>
      <c r="J439" s="26"/>
      <c r="K439" s="26"/>
      <c r="L439" s="26">
        <v>1190</v>
      </c>
      <c r="M439" s="26">
        <v>1190</v>
      </c>
      <c r="N439" s="26">
        <v>1190</v>
      </c>
      <c r="O439" s="26">
        <v>1190</v>
      </c>
      <c r="P439" s="32"/>
      <c r="Q439" s="32"/>
      <c r="R439" s="26">
        <v>1190</v>
      </c>
      <c r="S439" s="26">
        <v>1190</v>
      </c>
      <c r="T439" s="26"/>
      <c r="U439" s="26"/>
      <c r="V439" s="26">
        <v>1190</v>
      </c>
      <c r="W439" s="26">
        <v>1190</v>
      </c>
      <c r="X439" s="32">
        <v>1190</v>
      </c>
      <c r="Y439" s="32">
        <v>1190</v>
      </c>
    </row>
    <row r="440" spans="1:25" x14ac:dyDescent="0.65">
      <c r="A440" s="108">
        <v>4</v>
      </c>
      <c r="B440" s="26">
        <v>1190</v>
      </c>
      <c r="C440" s="26">
        <v>1190</v>
      </c>
      <c r="D440" s="26">
        <v>1190</v>
      </c>
      <c r="E440" s="26">
        <v>1190</v>
      </c>
      <c r="F440" s="26">
        <v>1190</v>
      </c>
      <c r="G440" s="26">
        <v>1190</v>
      </c>
      <c r="H440" s="32">
        <v>1190</v>
      </c>
      <c r="I440" s="26">
        <v>1190</v>
      </c>
      <c r="J440" s="26"/>
      <c r="K440" s="26"/>
      <c r="L440" s="26"/>
      <c r="M440" s="26"/>
      <c r="N440" s="26">
        <v>1190</v>
      </c>
      <c r="O440" s="26">
        <v>1190</v>
      </c>
      <c r="P440" s="32">
        <v>1190</v>
      </c>
      <c r="Q440" s="32">
        <v>1190</v>
      </c>
      <c r="R440" s="26">
        <v>1190</v>
      </c>
      <c r="S440" s="26">
        <v>1190</v>
      </c>
      <c r="T440" s="26"/>
      <c r="U440" s="26"/>
      <c r="V440" s="26">
        <v>1190</v>
      </c>
      <c r="W440" s="26">
        <v>1190</v>
      </c>
      <c r="X440" s="32">
        <v>1190</v>
      </c>
      <c r="Y440" s="32">
        <v>1190</v>
      </c>
    </row>
    <row r="441" spans="1:25" x14ac:dyDescent="0.65">
      <c r="A441" s="108">
        <v>5</v>
      </c>
      <c r="B441" s="26"/>
      <c r="C441" s="26"/>
      <c r="D441" s="26">
        <v>1190</v>
      </c>
      <c r="E441" s="26">
        <v>1190</v>
      </c>
      <c r="F441" s="26">
        <v>1190</v>
      </c>
      <c r="G441" s="26">
        <v>1190</v>
      </c>
      <c r="H441" s="32"/>
      <c r="I441" s="26"/>
      <c r="J441" s="26">
        <v>1190</v>
      </c>
      <c r="K441" s="26">
        <v>1190</v>
      </c>
      <c r="L441" s="26"/>
      <c r="M441" s="26"/>
      <c r="N441" s="26"/>
      <c r="O441" s="26"/>
      <c r="P441" s="32">
        <v>1190</v>
      </c>
      <c r="Q441" s="32">
        <v>1190</v>
      </c>
      <c r="R441" s="26">
        <v>1190</v>
      </c>
      <c r="S441" s="26">
        <v>1190</v>
      </c>
      <c r="T441" s="26"/>
      <c r="U441" s="26"/>
      <c r="V441" s="26">
        <v>1190</v>
      </c>
      <c r="W441" s="26">
        <v>1190</v>
      </c>
      <c r="X441" s="32">
        <v>1190</v>
      </c>
      <c r="Y441" s="32">
        <v>1190</v>
      </c>
    </row>
    <row r="442" spans="1:25" x14ac:dyDescent="0.65">
      <c r="A442" s="108">
        <v>6</v>
      </c>
      <c r="B442" s="26"/>
      <c r="C442" s="26"/>
      <c r="D442" s="26">
        <v>1190</v>
      </c>
      <c r="E442" s="26">
        <v>1190</v>
      </c>
      <c r="F442" s="26">
        <v>1190</v>
      </c>
      <c r="G442" s="26">
        <v>1190</v>
      </c>
      <c r="H442" s="32"/>
      <c r="I442" s="26"/>
      <c r="J442" s="26">
        <v>1190</v>
      </c>
      <c r="K442" s="26">
        <v>1190</v>
      </c>
      <c r="L442" s="26"/>
      <c r="M442" s="26"/>
      <c r="N442" s="26"/>
      <c r="O442" s="26"/>
      <c r="P442" s="32">
        <v>1190</v>
      </c>
      <c r="Q442" s="32">
        <v>1190</v>
      </c>
      <c r="R442" s="26"/>
      <c r="S442" s="26"/>
      <c r="T442" s="26">
        <v>1190</v>
      </c>
      <c r="U442" s="26">
        <v>1190</v>
      </c>
      <c r="V442" s="26">
        <v>1190</v>
      </c>
      <c r="W442" s="26">
        <v>1190</v>
      </c>
      <c r="X442" s="26"/>
      <c r="Y442" s="26"/>
    </row>
    <row r="443" spans="1:25" x14ac:dyDescent="0.65">
      <c r="A443" s="108">
        <v>7</v>
      </c>
      <c r="B443" s="26">
        <v>1190</v>
      </c>
      <c r="C443" s="26">
        <v>1190</v>
      </c>
      <c r="D443" s="26">
        <v>1190</v>
      </c>
      <c r="E443" s="26">
        <v>1190</v>
      </c>
      <c r="F443" s="26">
        <v>1190</v>
      </c>
      <c r="G443" s="26">
        <v>1190</v>
      </c>
      <c r="H443" s="32">
        <v>1190</v>
      </c>
      <c r="I443" s="26">
        <v>1190</v>
      </c>
      <c r="J443" s="26">
        <v>1190</v>
      </c>
      <c r="K443" s="26">
        <v>1190</v>
      </c>
      <c r="L443" s="26"/>
      <c r="M443" s="26"/>
      <c r="N443" s="26">
        <v>1190</v>
      </c>
      <c r="O443" s="26">
        <v>1190</v>
      </c>
      <c r="P443" s="32">
        <v>1190</v>
      </c>
      <c r="Q443" s="32">
        <v>1190</v>
      </c>
      <c r="R443" s="26"/>
      <c r="S443" s="26"/>
      <c r="T443" s="26">
        <v>1190</v>
      </c>
      <c r="U443" s="26">
        <v>1190</v>
      </c>
      <c r="V443" s="26">
        <v>1190</v>
      </c>
      <c r="W443" s="26">
        <v>1190</v>
      </c>
      <c r="X443" s="32"/>
      <c r="Y443" s="32"/>
    </row>
    <row r="444" spans="1:25" x14ac:dyDescent="0.65">
      <c r="A444" s="108">
        <v>8</v>
      </c>
      <c r="B444" s="26">
        <v>1190</v>
      </c>
      <c r="C444" s="26">
        <v>1190</v>
      </c>
      <c r="D444" s="26">
        <v>1190</v>
      </c>
      <c r="E444" s="26">
        <v>1190</v>
      </c>
      <c r="F444" s="26">
        <v>1190</v>
      </c>
      <c r="G444" s="26">
        <v>1190</v>
      </c>
      <c r="H444" s="32">
        <v>1190</v>
      </c>
      <c r="I444" s="26">
        <v>1190</v>
      </c>
      <c r="J444" s="26">
        <v>1190</v>
      </c>
      <c r="K444" s="26">
        <v>1190</v>
      </c>
      <c r="L444" s="26"/>
      <c r="M444" s="26"/>
      <c r="N444" s="26">
        <v>1190</v>
      </c>
      <c r="O444" s="26">
        <v>1190</v>
      </c>
      <c r="P444" s="32">
        <v>1190</v>
      </c>
      <c r="Q444" s="32">
        <v>1190</v>
      </c>
      <c r="R444" s="26">
        <v>1190</v>
      </c>
      <c r="S444" s="26">
        <v>1190</v>
      </c>
      <c r="T444" s="26">
        <v>1190</v>
      </c>
      <c r="U444" s="26">
        <v>1190</v>
      </c>
      <c r="V444" s="26"/>
      <c r="W444" s="26"/>
      <c r="X444" s="32">
        <v>1190</v>
      </c>
      <c r="Y444" s="32">
        <v>1190</v>
      </c>
    </row>
    <row r="445" spans="1:25" x14ac:dyDescent="0.65">
      <c r="A445" s="108">
        <v>9</v>
      </c>
      <c r="B445" s="26">
        <v>1190</v>
      </c>
      <c r="C445" s="26">
        <v>1190</v>
      </c>
      <c r="D445" s="26"/>
      <c r="E445" s="26"/>
      <c r="F445" s="26"/>
      <c r="G445" s="26"/>
      <c r="H445" s="32">
        <v>1190</v>
      </c>
      <c r="I445" s="26">
        <v>1190</v>
      </c>
      <c r="J445" s="26">
        <v>1190</v>
      </c>
      <c r="K445" s="26">
        <v>1190</v>
      </c>
      <c r="L445" s="26">
        <v>1190</v>
      </c>
      <c r="M445" s="26">
        <v>1190</v>
      </c>
      <c r="N445" s="26">
        <v>1190</v>
      </c>
      <c r="O445" s="26">
        <v>1190</v>
      </c>
      <c r="P445" s="26"/>
      <c r="Q445" s="26"/>
      <c r="R445" s="26">
        <v>1190</v>
      </c>
      <c r="S445" s="26">
        <v>1190</v>
      </c>
      <c r="T445" s="26">
        <v>1190</v>
      </c>
      <c r="U445" s="26">
        <v>1190</v>
      </c>
      <c r="V445" s="26"/>
      <c r="W445" s="26"/>
      <c r="X445" s="32">
        <v>1190</v>
      </c>
      <c r="Y445" s="32">
        <v>1190</v>
      </c>
    </row>
    <row r="446" spans="1:25" x14ac:dyDescent="0.65">
      <c r="A446" s="108">
        <v>10</v>
      </c>
      <c r="B446" s="26">
        <v>1190</v>
      </c>
      <c r="C446" s="26">
        <v>1190</v>
      </c>
      <c r="D446" s="26"/>
      <c r="E446" s="26"/>
      <c r="F446" s="26"/>
      <c r="G446" s="26"/>
      <c r="H446" s="32">
        <v>1190</v>
      </c>
      <c r="I446" s="26">
        <v>1190</v>
      </c>
      <c r="J446" s="26"/>
      <c r="K446" s="26"/>
      <c r="L446" s="26">
        <v>1190</v>
      </c>
      <c r="M446" s="26">
        <v>1190</v>
      </c>
      <c r="N446" s="26">
        <v>1190</v>
      </c>
      <c r="O446" s="26">
        <v>1190</v>
      </c>
      <c r="P446" s="32"/>
      <c r="Q446" s="32"/>
      <c r="R446" s="26"/>
      <c r="S446" s="26"/>
      <c r="T446" s="26">
        <v>1190</v>
      </c>
      <c r="U446" s="26">
        <v>1190</v>
      </c>
      <c r="V446" s="26">
        <v>1190</v>
      </c>
      <c r="W446" s="26">
        <v>1190</v>
      </c>
      <c r="X446" s="32"/>
      <c r="Y446" s="32"/>
    </row>
    <row r="447" spans="1:25" x14ac:dyDescent="0.65">
      <c r="A447" s="108">
        <v>11</v>
      </c>
      <c r="B447" s="26">
        <v>1190</v>
      </c>
      <c r="C447" s="26">
        <v>1190</v>
      </c>
      <c r="D447" s="26">
        <v>1190</v>
      </c>
      <c r="E447" s="26">
        <v>1190</v>
      </c>
      <c r="F447" s="26">
        <v>1190</v>
      </c>
      <c r="G447" s="26">
        <v>1190</v>
      </c>
      <c r="H447" s="32">
        <v>1190</v>
      </c>
      <c r="I447" s="26">
        <v>1190</v>
      </c>
      <c r="J447" s="26"/>
      <c r="K447" s="26"/>
      <c r="L447" s="26">
        <v>1190</v>
      </c>
      <c r="M447" s="26">
        <v>1190</v>
      </c>
      <c r="N447" s="26">
        <v>1190</v>
      </c>
      <c r="O447" s="26">
        <v>1190</v>
      </c>
      <c r="P447" s="32"/>
      <c r="Q447" s="32"/>
      <c r="R447" s="26">
        <v>1190</v>
      </c>
      <c r="S447" s="26">
        <v>1190</v>
      </c>
      <c r="T447" s="26"/>
      <c r="U447" s="26"/>
      <c r="V447" s="26">
        <v>1190</v>
      </c>
      <c r="W447" s="26">
        <v>1190</v>
      </c>
      <c r="X447" s="32">
        <v>1190</v>
      </c>
      <c r="Y447" s="32">
        <v>1190</v>
      </c>
    </row>
    <row r="448" spans="1:25" x14ac:dyDescent="0.65">
      <c r="A448" s="108">
        <v>12</v>
      </c>
      <c r="B448" s="26"/>
      <c r="C448" s="26"/>
      <c r="D448" s="26">
        <v>1190</v>
      </c>
      <c r="E448" s="26">
        <v>1190</v>
      </c>
      <c r="F448" s="26">
        <v>1190</v>
      </c>
      <c r="G448" s="26">
        <v>1190</v>
      </c>
      <c r="H448" s="32"/>
      <c r="I448" s="26"/>
      <c r="J448" s="26">
        <v>1190</v>
      </c>
      <c r="K448" s="26">
        <v>1190</v>
      </c>
      <c r="L448" s="26">
        <v>1190</v>
      </c>
      <c r="M448" s="26">
        <v>1190</v>
      </c>
      <c r="N448" s="26"/>
      <c r="O448" s="26"/>
      <c r="P448" s="32"/>
      <c r="Q448" s="32"/>
      <c r="R448" s="26">
        <v>1190</v>
      </c>
      <c r="S448" s="26">
        <v>1190</v>
      </c>
      <c r="T448" s="26"/>
      <c r="U448" s="26"/>
      <c r="V448" s="26">
        <v>1190</v>
      </c>
      <c r="W448" s="26">
        <v>1190</v>
      </c>
      <c r="X448" s="32">
        <v>1190</v>
      </c>
      <c r="Y448" s="32">
        <v>1190</v>
      </c>
    </row>
    <row r="449" spans="1:25" x14ac:dyDescent="0.65">
      <c r="A449" s="108">
        <v>13</v>
      </c>
      <c r="B449" s="26"/>
      <c r="C449" s="26"/>
      <c r="D449" s="26">
        <v>1190</v>
      </c>
      <c r="E449" s="26">
        <v>1190</v>
      </c>
      <c r="F449" s="26">
        <v>1190</v>
      </c>
      <c r="G449" s="26">
        <v>1190</v>
      </c>
      <c r="H449" s="32"/>
      <c r="I449" s="26"/>
      <c r="J449" s="26">
        <v>1190</v>
      </c>
      <c r="K449" s="26">
        <v>1190</v>
      </c>
      <c r="L449" s="26">
        <v>1190</v>
      </c>
      <c r="M449" s="26">
        <v>1190</v>
      </c>
      <c r="N449" s="26"/>
      <c r="O449" s="26"/>
      <c r="P449" s="32"/>
      <c r="Q449" s="32"/>
      <c r="R449" s="26"/>
      <c r="S449" s="26"/>
      <c r="T449" s="26">
        <v>1190</v>
      </c>
      <c r="U449" s="26">
        <v>1190</v>
      </c>
      <c r="V449" s="26">
        <v>1190</v>
      </c>
      <c r="W449" s="26">
        <v>1190</v>
      </c>
      <c r="X449" s="26"/>
      <c r="Y449" s="26"/>
    </row>
    <row r="450" spans="1:25" x14ac:dyDescent="0.65">
      <c r="A450" s="108">
        <v>14</v>
      </c>
      <c r="B450" s="26">
        <v>1190</v>
      </c>
      <c r="C450" s="26">
        <v>1190</v>
      </c>
      <c r="D450" s="26">
        <v>1190</v>
      </c>
      <c r="E450" s="26">
        <v>1190</v>
      </c>
      <c r="F450" s="26">
        <v>1190</v>
      </c>
      <c r="G450" s="26">
        <v>1190</v>
      </c>
      <c r="H450" s="32">
        <v>1190</v>
      </c>
      <c r="I450" s="26">
        <v>1190</v>
      </c>
      <c r="J450" s="26">
        <v>1190</v>
      </c>
      <c r="K450" s="26">
        <v>1190</v>
      </c>
      <c r="L450" s="26"/>
      <c r="M450" s="26"/>
      <c r="N450" s="26"/>
      <c r="O450" s="26"/>
      <c r="P450" s="32"/>
      <c r="Q450" s="32"/>
      <c r="R450" s="26"/>
      <c r="S450" s="26"/>
      <c r="T450" s="26">
        <v>1190</v>
      </c>
      <c r="U450" s="26">
        <v>1190</v>
      </c>
      <c r="V450" s="26">
        <v>1190</v>
      </c>
      <c r="W450" s="26">
        <v>1190</v>
      </c>
      <c r="X450" s="32"/>
      <c r="Y450" s="32"/>
    </row>
    <row r="451" spans="1:25" x14ac:dyDescent="0.65">
      <c r="A451" s="108">
        <v>15</v>
      </c>
      <c r="B451" s="26">
        <v>1190</v>
      </c>
      <c r="C451" s="26">
        <v>1190</v>
      </c>
      <c r="D451" s="26">
        <v>1190</v>
      </c>
      <c r="E451" s="26">
        <v>1190</v>
      </c>
      <c r="F451" s="26">
        <v>1190</v>
      </c>
      <c r="G451" s="26">
        <v>1190</v>
      </c>
      <c r="H451" s="32">
        <v>1190</v>
      </c>
      <c r="I451" s="26">
        <v>1190</v>
      </c>
      <c r="J451" s="26">
        <v>1190</v>
      </c>
      <c r="K451" s="26">
        <v>1190</v>
      </c>
      <c r="L451" s="26"/>
      <c r="M451" s="26"/>
      <c r="N451" s="26">
        <v>1190</v>
      </c>
      <c r="O451" s="26">
        <v>1190</v>
      </c>
      <c r="P451" s="32"/>
      <c r="Q451" s="32"/>
      <c r="R451" s="26">
        <v>1190</v>
      </c>
      <c r="S451" s="26">
        <v>1190</v>
      </c>
      <c r="T451" s="26">
        <v>1190</v>
      </c>
      <c r="U451" s="26">
        <v>1190</v>
      </c>
      <c r="V451" s="26"/>
      <c r="W451" s="26"/>
      <c r="X451" s="32">
        <v>1190</v>
      </c>
      <c r="Y451" s="32">
        <v>1190</v>
      </c>
    </row>
    <row r="452" spans="1:25" x14ac:dyDescent="0.65">
      <c r="A452" s="108">
        <v>16</v>
      </c>
      <c r="B452" s="26">
        <v>1190</v>
      </c>
      <c r="C452" s="26">
        <v>1190</v>
      </c>
      <c r="D452" s="26"/>
      <c r="E452" s="26"/>
      <c r="F452" s="26"/>
      <c r="G452" s="26"/>
      <c r="H452" s="32">
        <v>1190</v>
      </c>
      <c r="I452" s="26">
        <v>1190</v>
      </c>
      <c r="J452" s="26">
        <v>1190</v>
      </c>
      <c r="K452" s="26">
        <v>1190</v>
      </c>
      <c r="L452" s="26">
        <v>1190</v>
      </c>
      <c r="M452" s="26">
        <v>1190</v>
      </c>
      <c r="N452" s="26">
        <v>1190</v>
      </c>
      <c r="O452" s="26">
        <v>1190</v>
      </c>
      <c r="P452" s="26"/>
      <c r="Q452" s="26"/>
      <c r="R452" s="26">
        <v>1190</v>
      </c>
      <c r="S452" s="26">
        <v>1190</v>
      </c>
      <c r="T452" s="26">
        <v>1190</v>
      </c>
      <c r="U452" s="26">
        <v>1190</v>
      </c>
      <c r="V452" s="26"/>
      <c r="W452" s="26"/>
      <c r="X452" s="32">
        <v>1190</v>
      </c>
      <c r="Y452" s="32">
        <v>1190</v>
      </c>
    </row>
    <row r="453" spans="1:25" x14ac:dyDescent="0.65">
      <c r="A453" s="108">
        <v>17</v>
      </c>
      <c r="B453" s="26">
        <v>1190</v>
      </c>
      <c r="C453" s="26">
        <v>1190</v>
      </c>
      <c r="D453" s="26"/>
      <c r="E453" s="26"/>
      <c r="F453" s="26"/>
      <c r="G453" s="26"/>
      <c r="H453" s="32">
        <v>1190</v>
      </c>
      <c r="I453" s="26">
        <v>1190</v>
      </c>
      <c r="J453" s="26"/>
      <c r="K453" s="26"/>
      <c r="L453" s="26">
        <v>1190</v>
      </c>
      <c r="M453" s="26">
        <v>1190</v>
      </c>
      <c r="N453" s="26">
        <v>1190</v>
      </c>
      <c r="O453" s="26">
        <v>1190</v>
      </c>
      <c r="P453" s="32"/>
      <c r="Q453" s="32"/>
      <c r="R453" s="26">
        <v>1190</v>
      </c>
      <c r="S453" s="26">
        <v>1190</v>
      </c>
      <c r="T453" s="26">
        <v>1190</v>
      </c>
      <c r="U453" s="26">
        <v>1190</v>
      </c>
      <c r="V453" s="26">
        <v>1190</v>
      </c>
      <c r="W453" s="26">
        <v>1190</v>
      </c>
      <c r="X453" s="32">
        <v>1190</v>
      </c>
      <c r="Y453" s="32">
        <v>1190</v>
      </c>
    </row>
    <row r="454" spans="1:25" x14ac:dyDescent="0.65">
      <c r="A454" s="108">
        <v>18</v>
      </c>
      <c r="B454" s="26">
        <v>1190</v>
      </c>
      <c r="C454" s="26">
        <v>1190</v>
      </c>
      <c r="D454" s="26">
        <v>1190</v>
      </c>
      <c r="E454" s="26">
        <v>1190</v>
      </c>
      <c r="F454" s="26">
        <v>1190</v>
      </c>
      <c r="G454" s="26">
        <v>1190</v>
      </c>
      <c r="H454" s="32">
        <v>1190</v>
      </c>
      <c r="I454" s="26">
        <v>1190</v>
      </c>
      <c r="J454" s="26"/>
      <c r="K454" s="26"/>
      <c r="L454" s="26">
        <v>1190</v>
      </c>
      <c r="M454" s="26">
        <v>1190</v>
      </c>
      <c r="N454" s="26">
        <v>1190</v>
      </c>
      <c r="O454" s="26">
        <v>1190</v>
      </c>
      <c r="P454" s="32">
        <v>1190</v>
      </c>
      <c r="Q454" s="32">
        <v>1190</v>
      </c>
      <c r="R454" s="26">
        <v>1190</v>
      </c>
      <c r="S454" s="26">
        <v>1190</v>
      </c>
      <c r="T454" s="26"/>
      <c r="U454" s="26"/>
      <c r="V454" s="26">
        <v>1190</v>
      </c>
      <c r="W454" s="26">
        <v>1190</v>
      </c>
      <c r="X454" s="32">
        <v>1190</v>
      </c>
      <c r="Y454" s="32">
        <v>1190</v>
      </c>
    </row>
    <row r="455" spans="1:25" x14ac:dyDescent="0.65">
      <c r="A455" s="108">
        <v>19</v>
      </c>
      <c r="B455" s="26"/>
      <c r="C455" s="26"/>
      <c r="D455" s="26">
        <v>1190</v>
      </c>
      <c r="E455" s="26">
        <v>1190</v>
      </c>
      <c r="F455" s="26">
        <v>1190</v>
      </c>
      <c r="G455" s="26">
        <v>1190</v>
      </c>
      <c r="H455" s="32"/>
      <c r="I455" s="26"/>
      <c r="J455" s="26">
        <v>1190</v>
      </c>
      <c r="K455" s="26">
        <v>1190</v>
      </c>
      <c r="L455" s="26">
        <v>1190</v>
      </c>
      <c r="M455" s="26">
        <v>1190</v>
      </c>
      <c r="N455" s="26"/>
      <c r="O455" s="26"/>
      <c r="P455" s="32">
        <v>1190</v>
      </c>
      <c r="Q455" s="32">
        <v>1190</v>
      </c>
      <c r="R455" s="26">
        <v>1190</v>
      </c>
      <c r="S455" s="26">
        <v>1190</v>
      </c>
      <c r="T455" s="26"/>
      <c r="U455" s="26"/>
      <c r="V455" s="26">
        <v>1190</v>
      </c>
      <c r="W455" s="26">
        <v>1190</v>
      </c>
      <c r="X455" s="32">
        <v>1190</v>
      </c>
      <c r="Y455" s="32">
        <v>1190</v>
      </c>
    </row>
    <row r="456" spans="1:25" x14ac:dyDescent="0.65">
      <c r="A456" s="108">
        <v>20</v>
      </c>
      <c r="B456" s="26"/>
      <c r="C456" s="26"/>
      <c r="D456" s="26">
        <v>1190</v>
      </c>
      <c r="E456" s="26">
        <v>1190</v>
      </c>
      <c r="F456" s="26">
        <v>1190</v>
      </c>
      <c r="G456" s="26">
        <v>1190</v>
      </c>
      <c r="H456" s="32"/>
      <c r="I456" s="26"/>
      <c r="J456" s="26">
        <v>1190</v>
      </c>
      <c r="K456" s="26">
        <v>1190</v>
      </c>
      <c r="L456" s="26">
        <v>1190</v>
      </c>
      <c r="M456" s="26">
        <v>1190</v>
      </c>
      <c r="N456" s="26"/>
      <c r="O456" s="26"/>
      <c r="P456" s="32">
        <v>1190</v>
      </c>
      <c r="Q456" s="32">
        <v>1190</v>
      </c>
      <c r="R456" s="26"/>
      <c r="S456" s="26"/>
      <c r="T456" s="26">
        <v>1190</v>
      </c>
      <c r="U456" s="26">
        <v>1190</v>
      </c>
      <c r="V456" s="26">
        <v>1190</v>
      </c>
      <c r="W456" s="26">
        <v>1190</v>
      </c>
      <c r="X456" s="26"/>
      <c r="Y456" s="26"/>
    </row>
    <row r="457" spans="1:25" x14ac:dyDescent="0.65">
      <c r="A457" s="108">
        <v>21</v>
      </c>
      <c r="B457" s="26">
        <v>1190</v>
      </c>
      <c r="C457" s="26">
        <v>1190</v>
      </c>
      <c r="D457" s="26">
        <v>1190</v>
      </c>
      <c r="E457" s="26">
        <v>1190</v>
      </c>
      <c r="F457" s="26"/>
      <c r="G457" s="26"/>
      <c r="H457" s="32">
        <v>1190</v>
      </c>
      <c r="I457" s="26">
        <v>1190</v>
      </c>
      <c r="J457" s="26">
        <v>1190</v>
      </c>
      <c r="K457" s="26">
        <v>1190</v>
      </c>
      <c r="L457" s="26"/>
      <c r="M457" s="26"/>
      <c r="N457" s="26">
        <v>1190</v>
      </c>
      <c r="O457" s="26">
        <v>1190</v>
      </c>
      <c r="P457" s="32">
        <v>1190</v>
      </c>
      <c r="Q457" s="32">
        <v>1190</v>
      </c>
      <c r="R457" s="26"/>
      <c r="S457" s="26"/>
      <c r="T457" s="26">
        <v>1190</v>
      </c>
      <c r="U457" s="26">
        <v>1190</v>
      </c>
      <c r="V457" s="26">
        <v>1190</v>
      </c>
      <c r="W457" s="26">
        <v>1190</v>
      </c>
      <c r="X457" s="32"/>
      <c r="Y457" s="32"/>
    </row>
    <row r="458" spans="1:25" x14ac:dyDescent="0.65">
      <c r="A458" s="108">
        <v>22</v>
      </c>
      <c r="B458" s="26">
        <v>1190</v>
      </c>
      <c r="C458" s="26">
        <v>1190</v>
      </c>
      <c r="D458" s="26">
        <v>1190</v>
      </c>
      <c r="E458" s="26">
        <v>1190</v>
      </c>
      <c r="F458" s="26"/>
      <c r="G458" s="26"/>
      <c r="H458" s="32">
        <v>1190</v>
      </c>
      <c r="I458" s="26">
        <v>1190</v>
      </c>
      <c r="J458" s="26">
        <v>1190</v>
      </c>
      <c r="K458" s="26">
        <v>1190</v>
      </c>
      <c r="L458" s="26"/>
      <c r="M458" s="26"/>
      <c r="N458" s="26">
        <v>1190</v>
      </c>
      <c r="O458" s="26">
        <v>1190</v>
      </c>
      <c r="P458" s="32">
        <v>1190</v>
      </c>
      <c r="Q458" s="32">
        <v>1190</v>
      </c>
      <c r="R458" s="26">
        <v>1190</v>
      </c>
      <c r="S458" s="26">
        <v>1190</v>
      </c>
      <c r="T458" s="26">
        <v>1190</v>
      </c>
      <c r="U458" s="26">
        <v>1190</v>
      </c>
      <c r="V458" s="26"/>
      <c r="W458" s="26"/>
      <c r="X458" s="32">
        <v>1190</v>
      </c>
      <c r="Y458" s="32">
        <v>1190</v>
      </c>
    </row>
    <row r="459" spans="1:25" x14ac:dyDescent="0.65">
      <c r="A459" s="108">
        <v>23</v>
      </c>
      <c r="B459" s="26">
        <v>1190</v>
      </c>
      <c r="C459" s="26">
        <v>1190</v>
      </c>
      <c r="D459" s="26"/>
      <c r="E459" s="26"/>
      <c r="F459" s="26"/>
      <c r="G459" s="26"/>
      <c r="H459" s="32">
        <v>1190</v>
      </c>
      <c r="I459" s="26">
        <v>1190</v>
      </c>
      <c r="J459" s="26">
        <v>1190</v>
      </c>
      <c r="K459" s="26">
        <v>1190</v>
      </c>
      <c r="L459" s="26">
        <v>1190</v>
      </c>
      <c r="M459" s="26">
        <v>1190</v>
      </c>
      <c r="N459" s="26">
        <v>1190</v>
      </c>
      <c r="O459" s="26">
        <v>1190</v>
      </c>
      <c r="P459" s="26"/>
      <c r="Q459" s="26"/>
      <c r="R459" s="26">
        <v>1190</v>
      </c>
      <c r="S459" s="26">
        <v>1190</v>
      </c>
      <c r="T459" s="26">
        <v>1190</v>
      </c>
      <c r="U459" s="26">
        <v>1190</v>
      </c>
      <c r="V459" s="26"/>
      <c r="W459" s="26"/>
      <c r="X459" s="32">
        <v>1190</v>
      </c>
      <c r="Y459" s="32">
        <v>1190</v>
      </c>
    </row>
    <row r="460" spans="1:25" x14ac:dyDescent="0.65">
      <c r="A460" s="108">
        <v>24</v>
      </c>
      <c r="B460" s="26">
        <v>1190</v>
      </c>
      <c r="C460" s="26">
        <v>1190</v>
      </c>
      <c r="D460" s="26"/>
      <c r="E460" s="26"/>
      <c r="F460" s="26"/>
      <c r="G460" s="26"/>
      <c r="H460" s="32">
        <v>1190</v>
      </c>
      <c r="I460" s="26">
        <v>1190</v>
      </c>
      <c r="J460" s="26"/>
      <c r="K460" s="26"/>
      <c r="L460" s="26">
        <v>1190</v>
      </c>
      <c r="M460" s="26">
        <v>1190</v>
      </c>
      <c r="N460" s="26">
        <v>1190</v>
      </c>
      <c r="O460" s="26">
        <v>1190</v>
      </c>
      <c r="P460" s="32"/>
      <c r="Q460" s="32"/>
      <c r="R460" s="26">
        <v>1190</v>
      </c>
      <c r="S460" s="26">
        <v>1190</v>
      </c>
      <c r="T460" s="26">
        <v>1190</v>
      </c>
      <c r="U460" s="26">
        <v>1190</v>
      </c>
      <c r="V460" s="26">
        <v>1190</v>
      </c>
      <c r="W460" s="26">
        <v>1190</v>
      </c>
      <c r="X460" s="26">
        <v>1190</v>
      </c>
      <c r="Y460" s="26">
        <v>1190</v>
      </c>
    </row>
    <row r="461" spans="1:25" x14ac:dyDescent="0.65">
      <c r="A461" s="108">
        <v>25</v>
      </c>
      <c r="B461" s="26">
        <v>1190</v>
      </c>
      <c r="C461" s="26">
        <v>1190</v>
      </c>
      <c r="D461" s="26">
        <v>1190</v>
      </c>
      <c r="E461" s="26">
        <v>1190</v>
      </c>
      <c r="F461" s="26">
        <v>1190</v>
      </c>
      <c r="G461" s="26">
        <v>1190</v>
      </c>
      <c r="H461" s="32">
        <v>1190</v>
      </c>
      <c r="I461" s="26">
        <v>1190</v>
      </c>
      <c r="J461" s="26"/>
      <c r="K461" s="26"/>
      <c r="L461" s="26">
        <v>1190</v>
      </c>
      <c r="M461" s="26">
        <v>1190</v>
      </c>
      <c r="N461" s="26">
        <v>1190</v>
      </c>
      <c r="O461" s="26">
        <v>1190</v>
      </c>
      <c r="P461" s="32">
        <v>1190</v>
      </c>
      <c r="Q461" s="32">
        <v>1190</v>
      </c>
      <c r="R461" s="26">
        <v>1190</v>
      </c>
      <c r="S461" s="26">
        <v>1190</v>
      </c>
      <c r="T461" s="26"/>
      <c r="U461" s="26"/>
      <c r="V461" s="26">
        <v>1190</v>
      </c>
      <c r="W461" s="26">
        <v>1190</v>
      </c>
      <c r="X461" s="26">
        <v>1190</v>
      </c>
      <c r="Y461" s="26">
        <v>1190</v>
      </c>
    </row>
    <row r="462" spans="1:25" x14ac:dyDescent="0.65">
      <c r="A462" s="108">
        <v>26</v>
      </c>
      <c r="B462" s="26"/>
      <c r="C462" s="26"/>
      <c r="D462" s="26">
        <v>1190</v>
      </c>
      <c r="E462" s="26">
        <v>1190</v>
      </c>
      <c r="F462" s="26">
        <v>1190</v>
      </c>
      <c r="G462" s="26">
        <v>1190</v>
      </c>
      <c r="H462" s="32"/>
      <c r="I462" s="26"/>
      <c r="J462" s="26">
        <v>1190</v>
      </c>
      <c r="K462" s="26">
        <v>1190</v>
      </c>
      <c r="L462" s="26">
        <v>1190</v>
      </c>
      <c r="M462" s="26">
        <v>1190</v>
      </c>
      <c r="N462" s="26"/>
      <c r="O462" s="26"/>
      <c r="P462" s="32">
        <v>1190</v>
      </c>
      <c r="Q462" s="32">
        <v>1190</v>
      </c>
      <c r="R462" s="26">
        <v>1190</v>
      </c>
      <c r="S462" s="26">
        <v>1190</v>
      </c>
      <c r="T462" s="26"/>
      <c r="U462" s="26"/>
      <c r="V462" s="26">
        <v>1190</v>
      </c>
      <c r="W462" s="26">
        <v>1190</v>
      </c>
      <c r="X462" s="32">
        <v>1190</v>
      </c>
      <c r="Y462" s="32">
        <v>1190</v>
      </c>
    </row>
    <row r="463" spans="1:25" x14ac:dyDescent="0.65">
      <c r="A463" s="108">
        <v>27</v>
      </c>
      <c r="B463" s="26"/>
      <c r="C463" s="26"/>
      <c r="D463" s="26">
        <v>1190</v>
      </c>
      <c r="E463" s="26">
        <v>1190</v>
      </c>
      <c r="F463" s="26">
        <v>1190</v>
      </c>
      <c r="G463" s="26">
        <v>1190</v>
      </c>
      <c r="H463" s="32"/>
      <c r="I463" s="26"/>
      <c r="J463" s="26">
        <v>1190</v>
      </c>
      <c r="K463" s="26">
        <v>1190</v>
      </c>
      <c r="L463" s="26">
        <v>1190</v>
      </c>
      <c r="M463" s="26">
        <v>1190</v>
      </c>
      <c r="N463" s="26"/>
      <c r="O463" s="26"/>
      <c r="P463" s="32">
        <v>1190</v>
      </c>
      <c r="Q463" s="32">
        <v>1190</v>
      </c>
      <c r="R463" s="26"/>
      <c r="S463" s="26"/>
      <c r="T463" s="26">
        <v>1190</v>
      </c>
      <c r="U463" s="26">
        <v>1190</v>
      </c>
      <c r="V463" s="26">
        <v>1190</v>
      </c>
      <c r="W463" s="26">
        <v>1190</v>
      </c>
      <c r="X463" s="26"/>
      <c r="Y463" s="26"/>
    </row>
    <row r="464" spans="1:25" x14ac:dyDescent="0.65">
      <c r="A464" s="108">
        <v>28</v>
      </c>
      <c r="B464" s="26">
        <v>1190</v>
      </c>
      <c r="C464" s="26">
        <v>1190</v>
      </c>
      <c r="D464" s="26">
        <v>1190</v>
      </c>
      <c r="E464" s="26">
        <v>1190</v>
      </c>
      <c r="F464" s="26">
        <v>1190</v>
      </c>
      <c r="G464" s="26">
        <v>1190</v>
      </c>
      <c r="H464" s="32">
        <v>1190</v>
      </c>
      <c r="I464" s="26">
        <v>1190</v>
      </c>
      <c r="J464" s="26">
        <v>1190</v>
      </c>
      <c r="K464" s="26">
        <v>1190</v>
      </c>
      <c r="L464" s="26"/>
      <c r="M464" s="26"/>
      <c r="N464" s="26">
        <v>1190</v>
      </c>
      <c r="O464" s="26">
        <v>1190</v>
      </c>
      <c r="P464" s="32">
        <v>1190</v>
      </c>
      <c r="Q464" s="32">
        <v>1190</v>
      </c>
      <c r="R464" s="26"/>
      <c r="S464" s="26"/>
      <c r="T464" s="26">
        <v>1190</v>
      </c>
      <c r="U464" s="26">
        <v>1190</v>
      </c>
      <c r="V464" s="26">
        <v>1190</v>
      </c>
      <c r="W464" s="26">
        <v>1190</v>
      </c>
      <c r="X464" s="32"/>
      <c r="Y464" s="32"/>
    </row>
    <row r="465" spans="1:27" x14ac:dyDescent="0.65">
      <c r="A465" s="108">
        <v>29</v>
      </c>
      <c r="B465" s="26">
        <v>1190</v>
      </c>
      <c r="C465" s="26">
        <v>1190</v>
      </c>
      <c r="D465" s="27"/>
      <c r="E465" s="27"/>
      <c r="F465" s="26">
        <v>1190</v>
      </c>
      <c r="G465" s="26">
        <v>1190</v>
      </c>
      <c r="H465" s="32">
        <v>1190</v>
      </c>
      <c r="I465" s="26">
        <v>1190</v>
      </c>
      <c r="J465" s="26">
        <v>1190</v>
      </c>
      <c r="K465" s="26">
        <v>1190</v>
      </c>
      <c r="L465" s="26"/>
      <c r="M465" s="26"/>
      <c r="N465" s="26">
        <v>1190</v>
      </c>
      <c r="O465" s="26">
        <v>1190</v>
      </c>
      <c r="P465" s="32">
        <v>1190</v>
      </c>
      <c r="Q465" s="32">
        <v>1190</v>
      </c>
      <c r="R465" s="26">
        <v>1190</v>
      </c>
      <c r="S465" s="26">
        <v>1190</v>
      </c>
      <c r="T465" s="26">
        <v>1190</v>
      </c>
      <c r="U465" s="26">
        <v>1190</v>
      </c>
      <c r="V465" s="26"/>
      <c r="W465" s="26"/>
      <c r="X465" s="32">
        <v>1190</v>
      </c>
      <c r="Y465" s="32">
        <v>1190</v>
      </c>
    </row>
    <row r="466" spans="1:27" x14ac:dyDescent="0.65">
      <c r="A466" s="108">
        <v>30</v>
      </c>
      <c r="B466" s="26">
        <v>1190</v>
      </c>
      <c r="C466" s="26">
        <v>1190</v>
      </c>
      <c r="D466" s="26"/>
      <c r="E466" s="26"/>
      <c r="F466" s="26"/>
      <c r="G466" s="26"/>
      <c r="H466" s="32">
        <v>1190</v>
      </c>
      <c r="I466" s="26">
        <v>1190</v>
      </c>
      <c r="J466" s="26">
        <v>1190</v>
      </c>
      <c r="K466" s="26">
        <v>1190</v>
      </c>
      <c r="L466" s="26">
        <v>1190</v>
      </c>
      <c r="M466" s="26">
        <v>1190</v>
      </c>
      <c r="N466" s="26">
        <v>1190</v>
      </c>
      <c r="O466" s="26">
        <v>1190</v>
      </c>
      <c r="P466" s="26"/>
      <c r="Q466" s="26"/>
      <c r="R466" s="26">
        <v>1190</v>
      </c>
      <c r="S466" s="26">
        <v>1190</v>
      </c>
      <c r="T466" s="26">
        <v>1190</v>
      </c>
      <c r="U466" s="26">
        <v>1190</v>
      </c>
      <c r="V466" s="26"/>
      <c r="W466" s="26"/>
      <c r="X466" s="32">
        <v>1190</v>
      </c>
      <c r="Y466" s="32">
        <v>1190</v>
      </c>
    </row>
    <row r="467" spans="1:27" ht="25.5" thickBot="1" x14ac:dyDescent="0.7">
      <c r="A467" s="109">
        <v>31</v>
      </c>
      <c r="B467" s="32">
        <v>1190</v>
      </c>
      <c r="C467" s="32">
        <v>1190</v>
      </c>
      <c r="D467" s="56"/>
      <c r="E467" s="56"/>
      <c r="F467" s="32"/>
      <c r="G467" s="32"/>
      <c r="H467" s="32"/>
      <c r="I467" s="26"/>
      <c r="J467" s="30"/>
      <c r="K467" s="30"/>
      <c r="L467" s="52"/>
      <c r="M467" s="52"/>
      <c r="N467" s="32">
        <v>1190</v>
      </c>
      <c r="O467" s="32">
        <v>1190</v>
      </c>
      <c r="P467" s="32"/>
      <c r="Q467" s="32"/>
      <c r="R467" s="32"/>
      <c r="S467" s="32"/>
      <c r="T467" s="32">
        <v>1190</v>
      </c>
      <c r="U467" s="32">
        <v>1190</v>
      </c>
      <c r="V467" s="30"/>
      <c r="W467" s="30"/>
      <c r="X467" s="32">
        <v>1190</v>
      </c>
      <c r="Y467" s="32">
        <v>1190</v>
      </c>
    </row>
    <row r="468" spans="1:27" ht="25.5" thickBot="1" x14ac:dyDescent="0.7">
      <c r="A468" s="17" t="s">
        <v>15</v>
      </c>
      <c r="B468" s="197">
        <f>AVERAGE(B437:B467)</f>
        <v>1190</v>
      </c>
      <c r="C468" s="197">
        <f t="shared" ref="C468:Y468" si="33">AVERAGE(C437:C467)</f>
        <v>1190</v>
      </c>
      <c r="D468" s="197">
        <f t="shared" si="33"/>
        <v>1190</v>
      </c>
      <c r="E468" s="197">
        <f t="shared" si="33"/>
        <v>1190</v>
      </c>
      <c r="F468" s="197">
        <f t="shared" si="33"/>
        <v>1190</v>
      </c>
      <c r="G468" s="197">
        <f t="shared" si="33"/>
        <v>1190</v>
      </c>
      <c r="H468" s="197">
        <f t="shared" si="33"/>
        <v>1190</v>
      </c>
      <c r="I468" s="197">
        <f t="shared" si="33"/>
        <v>1190</v>
      </c>
      <c r="J468" s="197">
        <f t="shared" si="33"/>
        <v>1190</v>
      </c>
      <c r="K468" s="197">
        <f t="shared" si="33"/>
        <v>1190</v>
      </c>
      <c r="L468" s="197">
        <f t="shared" si="33"/>
        <v>1190</v>
      </c>
      <c r="M468" s="197">
        <f t="shared" si="33"/>
        <v>1190</v>
      </c>
      <c r="N468" s="197">
        <f t="shared" si="33"/>
        <v>1190</v>
      </c>
      <c r="O468" s="197">
        <f t="shared" si="33"/>
        <v>1190</v>
      </c>
      <c r="P468" s="197">
        <f t="shared" si="33"/>
        <v>1190</v>
      </c>
      <c r="Q468" s="197">
        <f t="shared" si="33"/>
        <v>1190</v>
      </c>
      <c r="R468" s="197">
        <f t="shared" si="33"/>
        <v>1190</v>
      </c>
      <c r="S468" s="197">
        <f t="shared" si="33"/>
        <v>1190</v>
      </c>
      <c r="T468" s="197">
        <f t="shared" si="33"/>
        <v>1190</v>
      </c>
      <c r="U468" s="197">
        <f t="shared" si="33"/>
        <v>1190</v>
      </c>
      <c r="V468" s="197">
        <f t="shared" si="33"/>
        <v>1190</v>
      </c>
      <c r="W468" s="197">
        <f t="shared" si="33"/>
        <v>1190</v>
      </c>
      <c r="X468" s="197">
        <f t="shared" si="33"/>
        <v>1190</v>
      </c>
      <c r="Y468" s="197">
        <f t="shared" si="33"/>
        <v>1190</v>
      </c>
      <c r="Z468" s="57"/>
      <c r="AA468" s="57"/>
    </row>
    <row r="469" spans="1:27" ht="30" x14ac:dyDescent="0.65">
      <c r="A469" s="224" t="s">
        <v>37</v>
      </c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 spans="1:27" ht="25.5" thickBot="1" x14ac:dyDescent="0.7">
      <c r="A470" s="225" t="s">
        <v>71</v>
      </c>
      <c r="B470" s="225"/>
      <c r="C470" s="225"/>
      <c r="D470" s="225"/>
      <c r="E470" s="225"/>
      <c r="F470" s="22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</row>
    <row r="471" spans="1:27" ht="25.5" thickBot="1" x14ac:dyDescent="0.7">
      <c r="A471" s="226" t="s">
        <v>2</v>
      </c>
      <c r="B471" s="228" t="s">
        <v>3</v>
      </c>
      <c r="C471" s="229"/>
      <c r="D471" s="228" t="s">
        <v>4</v>
      </c>
      <c r="E471" s="229"/>
      <c r="F471" s="228" t="s">
        <v>38</v>
      </c>
      <c r="G471" s="229"/>
      <c r="H471" s="228" t="s">
        <v>6</v>
      </c>
      <c r="I471" s="229"/>
      <c r="J471" s="228" t="s">
        <v>7</v>
      </c>
      <c r="K471" s="229"/>
      <c r="L471" s="228" t="s">
        <v>8</v>
      </c>
      <c r="M471" s="229"/>
      <c r="N471" s="228" t="s">
        <v>9</v>
      </c>
      <c r="O471" s="229"/>
      <c r="P471" s="228" t="s">
        <v>10</v>
      </c>
      <c r="Q471" s="229"/>
      <c r="R471" s="228" t="s">
        <v>11</v>
      </c>
      <c r="S471" s="229"/>
      <c r="T471" s="228" t="s">
        <v>12</v>
      </c>
      <c r="U471" s="229"/>
      <c r="V471" s="228" t="s">
        <v>21</v>
      </c>
      <c r="W471" s="229"/>
      <c r="X471" s="228" t="s">
        <v>14</v>
      </c>
      <c r="Y471" s="229"/>
    </row>
    <row r="472" spans="1:27" ht="25.5" thickBot="1" x14ac:dyDescent="0.7">
      <c r="A472" s="227"/>
      <c r="B472" s="17" t="s">
        <v>74</v>
      </c>
      <c r="C472" s="17" t="s">
        <v>75</v>
      </c>
      <c r="D472" s="17" t="s">
        <v>74</v>
      </c>
      <c r="E472" s="17" t="s">
        <v>75</v>
      </c>
      <c r="F472" s="17" t="s">
        <v>74</v>
      </c>
      <c r="G472" s="17" t="s">
        <v>75</v>
      </c>
      <c r="H472" s="17" t="s">
        <v>74</v>
      </c>
      <c r="I472" s="17" t="s">
        <v>75</v>
      </c>
      <c r="J472" s="17" t="s">
        <v>74</v>
      </c>
      <c r="K472" s="17" t="s">
        <v>75</v>
      </c>
      <c r="L472" s="17" t="s">
        <v>74</v>
      </c>
      <c r="M472" s="17" t="s">
        <v>75</v>
      </c>
      <c r="N472" s="17" t="s">
        <v>74</v>
      </c>
      <c r="O472" s="17" t="s">
        <v>75</v>
      </c>
      <c r="P472" s="17" t="s">
        <v>74</v>
      </c>
      <c r="Q472" s="17" t="s">
        <v>75</v>
      </c>
      <c r="R472" s="17" t="s">
        <v>74</v>
      </c>
      <c r="S472" s="17" t="s">
        <v>75</v>
      </c>
      <c r="T472" s="17" t="s">
        <v>74</v>
      </c>
      <c r="U472" s="17" t="s">
        <v>75</v>
      </c>
      <c r="V472" s="17" t="s">
        <v>74</v>
      </c>
      <c r="W472" s="17" t="s">
        <v>75</v>
      </c>
      <c r="X472" s="17" t="s">
        <v>74</v>
      </c>
      <c r="Y472" s="17" t="s">
        <v>75</v>
      </c>
    </row>
    <row r="473" spans="1:27" x14ac:dyDescent="0.65">
      <c r="A473" s="39">
        <v>1</v>
      </c>
      <c r="B473" s="32"/>
      <c r="C473" s="62"/>
      <c r="D473" s="32"/>
      <c r="E473" s="30"/>
      <c r="F473" s="32">
        <v>1190</v>
      </c>
      <c r="G473" s="30">
        <v>1190</v>
      </c>
      <c r="H473" s="3"/>
      <c r="I473" s="4"/>
      <c r="J473" s="30"/>
      <c r="K473" s="30"/>
      <c r="L473" s="32"/>
      <c r="M473" s="32"/>
      <c r="N473" s="32">
        <v>1190</v>
      </c>
      <c r="O473" s="32">
        <v>1190</v>
      </c>
      <c r="P473" s="32"/>
      <c r="Q473" s="32"/>
      <c r="R473" s="32">
        <v>1190</v>
      </c>
      <c r="S473" s="32">
        <v>1190</v>
      </c>
      <c r="T473" s="32">
        <v>1190</v>
      </c>
      <c r="U473" s="32">
        <v>1190</v>
      </c>
      <c r="V473" s="30">
        <v>1190</v>
      </c>
      <c r="W473" s="30">
        <v>1190</v>
      </c>
      <c r="X473" s="32">
        <v>1190</v>
      </c>
      <c r="Y473" s="32">
        <v>1190</v>
      </c>
    </row>
    <row r="474" spans="1:27" x14ac:dyDescent="0.65">
      <c r="A474" s="108">
        <v>2</v>
      </c>
      <c r="B474" s="26">
        <v>1190</v>
      </c>
      <c r="C474" s="26">
        <v>1190</v>
      </c>
      <c r="D474" s="26">
        <v>1190</v>
      </c>
      <c r="E474" s="26">
        <v>1190</v>
      </c>
      <c r="F474" s="26">
        <v>1190</v>
      </c>
      <c r="G474" s="26">
        <v>1190</v>
      </c>
      <c r="H474" s="4"/>
      <c r="I474" s="4"/>
      <c r="J474" s="26"/>
      <c r="K474" s="26"/>
      <c r="L474" s="26"/>
      <c r="M474" s="26"/>
      <c r="N474" s="26">
        <v>1190</v>
      </c>
      <c r="O474" s="26">
        <v>1190</v>
      </c>
      <c r="P474" s="26"/>
      <c r="Q474" s="26"/>
      <c r="R474" s="26">
        <v>1190</v>
      </c>
      <c r="S474" s="26">
        <v>1190</v>
      </c>
      <c r="T474" s="26"/>
      <c r="U474" s="26"/>
      <c r="V474" s="26">
        <v>1190</v>
      </c>
      <c r="W474" s="26">
        <v>1190</v>
      </c>
      <c r="X474" s="32">
        <v>1190</v>
      </c>
      <c r="Y474" s="32">
        <v>1190</v>
      </c>
    </row>
    <row r="475" spans="1:27" ht="18" customHeight="1" x14ac:dyDescent="0.65">
      <c r="A475" s="108">
        <v>3</v>
      </c>
      <c r="B475" s="26"/>
      <c r="C475" s="26"/>
      <c r="D475" s="26">
        <v>1190</v>
      </c>
      <c r="E475" s="26">
        <v>1190</v>
      </c>
      <c r="F475" s="26">
        <v>1190</v>
      </c>
      <c r="G475" s="26">
        <v>1190</v>
      </c>
      <c r="H475" s="4"/>
      <c r="I475" s="4"/>
      <c r="J475" s="26">
        <v>1190</v>
      </c>
      <c r="K475" s="26">
        <v>1190</v>
      </c>
      <c r="L475" s="26"/>
      <c r="M475" s="26"/>
      <c r="N475" s="26"/>
      <c r="O475" s="26"/>
      <c r="P475" s="32"/>
      <c r="Q475" s="32"/>
      <c r="R475" s="26">
        <v>1190</v>
      </c>
      <c r="S475" s="26">
        <v>1190</v>
      </c>
      <c r="T475" s="26"/>
      <c r="U475" s="26"/>
      <c r="V475" s="26">
        <v>1190</v>
      </c>
      <c r="W475" s="26">
        <v>1190</v>
      </c>
      <c r="X475" s="32">
        <v>1190</v>
      </c>
      <c r="Y475" s="32">
        <v>1190</v>
      </c>
    </row>
    <row r="476" spans="1:27" x14ac:dyDescent="0.65">
      <c r="A476" s="108">
        <v>4</v>
      </c>
      <c r="B476" s="26"/>
      <c r="C476" s="26"/>
      <c r="D476" s="26">
        <v>1190</v>
      </c>
      <c r="E476" s="26">
        <v>1190</v>
      </c>
      <c r="F476" s="26">
        <v>1190</v>
      </c>
      <c r="G476" s="26">
        <v>1190</v>
      </c>
      <c r="H476" s="4"/>
      <c r="I476" s="4"/>
      <c r="J476" s="26">
        <v>1190</v>
      </c>
      <c r="K476" s="26">
        <v>1190</v>
      </c>
      <c r="L476" s="26"/>
      <c r="M476" s="26"/>
      <c r="N476" s="26"/>
      <c r="O476" s="26"/>
      <c r="P476" s="32"/>
      <c r="Q476" s="32"/>
      <c r="R476" s="26"/>
      <c r="S476" s="26"/>
      <c r="T476" s="26">
        <v>1190</v>
      </c>
      <c r="U476" s="26">
        <v>1190</v>
      </c>
      <c r="V476" s="26">
        <v>1190</v>
      </c>
      <c r="W476" s="26">
        <v>1190</v>
      </c>
      <c r="X476" s="32"/>
      <c r="Y476" s="32"/>
    </row>
    <row r="477" spans="1:27" x14ac:dyDescent="0.65">
      <c r="A477" s="108">
        <v>5</v>
      </c>
      <c r="B477" s="26">
        <v>1190</v>
      </c>
      <c r="C477" s="26">
        <v>1190</v>
      </c>
      <c r="D477" s="26">
        <v>1190</v>
      </c>
      <c r="E477" s="26">
        <v>1190</v>
      </c>
      <c r="F477" s="26">
        <v>1190</v>
      </c>
      <c r="G477" s="26">
        <v>1190</v>
      </c>
      <c r="H477" s="4"/>
      <c r="I477" s="26"/>
      <c r="J477" s="26">
        <v>1190</v>
      </c>
      <c r="K477" s="26">
        <v>1190</v>
      </c>
      <c r="L477" s="26"/>
      <c r="M477" s="26"/>
      <c r="N477" s="26">
        <v>1190</v>
      </c>
      <c r="O477" s="26">
        <v>1190</v>
      </c>
      <c r="P477" s="32"/>
      <c r="Q477" s="32"/>
      <c r="R477" s="26"/>
      <c r="S477" s="26"/>
      <c r="T477" s="26">
        <v>1190</v>
      </c>
      <c r="U477" s="26">
        <v>1190</v>
      </c>
      <c r="V477" s="26">
        <v>1190</v>
      </c>
      <c r="W477" s="26">
        <v>1190</v>
      </c>
      <c r="X477" s="32"/>
      <c r="Y477" s="32"/>
    </row>
    <row r="478" spans="1:27" x14ac:dyDescent="0.65">
      <c r="A478" s="108">
        <v>6</v>
      </c>
      <c r="B478" s="26"/>
      <c r="C478" s="26"/>
      <c r="D478" s="26">
        <v>1190</v>
      </c>
      <c r="E478" s="26">
        <v>1190</v>
      </c>
      <c r="F478" s="26"/>
      <c r="G478" s="26"/>
      <c r="H478" s="5"/>
      <c r="I478" s="26"/>
      <c r="J478" s="26">
        <v>1190</v>
      </c>
      <c r="K478" s="26">
        <v>1190</v>
      </c>
      <c r="L478" s="26"/>
      <c r="M478" s="26"/>
      <c r="N478" s="26">
        <v>1190</v>
      </c>
      <c r="O478" s="26">
        <v>1190</v>
      </c>
      <c r="P478" s="32"/>
      <c r="Q478" s="32"/>
      <c r="R478" s="26">
        <v>1190</v>
      </c>
      <c r="S478" s="26">
        <v>1190</v>
      </c>
      <c r="T478" s="26">
        <v>1190</v>
      </c>
      <c r="U478" s="26">
        <v>1190</v>
      </c>
      <c r="V478" s="26"/>
      <c r="W478" s="26"/>
      <c r="X478" s="26">
        <v>1190</v>
      </c>
      <c r="Y478" s="26">
        <v>1190</v>
      </c>
    </row>
    <row r="479" spans="1:27" x14ac:dyDescent="0.65">
      <c r="A479" s="108">
        <v>7</v>
      </c>
      <c r="B479" s="26">
        <v>1190</v>
      </c>
      <c r="C479" s="26">
        <v>1190</v>
      </c>
      <c r="D479" s="26"/>
      <c r="E479" s="26"/>
      <c r="F479" s="26"/>
      <c r="G479" s="26"/>
      <c r="H479" s="4"/>
      <c r="I479" s="4"/>
      <c r="J479" s="26">
        <v>1190</v>
      </c>
      <c r="K479" s="26">
        <v>1190</v>
      </c>
      <c r="L479" s="26"/>
      <c r="M479" s="26"/>
      <c r="N479" s="26">
        <v>1190</v>
      </c>
      <c r="O479" s="26">
        <v>1190</v>
      </c>
      <c r="P479" s="32"/>
      <c r="Q479" s="32"/>
      <c r="R479" s="26">
        <v>1190</v>
      </c>
      <c r="S479" s="26">
        <v>1190</v>
      </c>
      <c r="T479" s="26">
        <v>1190</v>
      </c>
      <c r="U479" s="26">
        <v>1190</v>
      </c>
      <c r="V479" s="26"/>
      <c r="W479" s="26"/>
      <c r="X479" s="32">
        <v>1190</v>
      </c>
      <c r="Y479" s="32">
        <v>1190</v>
      </c>
    </row>
    <row r="480" spans="1:27" x14ac:dyDescent="0.65">
      <c r="A480" s="108">
        <v>8</v>
      </c>
      <c r="B480" s="26">
        <v>1190</v>
      </c>
      <c r="C480" s="26">
        <v>1190</v>
      </c>
      <c r="D480" s="26"/>
      <c r="E480" s="26"/>
      <c r="F480" s="26">
        <v>1190</v>
      </c>
      <c r="G480" s="26">
        <v>1190</v>
      </c>
      <c r="H480" s="4"/>
      <c r="I480" s="4"/>
      <c r="J480" s="26"/>
      <c r="K480" s="26"/>
      <c r="L480" s="26"/>
      <c r="M480" s="26"/>
      <c r="N480" s="26">
        <v>1190</v>
      </c>
      <c r="O480" s="26">
        <v>1190</v>
      </c>
      <c r="P480" s="32"/>
      <c r="Q480" s="32"/>
      <c r="R480" s="26">
        <v>1190</v>
      </c>
      <c r="S480" s="26">
        <v>1190</v>
      </c>
      <c r="T480" s="26"/>
      <c r="U480" s="26"/>
      <c r="V480" s="26">
        <v>1190</v>
      </c>
      <c r="W480" s="26">
        <v>1190</v>
      </c>
      <c r="X480" s="32">
        <v>1190</v>
      </c>
      <c r="Y480" s="32">
        <v>1190</v>
      </c>
    </row>
    <row r="481" spans="1:25" x14ac:dyDescent="0.65">
      <c r="A481" s="108">
        <v>9</v>
      </c>
      <c r="B481" s="26">
        <v>1190</v>
      </c>
      <c r="C481" s="26">
        <v>1190</v>
      </c>
      <c r="D481" s="26">
        <v>1190</v>
      </c>
      <c r="E481" s="26">
        <v>1190</v>
      </c>
      <c r="F481" s="26">
        <v>1190</v>
      </c>
      <c r="G481" s="26">
        <v>1190</v>
      </c>
      <c r="H481" s="6"/>
      <c r="I481" s="4"/>
      <c r="J481" s="26"/>
      <c r="K481" s="26"/>
      <c r="L481" s="26"/>
      <c r="M481" s="26"/>
      <c r="N481" s="26">
        <v>1190</v>
      </c>
      <c r="O481" s="26">
        <v>1190</v>
      </c>
      <c r="P481" s="26">
        <v>1190</v>
      </c>
      <c r="Q481" s="26">
        <v>1190</v>
      </c>
      <c r="R481" s="26">
        <v>1190</v>
      </c>
      <c r="S481" s="26">
        <v>1190</v>
      </c>
      <c r="T481" s="26"/>
      <c r="U481" s="26"/>
      <c r="V481" s="26">
        <v>1190</v>
      </c>
      <c r="W481" s="26">
        <v>1190</v>
      </c>
      <c r="X481" s="32">
        <v>1190</v>
      </c>
      <c r="Y481" s="32">
        <v>1190</v>
      </c>
    </row>
    <row r="482" spans="1:25" x14ac:dyDescent="0.65">
      <c r="A482" s="108">
        <v>10</v>
      </c>
      <c r="B482" s="26"/>
      <c r="C482" s="26"/>
      <c r="D482" s="26">
        <v>1190</v>
      </c>
      <c r="E482" s="26">
        <v>1190</v>
      </c>
      <c r="F482" s="26">
        <v>1190</v>
      </c>
      <c r="G482" s="26">
        <v>1190</v>
      </c>
      <c r="H482" s="6"/>
      <c r="I482" s="4"/>
      <c r="J482" s="26">
        <v>1190</v>
      </c>
      <c r="K482" s="26">
        <v>1190</v>
      </c>
      <c r="L482" s="26"/>
      <c r="M482" s="26"/>
      <c r="N482" s="26"/>
      <c r="O482" s="26"/>
      <c r="P482" s="32">
        <v>1190</v>
      </c>
      <c r="Q482" s="32">
        <v>1190</v>
      </c>
      <c r="R482" s="26">
        <v>1190</v>
      </c>
      <c r="S482" s="26">
        <v>1190</v>
      </c>
      <c r="T482" s="26"/>
      <c r="U482" s="26"/>
      <c r="V482" s="26">
        <v>1190</v>
      </c>
      <c r="W482" s="26">
        <v>1190</v>
      </c>
      <c r="X482" s="32"/>
      <c r="Y482" s="32"/>
    </row>
    <row r="483" spans="1:25" x14ac:dyDescent="0.65">
      <c r="A483" s="108">
        <v>11</v>
      </c>
      <c r="B483" s="26"/>
      <c r="C483" s="26"/>
      <c r="D483" s="26">
        <v>1190</v>
      </c>
      <c r="E483" s="26">
        <v>1190</v>
      </c>
      <c r="F483" s="26">
        <v>1190</v>
      </c>
      <c r="G483" s="26">
        <v>1190</v>
      </c>
      <c r="H483" s="6"/>
      <c r="I483" s="4"/>
      <c r="J483" s="26">
        <v>1190</v>
      </c>
      <c r="K483" s="26">
        <v>1190</v>
      </c>
      <c r="L483" s="26"/>
      <c r="M483" s="26"/>
      <c r="N483" s="26"/>
      <c r="O483" s="26"/>
      <c r="P483" s="32">
        <v>1190</v>
      </c>
      <c r="Q483" s="32">
        <v>1190</v>
      </c>
      <c r="R483" s="26"/>
      <c r="S483" s="26"/>
      <c r="T483" s="26">
        <v>1190</v>
      </c>
      <c r="U483" s="26">
        <v>1190</v>
      </c>
      <c r="V483" s="26">
        <v>1190</v>
      </c>
      <c r="W483" s="26">
        <v>1190</v>
      </c>
      <c r="X483" s="32"/>
      <c r="Y483" s="32"/>
    </row>
    <row r="484" spans="1:25" x14ac:dyDescent="0.65">
      <c r="A484" s="108">
        <v>12</v>
      </c>
      <c r="B484" s="26">
        <v>1190</v>
      </c>
      <c r="C484" s="26">
        <v>1190</v>
      </c>
      <c r="D484" s="26">
        <v>1190</v>
      </c>
      <c r="E484" s="26">
        <v>1190</v>
      </c>
      <c r="F484" s="26">
        <v>1190</v>
      </c>
      <c r="G484" s="26">
        <v>1190</v>
      </c>
      <c r="H484" s="7"/>
      <c r="I484" s="26"/>
      <c r="J484" s="26">
        <v>1190</v>
      </c>
      <c r="K484" s="26">
        <v>1190</v>
      </c>
      <c r="L484" s="26"/>
      <c r="M484" s="26"/>
      <c r="N484" s="26">
        <v>1190</v>
      </c>
      <c r="O484" s="26">
        <v>1190</v>
      </c>
      <c r="P484" s="32">
        <v>1190</v>
      </c>
      <c r="Q484" s="32">
        <v>1190</v>
      </c>
      <c r="R484" s="26"/>
      <c r="S484" s="26"/>
      <c r="T484" s="26">
        <v>1190</v>
      </c>
      <c r="U484" s="26">
        <v>1190</v>
      </c>
      <c r="V484" s="26">
        <v>1190</v>
      </c>
      <c r="W484" s="26">
        <v>1190</v>
      </c>
      <c r="X484" s="32"/>
      <c r="Y484" s="32"/>
    </row>
    <row r="485" spans="1:25" x14ac:dyDescent="0.65">
      <c r="A485" s="108">
        <v>13</v>
      </c>
      <c r="B485" s="26">
        <v>1190</v>
      </c>
      <c r="C485" s="26">
        <v>1190</v>
      </c>
      <c r="D485" s="26">
        <v>1190</v>
      </c>
      <c r="E485" s="26">
        <v>1190</v>
      </c>
      <c r="F485" s="26"/>
      <c r="G485" s="26"/>
      <c r="H485" s="6"/>
      <c r="I485" s="26"/>
      <c r="J485" s="26">
        <v>1190</v>
      </c>
      <c r="K485" s="26">
        <v>1190</v>
      </c>
      <c r="L485" s="26"/>
      <c r="M485" s="26"/>
      <c r="N485" s="26">
        <v>1190</v>
      </c>
      <c r="O485" s="26">
        <v>1190</v>
      </c>
      <c r="P485" s="32">
        <v>1190</v>
      </c>
      <c r="Q485" s="32">
        <v>1190</v>
      </c>
      <c r="R485" s="26">
        <v>1190</v>
      </c>
      <c r="S485" s="26">
        <v>1190</v>
      </c>
      <c r="T485" s="26">
        <v>1190</v>
      </c>
      <c r="U485" s="26">
        <v>1190</v>
      </c>
      <c r="V485" s="26"/>
      <c r="W485" s="26"/>
      <c r="X485" s="26">
        <v>1190</v>
      </c>
      <c r="Y485" s="26">
        <v>1190</v>
      </c>
    </row>
    <row r="486" spans="1:25" x14ac:dyDescent="0.65">
      <c r="A486" s="108">
        <v>14</v>
      </c>
      <c r="B486" s="26">
        <v>1190</v>
      </c>
      <c r="C486" s="26">
        <v>1190</v>
      </c>
      <c r="D486" s="26"/>
      <c r="E486" s="26"/>
      <c r="F486" s="26"/>
      <c r="G486" s="26"/>
      <c r="H486" s="8"/>
      <c r="I486" s="4"/>
      <c r="J486" s="26">
        <v>1190</v>
      </c>
      <c r="K486" s="26">
        <v>1190</v>
      </c>
      <c r="L486" s="26">
        <v>1190</v>
      </c>
      <c r="M486" s="26">
        <v>1190</v>
      </c>
      <c r="N486" s="26"/>
      <c r="O486" s="26"/>
      <c r="P486" s="32"/>
      <c r="Q486" s="32"/>
      <c r="R486" s="26">
        <v>1190</v>
      </c>
      <c r="S486" s="26">
        <v>1190</v>
      </c>
      <c r="T486" s="26">
        <v>1190</v>
      </c>
      <c r="U486" s="26">
        <v>1190</v>
      </c>
      <c r="V486" s="26"/>
      <c r="W486" s="26"/>
      <c r="X486" s="32">
        <v>1190</v>
      </c>
      <c r="Y486" s="32">
        <v>1190</v>
      </c>
    </row>
    <row r="487" spans="1:25" x14ac:dyDescent="0.65">
      <c r="A487" s="108">
        <v>15</v>
      </c>
      <c r="B487" s="26">
        <v>1190</v>
      </c>
      <c r="C487" s="26">
        <v>1190</v>
      </c>
      <c r="D487" s="26"/>
      <c r="E487" s="26"/>
      <c r="F487" s="26">
        <v>1190</v>
      </c>
      <c r="G487" s="26">
        <v>1190</v>
      </c>
      <c r="H487" s="8"/>
      <c r="I487" s="4"/>
      <c r="J487" s="26"/>
      <c r="K487" s="26"/>
      <c r="L487" s="26">
        <v>1190</v>
      </c>
      <c r="M487" s="26">
        <v>1190</v>
      </c>
      <c r="N487" s="26">
        <v>1190</v>
      </c>
      <c r="O487" s="26">
        <v>1190</v>
      </c>
      <c r="P487" s="32"/>
      <c r="Q487" s="32"/>
      <c r="R487" s="26">
        <v>1190</v>
      </c>
      <c r="S487" s="26">
        <v>1190</v>
      </c>
      <c r="T487" s="26">
        <v>1190</v>
      </c>
      <c r="U487" s="26">
        <v>1190</v>
      </c>
      <c r="V487" s="26">
        <v>1190</v>
      </c>
      <c r="W487" s="26">
        <v>1190</v>
      </c>
      <c r="X487" s="32">
        <v>1190</v>
      </c>
      <c r="Y487" s="32">
        <v>1190</v>
      </c>
    </row>
    <row r="488" spans="1:25" x14ac:dyDescent="0.65">
      <c r="A488" s="108">
        <v>16</v>
      </c>
      <c r="B488" s="26">
        <v>1190</v>
      </c>
      <c r="C488" s="26">
        <v>1190</v>
      </c>
      <c r="D488" s="26">
        <v>1190</v>
      </c>
      <c r="E488" s="26">
        <v>1190</v>
      </c>
      <c r="F488" s="26">
        <v>1190</v>
      </c>
      <c r="G488" s="26">
        <v>1190</v>
      </c>
      <c r="H488" s="8"/>
      <c r="I488" s="4"/>
      <c r="J488" s="26"/>
      <c r="K488" s="26"/>
      <c r="L488" s="26">
        <v>1190</v>
      </c>
      <c r="M488" s="26">
        <v>1190</v>
      </c>
      <c r="N488" s="26">
        <v>1190</v>
      </c>
      <c r="O488" s="26">
        <v>1190</v>
      </c>
      <c r="P488" s="26">
        <v>1190</v>
      </c>
      <c r="Q488" s="26">
        <v>1190</v>
      </c>
      <c r="R488" s="26">
        <v>1190</v>
      </c>
      <c r="S488" s="26">
        <v>1190</v>
      </c>
      <c r="T488" s="26"/>
      <c r="U488" s="26"/>
      <c r="V488" s="26">
        <v>1190</v>
      </c>
      <c r="W488" s="26">
        <v>1190</v>
      </c>
      <c r="X488" s="32">
        <v>1190</v>
      </c>
      <c r="Y488" s="32">
        <v>1190</v>
      </c>
    </row>
    <row r="489" spans="1:25" x14ac:dyDescent="0.65">
      <c r="A489" s="108">
        <v>17</v>
      </c>
      <c r="B489" s="26"/>
      <c r="C489" s="26"/>
      <c r="D489" s="26">
        <v>1190</v>
      </c>
      <c r="E489" s="26">
        <v>1190</v>
      </c>
      <c r="F489" s="26">
        <v>1190</v>
      </c>
      <c r="G489" s="26">
        <v>1190</v>
      </c>
      <c r="H489" s="8"/>
      <c r="I489" s="4"/>
      <c r="J489" s="26">
        <v>1190</v>
      </c>
      <c r="K489" s="26">
        <v>1190</v>
      </c>
      <c r="L489" s="26">
        <v>1190</v>
      </c>
      <c r="M489" s="26">
        <v>1190</v>
      </c>
      <c r="N489" s="26"/>
      <c r="O489" s="26"/>
      <c r="P489" s="32">
        <v>1190</v>
      </c>
      <c r="Q489" s="32">
        <v>1190</v>
      </c>
      <c r="R489" s="26">
        <v>1190</v>
      </c>
      <c r="S489" s="26">
        <v>1190</v>
      </c>
      <c r="T489" s="26"/>
      <c r="U489" s="26"/>
      <c r="V489" s="26">
        <v>1190</v>
      </c>
      <c r="W489" s="26">
        <v>1190</v>
      </c>
      <c r="X489" s="32">
        <v>1190</v>
      </c>
      <c r="Y489" s="32">
        <v>1190</v>
      </c>
    </row>
    <row r="490" spans="1:25" x14ac:dyDescent="0.65">
      <c r="A490" s="108">
        <v>18</v>
      </c>
      <c r="B490" s="26"/>
      <c r="C490" s="26"/>
      <c r="D490" s="26">
        <v>1190</v>
      </c>
      <c r="E490" s="26">
        <v>1190</v>
      </c>
      <c r="F490" s="26">
        <v>1190</v>
      </c>
      <c r="G490" s="26">
        <v>1190</v>
      </c>
      <c r="H490" s="8"/>
      <c r="I490" s="4"/>
      <c r="J490" s="26">
        <v>1190</v>
      </c>
      <c r="K490" s="26">
        <v>1190</v>
      </c>
      <c r="L490" s="26"/>
      <c r="M490" s="26"/>
      <c r="N490" s="26"/>
      <c r="O490" s="26"/>
      <c r="P490" s="32">
        <v>1190</v>
      </c>
      <c r="Q490" s="32">
        <v>1190</v>
      </c>
      <c r="R490" s="26"/>
      <c r="S490" s="26"/>
      <c r="T490" s="26">
        <v>1190</v>
      </c>
      <c r="U490" s="26">
        <v>1190</v>
      </c>
      <c r="V490" s="26">
        <v>1190</v>
      </c>
      <c r="W490" s="26">
        <v>1190</v>
      </c>
      <c r="X490" s="32"/>
      <c r="Y490" s="32"/>
    </row>
    <row r="491" spans="1:25" x14ac:dyDescent="0.65">
      <c r="A491" s="108">
        <v>19</v>
      </c>
      <c r="B491" s="26">
        <v>1190</v>
      </c>
      <c r="C491" s="26">
        <v>1190</v>
      </c>
      <c r="D491" s="26">
        <v>1190</v>
      </c>
      <c r="E491" s="26">
        <v>1190</v>
      </c>
      <c r="F491" s="26">
        <v>1190</v>
      </c>
      <c r="G491" s="26">
        <v>1190</v>
      </c>
      <c r="H491" s="8"/>
      <c r="I491" s="26"/>
      <c r="J491" s="26">
        <v>1190</v>
      </c>
      <c r="K491" s="26">
        <v>1190</v>
      </c>
      <c r="L491" s="26"/>
      <c r="M491" s="26"/>
      <c r="N491" s="26">
        <v>1190</v>
      </c>
      <c r="O491" s="26">
        <v>1190</v>
      </c>
      <c r="P491" s="32">
        <v>1190</v>
      </c>
      <c r="Q491" s="32">
        <v>1190</v>
      </c>
      <c r="R491" s="26"/>
      <c r="S491" s="26"/>
      <c r="T491" s="26">
        <v>1190</v>
      </c>
      <c r="U491" s="26">
        <v>1190</v>
      </c>
      <c r="V491" s="26">
        <v>1190</v>
      </c>
      <c r="W491" s="26">
        <v>1190</v>
      </c>
      <c r="X491" s="32"/>
      <c r="Y491" s="32"/>
    </row>
    <row r="492" spans="1:25" x14ac:dyDescent="0.65">
      <c r="A492" s="108">
        <v>20</v>
      </c>
      <c r="B492" s="26">
        <v>1190</v>
      </c>
      <c r="C492" s="26">
        <v>1190</v>
      </c>
      <c r="D492" s="26">
        <v>1190</v>
      </c>
      <c r="E492" s="26">
        <v>1190</v>
      </c>
      <c r="F492" s="26"/>
      <c r="G492" s="26"/>
      <c r="H492" s="9"/>
      <c r="I492" s="26"/>
      <c r="J492" s="26">
        <v>1190</v>
      </c>
      <c r="K492" s="26">
        <v>1190</v>
      </c>
      <c r="L492" s="26"/>
      <c r="M492" s="26"/>
      <c r="N492" s="26">
        <v>1190</v>
      </c>
      <c r="O492" s="26">
        <v>1190</v>
      </c>
      <c r="P492" s="32"/>
      <c r="Q492" s="32"/>
      <c r="R492" s="26">
        <v>1190</v>
      </c>
      <c r="S492" s="26">
        <v>1190</v>
      </c>
      <c r="T492" s="26">
        <v>1190</v>
      </c>
      <c r="U492" s="26">
        <v>1190</v>
      </c>
      <c r="V492" s="26"/>
      <c r="W492" s="26"/>
      <c r="X492" s="26">
        <v>1460</v>
      </c>
      <c r="Y492" s="26">
        <v>1460</v>
      </c>
    </row>
    <row r="493" spans="1:25" x14ac:dyDescent="0.65">
      <c r="A493" s="108">
        <v>21</v>
      </c>
      <c r="B493" s="26">
        <v>1190</v>
      </c>
      <c r="C493" s="26">
        <v>1190</v>
      </c>
      <c r="D493" s="26"/>
      <c r="E493" s="26"/>
      <c r="F493" s="26"/>
      <c r="G493" s="26"/>
      <c r="H493" s="26">
        <v>1190</v>
      </c>
      <c r="I493" s="26">
        <v>1190</v>
      </c>
      <c r="J493" s="26">
        <v>1190</v>
      </c>
      <c r="K493" s="26">
        <v>1190</v>
      </c>
      <c r="L493" s="26">
        <v>1190</v>
      </c>
      <c r="M493" s="26">
        <v>1190</v>
      </c>
      <c r="N493" s="26">
        <v>1190</v>
      </c>
      <c r="O493" s="26">
        <v>1190</v>
      </c>
      <c r="P493" s="32"/>
      <c r="Q493" s="32"/>
      <c r="R493" s="26">
        <v>1190</v>
      </c>
      <c r="S493" s="26">
        <v>1190</v>
      </c>
      <c r="T493" s="26">
        <v>1190</v>
      </c>
      <c r="U493" s="26">
        <v>1190</v>
      </c>
      <c r="V493" s="26"/>
      <c r="W493" s="26"/>
      <c r="X493" s="32">
        <v>1460</v>
      </c>
      <c r="Y493" s="32">
        <v>1460</v>
      </c>
    </row>
    <row r="494" spans="1:25" x14ac:dyDescent="0.65">
      <c r="A494" s="108">
        <v>22</v>
      </c>
      <c r="B494" s="26">
        <v>1190</v>
      </c>
      <c r="C494" s="26">
        <v>1190</v>
      </c>
      <c r="D494" s="26"/>
      <c r="E494" s="26"/>
      <c r="F494" s="26">
        <v>1190</v>
      </c>
      <c r="G494" s="26">
        <v>1190</v>
      </c>
      <c r="H494" s="26">
        <v>1190</v>
      </c>
      <c r="I494" s="26">
        <v>1190</v>
      </c>
      <c r="J494" s="26"/>
      <c r="K494" s="26"/>
      <c r="L494" s="26">
        <v>1190</v>
      </c>
      <c r="M494" s="26">
        <v>1190</v>
      </c>
      <c r="N494" s="26">
        <v>1190</v>
      </c>
      <c r="O494" s="26">
        <v>1190</v>
      </c>
      <c r="P494" s="32"/>
      <c r="Q494" s="32"/>
      <c r="R494" s="26">
        <v>1190</v>
      </c>
      <c r="S494" s="26">
        <v>1190</v>
      </c>
      <c r="T494" s="26">
        <v>1190</v>
      </c>
      <c r="U494" s="26">
        <v>1190</v>
      </c>
      <c r="V494" s="26">
        <v>1190</v>
      </c>
      <c r="W494" s="26">
        <v>1190</v>
      </c>
      <c r="X494" s="32">
        <v>1460</v>
      </c>
      <c r="Y494" s="32">
        <v>1460</v>
      </c>
    </row>
    <row r="495" spans="1:25" x14ac:dyDescent="0.65">
      <c r="A495" s="108">
        <v>23</v>
      </c>
      <c r="B495" s="26">
        <v>1190</v>
      </c>
      <c r="C495" s="26">
        <v>1190</v>
      </c>
      <c r="D495" s="26">
        <v>1190</v>
      </c>
      <c r="E495" s="26">
        <v>1190</v>
      </c>
      <c r="F495" s="26">
        <v>1190</v>
      </c>
      <c r="G495" s="26">
        <v>1190</v>
      </c>
      <c r="H495" s="26">
        <v>1190</v>
      </c>
      <c r="I495" s="26">
        <v>1190</v>
      </c>
      <c r="J495" s="26"/>
      <c r="K495" s="26"/>
      <c r="L495" s="26">
        <v>1190</v>
      </c>
      <c r="M495" s="26">
        <v>1190</v>
      </c>
      <c r="N495" s="26">
        <v>1190</v>
      </c>
      <c r="O495" s="26">
        <v>1190</v>
      </c>
      <c r="P495" s="26">
        <v>1190</v>
      </c>
      <c r="Q495" s="26">
        <v>1190</v>
      </c>
      <c r="R495" s="26">
        <v>1190</v>
      </c>
      <c r="S495" s="26">
        <v>1190</v>
      </c>
      <c r="T495" s="26"/>
      <c r="U495" s="26"/>
      <c r="V495" s="26">
        <v>1190</v>
      </c>
      <c r="W495" s="26">
        <v>1190</v>
      </c>
      <c r="X495" s="32">
        <v>1460</v>
      </c>
      <c r="Y495" s="32">
        <v>1460</v>
      </c>
    </row>
    <row r="496" spans="1:25" x14ac:dyDescent="0.65">
      <c r="A496" s="108">
        <v>24</v>
      </c>
      <c r="B496" s="26"/>
      <c r="C496" s="26"/>
      <c r="D496" s="26">
        <v>1190</v>
      </c>
      <c r="E496" s="26">
        <v>1190</v>
      </c>
      <c r="F496" s="26">
        <v>1190</v>
      </c>
      <c r="G496" s="26">
        <v>1190</v>
      </c>
      <c r="H496" s="8"/>
      <c r="I496" s="4"/>
      <c r="J496" s="26"/>
      <c r="K496" s="26"/>
      <c r="L496" s="26">
        <v>1190</v>
      </c>
      <c r="M496" s="26">
        <v>1190</v>
      </c>
      <c r="N496" s="26"/>
      <c r="O496" s="26"/>
      <c r="P496" s="32">
        <v>1190</v>
      </c>
      <c r="Q496" s="32">
        <v>1190</v>
      </c>
      <c r="R496" s="26">
        <v>1190</v>
      </c>
      <c r="S496" s="26">
        <v>1190</v>
      </c>
      <c r="T496" s="26"/>
      <c r="U496" s="26"/>
      <c r="V496" s="26">
        <v>1190</v>
      </c>
      <c r="W496" s="26">
        <v>1190</v>
      </c>
      <c r="X496" s="26">
        <v>1460</v>
      </c>
      <c r="Y496" s="26">
        <v>1460</v>
      </c>
    </row>
    <row r="497" spans="1:27" x14ac:dyDescent="0.65">
      <c r="A497" s="108">
        <v>25</v>
      </c>
      <c r="B497" s="26"/>
      <c r="C497" s="26"/>
      <c r="D497" s="26">
        <v>1190</v>
      </c>
      <c r="E497" s="26">
        <v>1190</v>
      </c>
      <c r="F497" s="26"/>
      <c r="G497" s="26"/>
      <c r="H497" s="8"/>
      <c r="I497" s="4"/>
      <c r="J497" s="26"/>
      <c r="K497" s="26"/>
      <c r="L497" s="26">
        <v>1190</v>
      </c>
      <c r="M497" s="26">
        <v>1190</v>
      </c>
      <c r="N497" s="26"/>
      <c r="O497" s="26"/>
      <c r="P497" s="32">
        <v>1190</v>
      </c>
      <c r="Q497" s="32">
        <v>1190</v>
      </c>
      <c r="R497" s="26"/>
      <c r="S497" s="26"/>
      <c r="T497" s="26">
        <v>1190</v>
      </c>
      <c r="U497" s="26">
        <v>1190</v>
      </c>
      <c r="V497" s="26">
        <v>1190</v>
      </c>
      <c r="W497" s="26">
        <v>1190</v>
      </c>
      <c r="X497" s="26"/>
      <c r="Y497" s="26"/>
    </row>
    <row r="498" spans="1:27" x14ac:dyDescent="0.65">
      <c r="A498" s="108">
        <v>26</v>
      </c>
      <c r="B498" s="26">
        <v>1190</v>
      </c>
      <c r="C498" s="26">
        <v>1190</v>
      </c>
      <c r="D498" s="26">
        <v>1190</v>
      </c>
      <c r="E498" s="26">
        <v>1190</v>
      </c>
      <c r="F498" s="26"/>
      <c r="G498" s="26"/>
      <c r="H498" s="26">
        <v>1190</v>
      </c>
      <c r="I498" s="26">
        <v>1190</v>
      </c>
      <c r="J498" s="26"/>
      <c r="K498" s="26"/>
      <c r="L498" s="26"/>
      <c r="M498" s="26"/>
      <c r="N498" s="26">
        <v>1190</v>
      </c>
      <c r="O498" s="26">
        <v>1190</v>
      </c>
      <c r="P498" s="32">
        <v>1190</v>
      </c>
      <c r="Q498" s="32">
        <v>1190</v>
      </c>
      <c r="R498" s="26"/>
      <c r="S498" s="26"/>
      <c r="T498" s="26">
        <v>1190</v>
      </c>
      <c r="U498" s="26">
        <v>1190</v>
      </c>
      <c r="V498" s="26">
        <v>1190</v>
      </c>
      <c r="W498" s="26">
        <v>1190</v>
      </c>
      <c r="X498" s="32"/>
      <c r="Y498" s="32"/>
    </row>
    <row r="499" spans="1:27" x14ac:dyDescent="0.65">
      <c r="A499" s="108">
        <v>27</v>
      </c>
      <c r="B499" s="26">
        <v>1190</v>
      </c>
      <c r="C499" s="26">
        <v>1190</v>
      </c>
      <c r="D499" s="26">
        <v>1190</v>
      </c>
      <c r="E499" s="26">
        <v>1190</v>
      </c>
      <c r="F499" s="26"/>
      <c r="G499" s="26"/>
      <c r="H499" s="26">
        <v>1190</v>
      </c>
      <c r="I499" s="26">
        <v>1190</v>
      </c>
      <c r="J499" s="26"/>
      <c r="K499" s="26"/>
      <c r="L499" s="26"/>
      <c r="M499" s="26"/>
      <c r="N499" s="26">
        <v>1190</v>
      </c>
      <c r="O499" s="26">
        <v>1190</v>
      </c>
      <c r="P499" s="32">
        <v>1190</v>
      </c>
      <c r="Q499" s="32">
        <v>1190</v>
      </c>
      <c r="R499" s="26">
        <v>1190</v>
      </c>
      <c r="S499" s="26">
        <v>1190</v>
      </c>
      <c r="T499" s="26">
        <v>1190</v>
      </c>
      <c r="U499" s="26">
        <v>1190</v>
      </c>
      <c r="V499" s="26"/>
      <c r="W499" s="26"/>
      <c r="X499" s="26">
        <v>1460</v>
      </c>
      <c r="Y499" s="26">
        <v>1460</v>
      </c>
    </row>
    <row r="500" spans="1:27" x14ac:dyDescent="0.65">
      <c r="A500" s="108">
        <v>28</v>
      </c>
      <c r="B500" s="26">
        <v>1190</v>
      </c>
      <c r="C500" s="26">
        <v>1190</v>
      </c>
      <c r="D500" s="26"/>
      <c r="E500" s="26"/>
      <c r="F500" s="26"/>
      <c r="G500" s="26"/>
      <c r="H500" s="26">
        <v>1190</v>
      </c>
      <c r="I500" s="26">
        <v>1190</v>
      </c>
      <c r="J500" s="26"/>
      <c r="K500" s="26"/>
      <c r="L500" s="26">
        <v>1190</v>
      </c>
      <c r="M500" s="26">
        <v>1190</v>
      </c>
      <c r="N500" s="26">
        <v>1190</v>
      </c>
      <c r="O500" s="26">
        <v>1190</v>
      </c>
      <c r="P500" s="32"/>
      <c r="Q500" s="32"/>
      <c r="R500" s="26">
        <v>1190</v>
      </c>
      <c r="S500" s="26">
        <v>1190</v>
      </c>
      <c r="T500" s="26">
        <v>1190</v>
      </c>
      <c r="U500" s="26">
        <v>1190</v>
      </c>
      <c r="V500" s="26"/>
      <c r="W500" s="26"/>
      <c r="X500" s="32">
        <v>1460</v>
      </c>
      <c r="Y500" s="32">
        <v>1460</v>
      </c>
    </row>
    <row r="501" spans="1:27" x14ac:dyDescent="0.65">
      <c r="A501" s="108">
        <v>29</v>
      </c>
      <c r="B501" s="26">
        <v>1190</v>
      </c>
      <c r="C501" s="26">
        <v>1190</v>
      </c>
      <c r="D501" s="27"/>
      <c r="E501" s="27"/>
      <c r="F501" s="26"/>
      <c r="G501" s="26"/>
      <c r="H501" s="26">
        <v>1190</v>
      </c>
      <c r="I501" s="26">
        <v>1190</v>
      </c>
      <c r="J501" s="26"/>
      <c r="K501" s="26"/>
      <c r="L501" s="26">
        <v>1190</v>
      </c>
      <c r="M501" s="26">
        <v>1190</v>
      </c>
      <c r="N501" s="26">
        <v>1190</v>
      </c>
      <c r="O501" s="26">
        <v>1190</v>
      </c>
      <c r="P501" s="32"/>
      <c r="Q501" s="32"/>
      <c r="R501" s="26">
        <v>1190</v>
      </c>
      <c r="S501" s="26">
        <v>1190</v>
      </c>
      <c r="T501" s="26"/>
      <c r="U501" s="26"/>
      <c r="V501" s="26">
        <v>1190</v>
      </c>
      <c r="W501" s="26">
        <v>1190</v>
      </c>
      <c r="X501" s="32">
        <v>1460</v>
      </c>
      <c r="Y501" s="32">
        <v>1460</v>
      </c>
    </row>
    <row r="502" spans="1:27" x14ac:dyDescent="0.65">
      <c r="A502" s="108">
        <v>30</v>
      </c>
      <c r="B502" s="26">
        <v>1190</v>
      </c>
      <c r="C502" s="26">
        <v>1190</v>
      </c>
      <c r="D502" s="26"/>
      <c r="E502" s="26"/>
      <c r="F502" s="26"/>
      <c r="G502" s="26"/>
      <c r="H502" s="26">
        <v>1190</v>
      </c>
      <c r="I502" s="26">
        <v>1190</v>
      </c>
      <c r="J502" s="26"/>
      <c r="K502" s="26"/>
      <c r="L502" s="26">
        <v>1190</v>
      </c>
      <c r="M502" s="26">
        <v>1190</v>
      </c>
      <c r="N502" s="26">
        <v>1190</v>
      </c>
      <c r="O502" s="26">
        <v>1190</v>
      </c>
      <c r="P502" s="26"/>
      <c r="Q502" s="26"/>
      <c r="R502" s="26">
        <v>1190</v>
      </c>
      <c r="S502" s="26">
        <v>1190</v>
      </c>
      <c r="T502" s="26"/>
      <c r="U502" s="26"/>
      <c r="V502" s="26">
        <v>1190</v>
      </c>
      <c r="W502" s="26">
        <v>1190</v>
      </c>
      <c r="X502" s="32">
        <v>1460</v>
      </c>
      <c r="Y502" s="32">
        <v>1460</v>
      </c>
    </row>
    <row r="503" spans="1:27" ht="28.5" thickBot="1" x14ac:dyDescent="0.75">
      <c r="A503" s="109">
        <v>31</v>
      </c>
      <c r="B503" s="32"/>
      <c r="C503" s="32"/>
      <c r="D503" s="56"/>
      <c r="E503" s="56"/>
      <c r="F503" s="32"/>
      <c r="G503" s="32"/>
      <c r="H503" s="2"/>
      <c r="I503" s="54"/>
      <c r="J503" s="30"/>
      <c r="K503" s="30"/>
      <c r="L503" s="52"/>
      <c r="M503" s="52"/>
      <c r="N503" s="32"/>
      <c r="O503" s="32"/>
      <c r="P503" s="32">
        <v>1190</v>
      </c>
      <c r="Q503" s="32">
        <v>1190</v>
      </c>
      <c r="R503" s="32"/>
      <c r="S503" s="32"/>
      <c r="T503" s="32"/>
      <c r="U503" s="32"/>
      <c r="V503" s="30"/>
      <c r="W503" s="30"/>
      <c r="X503" s="32">
        <v>1460</v>
      </c>
      <c r="Y503" s="32">
        <v>1460</v>
      </c>
    </row>
    <row r="504" spans="1:27" ht="25.5" thickBot="1" x14ac:dyDescent="0.7">
      <c r="A504" s="17" t="s">
        <v>15</v>
      </c>
      <c r="B504" s="197">
        <f>AVERAGE(B473:B503)</f>
        <v>1190</v>
      </c>
      <c r="C504" s="197">
        <f t="shared" ref="C504:Y504" si="34">AVERAGE(C473:C503)</f>
        <v>1190</v>
      </c>
      <c r="D504" s="197">
        <f t="shared" si="34"/>
        <v>1190</v>
      </c>
      <c r="E504" s="197">
        <f t="shared" si="34"/>
        <v>1190</v>
      </c>
      <c r="F504" s="197">
        <f t="shared" si="34"/>
        <v>1190</v>
      </c>
      <c r="G504" s="197">
        <f t="shared" si="34"/>
        <v>1190</v>
      </c>
      <c r="H504" s="197">
        <f t="shared" si="34"/>
        <v>1190</v>
      </c>
      <c r="I504" s="197">
        <f t="shared" si="34"/>
        <v>1190</v>
      </c>
      <c r="J504" s="197">
        <f t="shared" si="34"/>
        <v>1190</v>
      </c>
      <c r="K504" s="197">
        <f t="shared" si="34"/>
        <v>1190</v>
      </c>
      <c r="L504" s="197">
        <f t="shared" si="34"/>
        <v>1190</v>
      </c>
      <c r="M504" s="197">
        <f t="shared" si="34"/>
        <v>1190</v>
      </c>
      <c r="N504" s="197">
        <f t="shared" si="34"/>
        <v>1190</v>
      </c>
      <c r="O504" s="197">
        <f t="shared" si="34"/>
        <v>1190</v>
      </c>
      <c r="P504" s="197">
        <f t="shared" si="34"/>
        <v>1190</v>
      </c>
      <c r="Q504" s="197">
        <f t="shared" si="34"/>
        <v>1190</v>
      </c>
      <c r="R504" s="197">
        <f t="shared" si="34"/>
        <v>1190</v>
      </c>
      <c r="S504" s="197">
        <f t="shared" si="34"/>
        <v>1190</v>
      </c>
      <c r="T504" s="197">
        <f t="shared" si="34"/>
        <v>1190</v>
      </c>
      <c r="U504" s="197">
        <f t="shared" si="34"/>
        <v>1190</v>
      </c>
      <c r="V504" s="197">
        <f t="shared" si="34"/>
        <v>1190</v>
      </c>
      <c r="W504" s="197">
        <f t="shared" si="34"/>
        <v>1190</v>
      </c>
      <c r="X504" s="197">
        <f t="shared" si="34"/>
        <v>1312.7272727272727</v>
      </c>
      <c r="Y504" s="197">
        <f t="shared" si="34"/>
        <v>1312.7272727272727</v>
      </c>
      <c r="Z504" s="57"/>
      <c r="AA504" s="57"/>
    </row>
    <row r="505" spans="1:27" ht="18.75" customHeight="1" x14ac:dyDescent="0.65">
      <c r="A505" s="230" t="s">
        <v>77</v>
      </c>
      <c r="B505" s="230"/>
      <c r="C505" s="230"/>
      <c r="D505" s="230"/>
      <c r="E505" s="230"/>
      <c r="F505" s="230"/>
      <c r="G505" s="230"/>
      <c r="H505" s="230"/>
      <c r="I505" s="230"/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  <c r="V505" s="230"/>
      <c r="W505" s="230"/>
      <c r="X505" s="230"/>
      <c r="Y505" s="63"/>
    </row>
    <row r="506" spans="1:27" ht="30" x14ac:dyDescent="0.65">
      <c r="A506" s="224" t="s">
        <v>39</v>
      </c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 spans="1:27" ht="25.5" thickBot="1" x14ac:dyDescent="0.7">
      <c r="A507" s="225" t="s">
        <v>71</v>
      </c>
      <c r="B507" s="225"/>
      <c r="C507" s="225"/>
      <c r="D507" s="225"/>
      <c r="E507" s="225"/>
      <c r="F507" s="225"/>
      <c r="G507" s="225"/>
      <c r="H507" s="225"/>
      <c r="I507" s="225"/>
      <c r="J507" s="225"/>
      <c r="K507" s="225"/>
      <c r="L507" s="225"/>
      <c r="M507" s="225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</row>
    <row r="508" spans="1:27" ht="25.5" thickBot="1" x14ac:dyDescent="0.7">
      <c r="A508" s="226" t="s">
        <v>2</v>
      </c>
      <c r="B508" s="228" t="s">
        <v>3</v>
      </c>
      <c r="C508" s="229"/>
      <c r="D508" s="228" t="s">
        <v>4</v>
      </c>
      <c r="E508" s="229"/>
      <c r="F508" s="228" t="s">
        <v>5</v>
      </c>
      <c r="G508" s="229"/>
      <c r="H508" s="228" t="s">
        <v>6</v>
      </c>
      <c r="I508" s="229"/>
      <c r="J508" s="228" t="s">
        <v>7</v>
      </c>
      <c r="K508" s="229"/>
      <c r="L508" s="228" t="s">
        <v>8</v>
      </c>
      <c r="M508" s="229"/>
      <c r="N508" s="228" t="s">
        <v>9</v>
      </c>
      <c r="O508" s="229"/>
      <c r="P508" s="228" t="s">
        <v>10</v>
      </c>
      <c r="Q508" s="229"/>
      <c r="R508" s="228" t="s">
        <v>11</v>
      </c>
      <c r="S508" s="229"/>
      <c r="T508" s="228" t="s">
        <v>12</v>
      </c>
      <c r="U508" s="229"/>
      <c r="V508" s="228" t="s">
        <v>21</v>
      </c>
      <c r="W508" s="229"/>
      <c r="X508" s="228" t="s">
        <v>14</v>
      </c>
      <c r="Y508" s="229"/>
    </row>
    <row r="509" spans="1:27" ht="25.5" thickBot="1" x14ac:dyDescent="0.7">
      <c r="A509" s="227"/>
      <c r="B509" s="17" t="s">
        <v>74</v>
      </c>
      <c r="C509" s="17" t="s">
        <v>75</v>
      </c>
      <c r="D509" s="17" t="s">
        <v>74</v>
      </c>
      <c r="E509" s="17" t="s">
        <v>75</v>
      </c>
      <c r="F509" s="17" t="s">
        <v>74</v>
      </c>
      <c r="G509" s="17" t="s">
        <v>75</v>
      </c>
      <c r="H509" s="17" t="s">
        <v>74</v>
      </c>
      <c r="I509" s="17" t="s">
        <v>75</v>
      </c>
      <c r="J509" s="17" t="s">
        <v>74</v>
      </c>
      <c r="K509" s="17" t="s">
        <v>75</v>
      </c>
      <c r="L509" s="17" t="s">
        <v>74</v>
      </c>
      <c r="M509" s="17" t="s">
        <v>75</v>
      </c>
      <c r="N509" s="17" t="s">
        <v>74</v>
      </c>
      <c r="O509" s="17" t="s">
        <v>75</v>
      </c>
      <c r="P509" s="17" t="s">
        <v>74</v>
      </c>
      <c r="Q509" s="17" t="s">
        <v>75</v>
      </c>
      <c r="R509" s="17" t="s">
        <v>74</v>
      </c>
      <c r="S509" s="17" t="s">
        <v>75</v>
      </c>
      <c r="T509" s="17" t="s">
        <v>74</v>
      </c>
      <c r="U509" s="17" t="s">
        <v>75</v>
      </c>
      <c r="V509" s="17" t="s">
        <v>74</v>
      </c>
      <c r="W509" s="17" t="s">
        <v>75</v>
      </c>
      <c r="X509" s="17" t="s">
        <v>74</v>
      </c>
      <c r="Y509" s="17" t="s">
        <v>75</v>
      </c>
    </row>
    <row r="510" spans="1:27" x14ac:dyDescent="0.65">
      <c r="A510" s="39">
        <v>1</v>
      </c>
      <c r="B510" s="32"/>
      <c r="C510" s="62"/>
      <c r="D510" s="32">
        <v>1460</v>
      </c>
      <c r="E510" s="30">
        <v>1460</v>
      </c>
      <c r="F510" s="32">
        <v>1460</v>
      </c>
      <c r="G510" s="30">
        <v>1460</v>
      </c>
      <c r="H510" s="3"/>
      <c r="I510" s="4"/>
      <c r="J510" s="30"/>
      <c r="K510" s="30"/>
      <c r="L510" s="32">
        <v>1460</v>
      </c>
      <c r="M510" s="32">
        <v>1460</v>
      </c>
      <c r="N510" s="32"/>
      <c r="O510" s="32"/>
      <c r="P510" s="32">
        <v>1460</v>
      </c>
      <c r="Q510" s="32">
        <v>1460</v>
      </c>
      <c r="R510" s="32">
        <v>1460</v>
      </c>
      <c r="S510" s="32">
        <v>1460</v>
      </c>
      <c r="T510" s="32"/>
      <c r="U510" s="32"/>
      <c r="V510" s="30">
        <v>1460</v>
      </c>
      <c r="W510" s="30">
        <v>1460</v>
      </c>
      <c r="X510" s="32">
        <v>1460</v>
      </c>
      <c r="Y510" s="32">
        <v>1460</v>
      </c>
    </row>
    <row r="511" spans="1:27" x14ac:dyDescent="0.65">
      <c r="A511" s="108">
        <v>2</v>
      </c>
      <c r="B511" s="26"/>
      <c r="C511" s="26"/>
      <c r="D511" s="26">
        <v>1460</v>
      </c>
      <c r="E511" s="26">
        <v>1460</v>
      </c>
      <c r="F511" s="26">
        <v>1460</v>
      </c>
      <c r="G511" s="26">
        <v>1460</v>
      </c>
      <c r="H511" s="4"/>
      <c r="I511" s="4"/>
      <c r="J511" s="26">
        <v>1460</v>
      </c>
      <c r="K511" s="26">
        <v>1460</v>
      </c>
      <c r="L511" s="26">
        <v>1460</v>
      </c>
      <c r="M511" s="26">
        <v>1460</v>
      </c>
      <c r="N511" s="26"/>
      <c r="O511" s="26"/>
      <c r="P511" s="26">
        <v>1460</v>
      </c>
      <c r="Q511" s="26">
        <v>1460</v>
      </c>
      <c r="R511" s="26">
        <v>1460</v>
      </c>
      <c r="S511" s="26">
        <v>1460</v>
      </c>
      <c r="T511" s="26"/>
      <c r="U511" s="26"/>
      <c r="V511" s="26">
        <v>1460</v>
      </c>
      <c r="W511" s="26">
        <v>1460</v>
      </c>
      <c r="X511" s="32">
        <v>1460</v>
      </c>
      <c r="Y511" s="32">
        <v>1460</v>
      </c>
    </row>
    <row r="512" spans="1:27" ht="23.25" customHeight="1" x14ac:dyDescent="0.65">
      <c r="A512" s="108">
        <v>3</v>
      </c>
      <c r="B512" s="26"/>
      <c r="C512" s="26"/>
      <c r="D512" s="26">
        <v>1460</v>
      </c>
      <c r="E512" s="26">
        <v>1460</v>
      </c>
      <c r="F512" s="26">
        <v>1460</v>
      </c>
      <c r="G512" s="26">
        <v>1460</v>
      </c>
      <c r="H512" s="4"/>
      <c r="I512" s="4"/>
      <c r="J512" s="26">
        <v>1460</v>
      </c>
      <c r="K512" s="26">
        <v>1460</v>
      </c>
      <c r="L512" s="26">
        <v>1460</v>
      </c>
      <c r="M512" s="26">
        <v>1460</v>
      </c>
      <c r="N512" s="26"/>
      <c r="O512" s="26"/>
      <c r="P512" s="32">
        <v>1460</v>
      </c>
      <c r="Q512" s="32">
        <v>1460</v>
      </c>
      <c r="R512" s="26"/>
      <c r="S512" s="26"/>
      <c r="T512" s="26"/>
      <c r="U512" s="26"/>
      <c r="V512" s="26">
        <v>1460</v>
      </c>
      <c r="W512" s="26">
        <v>1460</v>
      </c>
      <c r="X512" s="32"/>
      <c r="Y512" s="32"/>
    </row>
    <row r="513" spans="1:25" x14ac:dyDescent="0.65">
      <c r="A513" s="108">
        <v>4</v>
      </c>
      <c r="B513" s="26">
        <v>1460</v>
      </c>
      <c r="C513" s="26">
        <v>1460</v>
      </c>
      <c r="D513" s="26">
        <v>1460</v>
      </c>
      <c r="E513" s="26">
        <v>1460</v>
      </c>
      <c r="F513" s="26">
        <v>1460</v>
      </c>
      <c r="G513" s="26">
        <v>1460</v>
      </c>
      <c r="H513" s="4"/>
      <c r="I513" s="4"/>
      <c r="J513" s="26">
        <v>1460</v>
      </c>
      <c r="K513" s="26">
        <v>1460</v>
      </c>
      <c r="L513" s="26"/>
      <c r="M513" s="26"/>
      <c r="N513" s="26">
        <v>1460</v>
      </c>
      <c r="O513" s="26">
        <v>1460</v>
      </c>
      <c r="P513" s="32">
        <v>1460</v>
      </c>
      <c r="Q513" s="32">
        <v>1460</v>
      </c>
      <c r="R513" s="26"/>
      <c r="S513" s="26"/>
      <c r="T513" s="26">
        <v>1460</v>
      </c>
      <c r="U513" s="26">
        <v>1460</v>
      </c>
      <c r="V513" s="26">
        <v>1460</v>
      </c>
      <c r="W513" s="26">
        <v>1460</v>
      </c>
      <c r="X513" s="32"/>
      <c r="Y513" s="32"/>
    </row>
    <row r="514" spans="1:25" x14ac:dyDescent="0.65">
      <c r="A514" s="108">
        <v>5</v>
      </c>
      <c r="B514" s="26">
        <v>1460</v>
      </c>
      <c r="C514" s="26">
        <v>1460</v>
      </c>
      <c r="D514" s="26"/>
      <c r="E514" s="26"/>
      <c r="F514" s="26"/>
      <c r="G514" s="26"/>
      <c r="H514" s="4"/>
      <c r="I514" s="26"/>
      <c r="J514" s="26">
        <v>1460</v>
      </c>
      <c r="K514" s="26">
        <v>1460</v>
      </c>
      <c r="L514" s="26"/>
      <c r="M514" s="26"/>
      <c r="N514" s="26">
        <v>1460</v>
      </c>
      <c r="O514" s="26">
        <v>1460</v>
      </c>
      <c r="P514" s="32">
        <v>1460</v>
      </c>
      <c r="Q514" s="32">
        <v>1460</v>
      </c>
      <c r="R514" s="26">
        <v>1460</v>
      </c>
      <c r="S514" s="26">
        <v>1460</v>
      </c>
      <c r="T514" s="26">
        <v>1460</v>
      </c>
      <c r="U514" s="26">
        <v>1460</v>
      </c>
      <c r="V514" s="26"/>
      <c r="W514" s="26"/>
      <c r="X514" s="32">
        <v>1460</v>
      </c>
      <c r="Y514" s="32">
        <v>1460</v>
      </c>
    </row>
    <row r="515" spans="1:25" x14ac:dyDescent="0.65">
      <c r="A515" s="108">
        <v>6</v>
      </c>
      <c r="B515" s="26"/>
      <c r="C515" s="26"/>
      <c r="D515" s="26"/>
      <c r="E515" s="26"/>
      <c r="F515" s="26"/>
      <c r="G515" s="26"/>
      <c r="H515" s="26">
        <v>1460</v>
      </c>
      <c r="I515" s="26">
        <v>1460</v>
      </c>
      <c r="J515" s="26">
        <v>1460</v>
      </c>
      <c r="K515" s="26">
        <v>1460</v>
      </c>
      <c r="L515" s="26">
        <v>1460</v>
      </c>
      <c r="M515" s="26">
        <v>1460</v>
      </c>
      <c r="N515" s="26">
        <v>1460</v>
      </c>
      <c r="O515" s="26">
        <v>1460</v>
      </c>
      <c r="P515" s="32"/>
      <c r="Q515" s="32"/>
      <c r="R515" s="26">
        <v>1460</v>
      </c>
      <c r="S515" s="26">
        <v>1460</v>
      </c>
      <c r="T515" s="26">
        <v>1460</v>
      </c>
      <c r="U515" s="26">
        <v>1460</v>
      </c>
      <c r="V515" s="26"/>
      <c r="W515" s="26"/>
      <c r="X515" s="26">
        <v>1460</v>
      </c>
      <c r="Y515" s="26">
        <v>1460</v>
      </c>
    </row>
    <row r="516" spans="1:25" x14ac:dyDescent="0.65">
      <c r="A516" s="108">
        <v>7</v>
      </c>
      <c r="B516" s="26">
        <v>1460</v>
      </c>
      <c r="C516" s="26">
        <v>1460</v>
      </c>
      <c r="D516" s="26">
        <v>1460</v>
      </c>
      <c r="E516" s="26">
        <v>1460</v>
      </c>
      <c r="F516" s="26"/>
      <c r="G516" s="26"/>
      <c r="H516" s="26">
        <v>1460</v>
      </c>
      <c r="I516" s="26">
        <v>1460</v>
      </c>
      <c r="J516" s="26"/>
      <c r="K516" s="26"/>
      <c r="L516" s="26">
        <v>1460</v>
      </c>
      <c r="M516" s="26">
        <v>1460</v>
      </c>
      <c r="N516" s="26">
        <v>1460</v>
      </c>
      <c r="O516" s="26">
        <v>1460</v>
      </c>
      <c r="P516" s="32"/>
      <c r="Q516" s="32"/>
      <c r="R516" s="26">
        <v>1460</v>
      </c>
      <c r="S516" s="26">
        <v>1460</v>
      </c>
      <c r="T516" s="26">
        <v>1460</v>
      </c>
      <c r="U516" s="26">
        <v>1460</v>
      </c>
      <c r="V516" s="26">
        <v>1460</v>
      </c>
      <c r="W516" s="26">
        <v>1460</v>
      </c>
      <c r="X516" s="32">
        <v>1460</v>
      </c>
      <c r="Y516" s="32">
        <v>1460</v>
      </c>
    </row>
    <row r="517" spans="1:25" x14ac:dyDescent="0.65">
      <c r="A517" s="108">
        <v>8</v>
      </c>
      <c r="B517" s="26"/>
      <c r="C517" s="26"/>
      <c r="D517" s="26">
        <v>1460</v>
      </c>
      <c r="E517" s="26">
        <v>1460</v>
      </c>
      <c r="F517" s="26">
        <v>1460</v>
      </c>
      <c r="G517" s="26">
        <v>1460</v>
      </c>
      <c r="H517" s="26">
        <v>1460</v>
      </c>
      <c r="I517" s="26">
        <v>1460</v>
      </c>
      <c r="J517" s="26"/>
      <c r="K517" s="26"/>
      <c r="L517" s="26">
        <v>1460</v>
      </c>
      <c r="M517" s="26">
        <v>1460</v>
      </c>
      <c r="N517" s="26">
        <v>1460</v>
      </c>
      <c r="O517" s="26">
        <v>1460</v>
      </c>
      <c r="P517" s="32">
        <v>1460</v>
      </c>
      <c r="Q517" s="32">
        <v>1460</v>
      </c>
      <c r="R517" s="26">
        <v>1460</v>
      </c>
      <c r="S517" s="26">
        <v>1460</v>
      </c>
      <c r="T517" s="26"/>
      <c r="U517" s="26"/>
      <c r="V517" s="26">
        <v>1460</v>
      </c>
      <c r="W517" s="26">
        <v>1460</v>
      </c>
      <c r="X517" s="32">
        <v>1460</v>
      </c>
      <c r="Y517" s="32">
        <v>1460</v>
      </c>
    </row>
    <row r="518" spans="1:25" x14ac:dyDescent="0.65">
      <c r="A518" s="108">
        <v>9</v>
      </c>
      <c r="B518" s="26"/>
      <c r="C518" s="26"/>
      <c r="D518" s="26">
        <v>1460</v>
      </c>
      <c r="E518" s="26">
        <v>1460</v>
      </c>
      <c r="F518" s="26">
        <v>1460</v>
      </c>
      <c r="G518" s="26">
        <v>1460</v>
      </c>
      <c r="H518" s="6"/>
      <c r="I518" s="4"/>
      <c r="J518" s="26">
        <v>1460</v>
      </c>
      <c r="K518" s="26">
        <v>1460</v>
      </c>
      <c r="L518" s="26">
        <v>1460</v>
      </c>
      <c r="M518" s="26">
        <v>1460</v>
      </c>
      <c r="N518" s="26"/>
      <c r="O518" s="26"/>
      <c r="P518" s="26"/>
      <c r="Q518" s="26"/>
      <c r="R518" s="26">
        <v>1460</v>
      </c>
      <c r="S518" s="26">
        <v>1460</v>
      </c>
      <c r="T518" s="26"/>
      <c r="U518" s="26"/>
      <c r="V518" s="26">
        <v>1460</v>
      </c>
      <c r="W518" s="26">
        <v>1460</v>
      </c>
      <c r="X518" s="32">
        <v>1460</v>
      </c>
      <c r="Y518" s="32">
        <v>1460</v>
      </c>
    </row>
    <row r="519" spans="1:25" x14ac:dyDescent="0.65">
      <c r="A519" s="108">
        <v>10</v>
      </c>
      <c r="B519" s="26">
        <v>1460</v>
      </c>
      <c r="C519" s="26">
        <v>1460</v>
      </c>
      <c r="D519" s="26">
        <v>1460</v>
      </c>
      <c r="E519" s="26">
        <v>1460</v>
      </c>
      <c r="F519" s="26">
        <v>1460</v>
      </c>
      <c r="G519" s="26">
        <v>1460</v>
      </c>
      <c r="H519" s="6"/>
      <c r="I519" s="4"/>
      <c r="J519" s="26">
        <v>1460</v>
      </c>
      <c r="K519" s="26">
        <v>1460</v>
      </c>
      <c r="L519" s="26">
        <v>1460</v>
      </c>
      <c r="M519" s="26">
        <v>1460</v>
      </c>
      <c r="N519" s="26"/>
      <c r="O519" s="26"/>
      <c r="P519" s="32">
        <v>1460</v>
      </c>
      <c r="Q519" s="32">
        <v>1460</v>
      </c>
      <c r="R519" s="26"/>
      <c r="S519" s="26"/>
      <c r="T519" s="26"/>
      <c r="U519" s="26"/>
      <c r="V519" s="26">
        <v>1460</v>
      </c>
      <c r="W519" s="26">
        <v>1460</v>
      </c>
      <c r="X519" s="32"/>
      <c r="Y519" s="32"/>
    </row>
    <row r="520" spans="1:25" x14ac:dyDescent="0.65">
      <c r="A520" s="108">
        <v>11</v>
      </c>
      <c r="B520" s="26">
        <v>1460</v>
      </c>
      <c r="C520" s="26">
        <v>1460</v>
      </c>
      <c r="D520" s="26">
        <v>1460</v>
      </c>
      <c r="E520" s="26">
        <v>1460</v>
      </c>
      <c r="F520" s="26">
        <v>1460</v>
      </c>
      <c r="G520" s="26">
        <v>1460</v>
      </c>
      <c r="H520" s="26">
        <v>1460</v>
      </c>
      <c r="I520" s="26">
        <v>1460</v>
      </c>
      <c r="J520" s="26">
        <v>1460</v>
      </c>
      <c r="K520" s="26">
        <v>1460</v>
      </c>
      <c r="L520" s="26"/>
      <c r="M520" s="26"/>
      <c r="N520" s="26">
        <v>1460</v>
      </c>
      <c r="O520" s="26">
        <v>1460</v>
      </c>
      <c r="P520" s="32">
        <v>1460</v>
      </c>
      <c r="Q520" s="32">
        <v>1460</v>
      </c>
      <c r="R520" s="26"/>
      <c r="S520" s="26"/>
      <c r="T520" s="26">
        <v>1460</v>
      </c>
      <c r="U520" s="26">
        <v>1460</v>
      </c>
      <c r="V520" s="26">
        <v>1460</v>
      </c>
      <c r="W520" s="26">
        <v>1460</v>
      </c>
      <c r="X520" s="32"/>
      <c r="Y520" s="32"/>
    </row>
    <row r="521" spans="1:25" x14ac:dyDescent="0.65">
      <c r="A521" s="108">
        <v>12</v>
      </c>
      <c r="B521" s="26">
        <v>1460</v>
      </c>
      <c r="C521" s="26">
        <v>1460</v>
      </c>
      <c r="D521" s="26"/>
      <c r="E521" s="26"/>
      <c r="F521" s="26"/>
      <c r="G521" s="26"/>
      <c r="H521" s="26">
        <v>1460</v>
      </c>
      <c r="I521" s="26">
        <v>1460</v>
      </c>
      <c r="J521" s="26"/>
      <c r="K521" s="26"/>
      <c r="L521" s="26"/>
      <c r="M521" s="26"/>
      <c r="N521" s="26">
        <v>1460</v>
      </c>
      <c r="O521" s="26">
        <v>1460</v>
      </c>
      <c r="P521" s="32">
        <v>1460</v>
      </c>
      <c r="Q521" s="32">
        <v>1460</v>
      </c>
      <c r="R521" s="26">
        <v>1460</v>
      </c>
      <c r="S521" s="26">
        <v>1460</v>
      </c>
      <c r="T521" s="26">
        <v>1460</v>
      </c>
      <c r="U521" s="26">
        <v>1460</v>
      </c>
      <c r="V521" s="26"/>
      <c r="W521" s="26"/>
      <c r="X521" s="32">
        <v>1460</v>
      </c>
      <c r="Y521" s="32">
        <v>1460</v>
      </c>
    </row>
    <row r="522" spans="1:25" x14ac:dyDescent="0.65">
      <c r="A522" s="108">
        <v>13</v>
      </c>
      <c r="B522" s="26">
        <v>1460</v>
      </c>
      <c r="C522" s="26">
        <v>1460</v>
      </c>
      <c r="D522" s="26"/>
      <c r="E522" s="26"/>
      <c r="F522" s="26"/>
      <c r="G522" s="26"/>
      <c r="H522" s="26">
        <v>1460</v>
      </c>
      <c r="I522" s="26">
        <v>1460</v>
      </c>
      <c r="J522" s="26"/>
      <c r="K522" s="26"/>
      <c r="L522" s="26">
        <v>1460</v>
      </c>
      <c r="M522" s="26">
        <v>1460</v>
      </c>
      <c r="N522" s="26">
        <v>1460</v>
      </c>
      <c r="O522" s="26">
        <v>1460</v>
      </c>
      <c r="P522" s="32"/>
      <c r="Q522" s="32"/>
      <c r="R522" s="26">
        <v>1460</v>
      </c>
      <c r="S522" s="26">
        <v>1460</v>
      </c>
      <c r="T522" s="26">
        <v>1460</v>
      </c>
      <c r="U522" s="26">
        <v>1460</v>
      </c>
      <c r="V522" s="26"/>
      <c r="W522" s="26"/>
      <c r="X522" s="32">
        <v>1460</v>
      </c>
      <c r="Y522" s="32">
        <v>1460</v>
      </c>
    </row>
    <row r="523" spans="1:25" x14ac:dyDescent="0.65">
      <c r="A523" s="108">
        <v>14</v>
      </c>
      <c r="B523" s="26">
        <v>1460</v>
      </c>
      <c r="C523" s="26">
        <v>1460</v>
      </c>
      <c r="D523" s="26">
        <v>1460</v>
      </c>
      <c r="E523" s="26">
        <v>1460</v>
      </c>
      <c r="F523" s="26"/>
      <c r="G523" s="26"/>
      <c r="H523" s="26">
        <v>1460</v>
      </c>
      <c r="I523" s="26">
        <v>1460</v>
      </c>
      <c r="J523" s="26"/>
      <c r="K523" s="26"/>
      <c r="L523" s="26">
        <v>1460</v>
      </c>
      <c r="M523" s="26">
        <v>1460</v>
      </c>
      <c r="N523" s="26"/>
      <c r="O523" s="26"/>
      <c r="P523" s="32"/>
      <c r="Q523" s="32"/>
      <c r="R523" s="26">
        <v>1460</v>
      </c>
      <c r="S523" s="26">
        <v>1460</v>
      </c>
      <c r="T523" s="26">
        <v>1460</v>
      </c>
      <c r="U523" s="26">
        <v>1460</v>
      </c>
      <c r="V523" s="26">
        <v>1460</v>
      </c>
      <c r="W523" s="26">
        <v>1460</v>
      </c>
      <c r="X523" s="32">
        <v>1460</v>
      </c>
      <c r="Y523" s="32">
        <v>1460</v>
      </c>
    </row>
    <row r="524" spans="1:25" x14ac:dyDescent="0.65">
      <c r="A524" s="108">
        <v>15</v>
      </c>
      <c r="B524" s="26"/>
      <c r="C524" s="26"/>
      <c r="D524" s="26">
        <v>1460</v>
      </c>
      <c r="E524" s="26">
        <v>1460</v>
      </c>
      <c r="F524" s="26">
        <v>1460</v>
      </c>
      <c r="G524" s="26">
        <v>1460</v>
      </c>
      <c r="H524" s="26">
        <v>1460</v>
      </c>
      <c r="I524" s="26">
        <v>1460</v>
      </c>
      <c r="J524" s="26"/>
      <c r="K524" s="26"/>
      <c r="L524" s="26">
        <v>1460</v>
      </c>
      <c r="M524" s="26">
        <v>1460</v>
      </c>
      <c r="N524" s="26">
        <v>1460</v>
      </c>
      <c r="O524" s="26">
        <v>1460</v>
      </c>
      <c r="P524" s="32">
        <v>1460</v>
      </c>
      <c r="Q524" s="32">
        <v>1460</v>
      </c>
      <c r="R524" s="26">
        <v>1460</v>
      </c>
      <c r="S524" s="26">
        <v>1460</v>
      </c>
      <c r="T524" s="26"/>
      <c r="U524" s="26"/>
      <c r="V524" s="26">
        <v>1460</v>
      </c>
      <c r="W524" s="26">
        <v>1460</v>
      </c>
      <c r="X524" s="32">
        <v>1460</v>
      </c>
      <c r="Y524" s="32">
        <v>1460</v>
      </c>
    </row>
    <row r="525" spans="1:25" x14ac:dyDescent="0.65">
      <c r="A525" s="108">
        <v>16</v>
      </c>
      <c r="B525" s="26"/>
      <c r="C525" s="26"/>
      <c r="D525" s="26">
        <v>1460</v>
      </c>
      <c r="E525" s="26">
        <v>1460</v>
      </c>
      <c r="F525" s="26">
        <v>1460</v>
      </c>
      <c r="G525" s="26">
        <v>1460</v>
      </c>
      <c r="H525" s="8"/>
      <c r="I525" s="4"/>
      <c r="J525" s="26"/>
      <c r="K525" s="26"/>
      <c r="L525" s="26">
        <v>1460</v>
      </c>
      <c r="M525" s="26">
        <v>1460</v>
      </c>
      <c r="N525" s="26"/>
      <c r="O525" s="26"/>
      <c r="P525" s="26">
        <v>1460</v>
      </c>
      <c r="Q525" s="26">
        <v>1460</v>
      </c>
      <c r="R525" s="26">
        <v>1460</v>
      </c>
      <c r="S525" s="26">
        <v>1460</v>
      </c>
      <c r="T525" s="26"/>
      <c r="U525" s="26"/>
      <c r="V525" s="26">
        <v>1460</v>
      </c>
      <c r="W525" s="26">
        <v>1460</v>
      </c>
      <c r="X525" s="32">
        <v>1460</v>
      </c>
      <c r="Y525" s="32">
        <v>1460</v>
      </c>
    </row>
    <row r="526" spans="1:25" x14ac:dyDescent="0.65">
      <c r="A526" s="108">
        <v>17</v>
      </c>
      <c r="B526" s="26">
        <v>1460</v>
      </c>
      <c r="C526" s="26">
        <v>1460</v>
      </c>
      <c r="D526" s="26">
        <v>1460</v>
      </c>
      <c r="E526" s="26">
        <v>1460</v>
      </c>
      <c r="F526" s="26">
        <v>1460</v>
      </c>
      <c r="G526" s="26">
        <v>1460</v>
      </c>
      <c r="H526" s="8"/>
      <c r="I526" s="4"/>
      <c r="J526" s="26"/>
      <c r="K526" s="26"/>
      <c r="L526" s="26">
        <v>1460</v>
      </c>
      <c r="M526" s="26">
        <v>1460</v>
      </c>
      <c r="N526" s="26"/>
      <c r="O526" s="26"/>
      <c r="P526" s="32">
        <v>1460</v>
      </c>
      <c r="Q526" s="32">
        <v>1460</v>
      </c>
      <c r="R526" s="26"/>
      <c r="S526" s="26"/>
      <c r="T526" s="26">
        <v>1460</v>
      </c>
      <c r="U526" s="26">
        <v>1460</v>
      </c>
      <c r="V526" s="26">
        <v>1460</v>
      </c>
      <c r="W526" s="26">
        <v>1460</v>
      </c>
      <c r="X526" s="32"/>
      <c r="Y526" s="32"/>
    </row>
    <row r="527" spans="1:25" x14ac:dyDescent="0.65">
      <c r="A527" s="108">
        <v>18</v>
      </c>
      <c r="B527" s="26">
        <v>1460</v>
      </c>
      <c r="C527" s="26">
        <v>1460</v>
      </c>
      <c r="D527" s="26">
        <v>1460</v>
      </c>
      <c r="E527" s="26">
        <v>1460</v>
      </c>
      <c r="F527" s="26">
        <v>1460</v>
      </c>
      <c r="G527" s="26">
        <v>1460</v>
      </c>
      <c r="H527" s="26">
        <v>1460</v>
      </c>
      <c r="I527" s="26">
        <v>1460</v>
      </c>
      <c r="J527" s="26"/>
      <c r="K527" s="26"/>
      <c r="L527" s="26"/>
      <c r="M527" s="26"/>
      <c r="N527" s="26"/>
      <c r="O527" s="26"/>
      <c r="P527" s="32">
        <v>1460</v>
      </c>
      <c r="Q527" s="32">
        <v>1460</v>
      </c>
      <c r="R527" s="26"/>
      <c r="S527" s="26"/>
      <c r="T527" s="26"/>
      <c r="U527" s="26"/>
      <c r="V527" s="26">
        <v>1460</v>
      </c>
      <c r="W527" s="26">
        <v>1460</v>
      </c>
      <c r="X527" s="32"/>
      <c r="Y527" s="32"/>
    </row>
    <row r="528" spans="1:25" x14ac:dyDescent="0.65">
      <c r="A528" s="108">
        <v>19</v>
      </c>
      <c r="B528" s="26">
        <v>1460</v>
      </c>
      <c r="C528" s="26">
        <v>1460</v>
      </c>
      <c r="D528" s="26"/>
      <c r="E528" s="26"/>
      <c r="F528" s="26"/>
      <c r="G528" s="26"/>
      <c r="H528" s="26">
        <v>1460</v>
      </c>
      <c r="I528" s="26">
        <v>1460</v>
      </c>
      <c r="J528" s="26"/>
      <c r="K528" s="26"/>
      <c r="L528" s="26"/>
      <c r="M528" s="26"/>
      <c r="N528" s="26"/>
      <c r="O528" s="26"/>
      <c r="P528" s="32"/>
      <c r="Q528" s="32"/>
      <c r="R528" s="26">
        <v>1460</v>
      </c>
      <c r="S528" s="26">
        <v>1460</v>
      </c>
      <c r="T528" s="26">
        <v>1460</v>
      </c>
      <c r="U528" s="26">
        <v>1460</v>
      </c>
      <c r="V528" s="26"/>
      <c r="W528" s="26"/>
      <c r="X528" s="32">
        <v>1460</v>
      </c>
      <c r="Y528" s="32">
        <v>1460</v>
      </c>
    </row>
    <row r="529" spans="1:27" x14ac:dyDescent="0.65">
      <c r="A529" s="108">
        <v>20</v>
      </c>
      <c r="B529" s="26">
        <v>1460</v>
      </c>
      <c r="C529" s="26">
        <v>1460</v>
      </c>
      <c r="D529" s="26"/>
      <c r="E529" s="26"/>
      <c r="F529" s="26"/>
      <c r="G529" s="26"/>
      <c r="H529" s="26">
        <v>1460</v>
      </c>
      <c r="I529" s="26">
        <v>1460</v>
      </c>
      <c r="J529" s="26"/>
      <c r="K529" s="26"/>
      <c r="L529" s="26">
        <v>1460</v>
      </c>
      <c r="M529" s="26">
        <v>1460</v>
      </c>
      <c r="N529" s="26"/>
      <c r="O529" s="26"/>
      <c r="P529" s="32"/>
      <c r="Q529" s="32"/>
      <c r="R529" s="26">
        <v>1460</v>
      </c>
      <c r="S529" s="26">
        <v>1460</v>
      </c>
      <c r="T529" s="26">
        <v>1460</v>
      </c>
      <c r="U529" s="26">
        <v>1460</v>
      </c>
      <c r="V529" s="26"/>
      <c r="W529" s="26"/>
      <c r="X529" s="32">
        <v>1460</v>
      </c>
      <c r="Y529" s="32">
        <v>1460</v>
      </c>
    </row>
    <row r="530" spans="1:27" x14ac:dyDescent="0.65">
      <c r="A530" s="108">
        <v>21</v>
      </c>
      <c r="B530" s="26">
        <v>1460</v>
      </c>
      <c r="C530" s="26">
        <v>1460</v>
      </c>
      <c r="D530" s="26">
        <v>1460</v>
      </c>
      <c r="E530" s="26">
        <v>1460</v>
      </c>
      <c r="F530" s="26"/>
      <c r="G530" s="26"/>
      <c r="H530" s="26">
        <v>1460</v>
      </c>
      <c r="I530" s="26">
        <v>1460</v>
      </c>
      <c r="J530" s="26"/>
      <c r="K530" s="26"/>
      <c r="L530" s="26">
        <v>1460</v>
      </c>
      <c r="M530" s="26">
        <v>1460</v>
      </c>
      <c r="N530" s="26"/>
      <c r="O530" s="26"/>
      <c r="P530" s="32"/>
      <c r="Q530" s="32"/>
      <c r="R530" s="26">
        <v>1460</v>
      </c>
      <c r="S530" s="26">
        <v>1460</v>
      </c>
      <c r="T530" s="26">
        <v>1460</v>
      </c>
      <c r="U530" s="26">
        <v>1460</v>
      </c>
      <c r="V530" s="26">
        <v>1460</v>
      </c>
      <c r="W530" s="26">
        <v>1460</v>
      </c>
      <c r="X530" s="32">
        <v>1460</v>
      </c>
      <c r="Y530" s="32">
        <v>1460</v>
      </c>
    </row>
    <row r="531" spans="1:27" x14ac:dyDescent="0.65">
      <c r="A531" s="108">
        <v>22</v>
      </c>
      <c r="B531" s="26"/>
      <c r="C531" s="26"/>
      <c r="D531" s="26">
        <v>1460</v>
      </c>
      <c r="E531" s="26">
        <v>1460</v>
      </c>
      <c r="F531" s="26">
        <v>1460</v>
      </c>
      <c r="G531" s="26">
        <v>1460</v>
      </c>
      <c r="H531" s="26">
        <v>1460</v>
      </c>
      <c r="I531" s="26">
        <v>1460</v>
      </c>
      <c r="J531" s="26"/>
      <c r="K531" s="26"/>
      <c r="L531" s="26">
        <v>1460</v>
      </c>
      <c r="M531" s="26">
        <v>1460</v>
      </c>
      <c r="N531" s="26"/>
      <c r="O531" s="26"/>
      <c r="P531" s="32">
        <v>1460</v>
      </c>
      <c r="Q531" s="32">
        <v>1460</v>
      </c>
      <c r="R531" s="26">
        <v>1460</v>
      </c>
      <c r="S531" s="26">
        <v>1460</v>
      </c>
      <c r="T531" s="26"/>
      <c r="U531" s="26"/>
      <c r="V531" s="26">
        <v>1460</v>
      </c>
      <c r="W531" s="26">
        <v>1460</v>
      </c>
      <c r="X531" s="32">
        <v>1460</v>
      </c>
      <c r="Y531" s="32">
        <v>1460</v>
      </c>
    </row>
    <row r="532" spans="1:27" x14ac:dyDescent="0.65">
      <c r="A532" s="108">
        <v>23</v>
      </c>
      <c r="B532" s="26"/>
      <c r="C532" s="26"/>
      <c r="D532" s="26">
        <v>1460</v>
      </c>
      <c r="E532" s="26">
        <v>1460</v>
      </c>
      <c r="F532" s="26">
        <v>1460</v>
      </c>
      <c r="G532" s="26">
        <v>1460</v>
      </c>
      <c r="H532" s="26"/>
      <c r="I532" s="26"/>
      <c r="J532" s="26">
        <v>1460</v>
      </c>
      <c r="K532" s="26">
        <v>1460</v>
      </c>
      <c r="L532" s="26">
        <v>1460</v>
      </c>
      <c r="M532" s="26">
        <v>1460</v>
      </c>
      <c r="N532" s="26"/>
      <c r="O532" s="26"/>
      <c r="P532" s="26">
        <v>1460</v>
      </c>
      <c r="Q532" s="26">
        <v>1460</v>
      </c>
      <c r="R532" s="26">
        <v>1460</v>
      </c>
      <c r="S532" s="26">
        <v>1460</v>
      </c>
      <c r="T532" s="26"/>
      <c r="U532" s="26"/>
      <c r="V532" s="26">
        <v>1460</v>
      </c>
      <c r="W532" s="26">
        <v>1460</v>
      </c>
      <c r="X532" s="32">
        <v>1460</v>
      </c>
      <c r="Y532" s="32">
        <v>1460</v>
      </c>
    </row>
    <row r="533" spans="1:27" x14ac:dyDescent="0.65">
      <c r="A533" s="108">
        <v>24</v>
      </c>
      <c r="B533" s="26">
        <v>1460</v>
      </c>
      <c r="C533" s="26">
        <v>1460</v>
      </c>
      <c r="D533" s="26">
        <v>1460</v>
      </c>
      <c r="E533" s="26">
        <v>1460</v>
      </c>
      <c r="F533" s="26">
        <v>1460</v>
      </c>
      <c r="G533" s="26">
        <v>1460</v>
      </c>
      <c r="H533" s="8"/>
      <c r="I533" s="4"/>
      <c r="J533" s="26">
        <v>1460</v>
      </c>
      <c r="K533" s="26">
        <v>1460</v>
      </c>
      <c r="L533" s="26">
        <v>1460</v>
      </c>
      <c r="M533" s="26">
        <v>1460</v>
      </c>
      <c r="N533" s="26"/>
      <c r="O533" s="26"/>
      <c r="P533" s="32">
        <v>1460</v>
      </c>
      <c r="Q533" s="32">
        <v>1460</v>
      </c>
      <c r="R533" s="26"/>
      <c r="S533" s="26"/>
      <c r="T533" s="26">
        <v>1460</v>
      </c>
      <c r="U533" s="26">
        <v>1460</v>
      </c>
      <c r="V533" s="26">
        <v>1460</v>
      </c>
      <c r="W533" s="26">
        <v>1460</v>
      </c>
      <c r="X533" s="32"/>
      <c r="Y533" s="32"/>
    </row>
    <row r="534" spans="1:27" x14ac:dyDescent="0.65">
      <c r="A534" s="108">
        <v>25</v>
      </c>
      <c r="B534" s="26">
        <v>1460</v>
      </c>
      <c r="C534" s="26">
        <v>1460</v>
      </c>
      <c r="D534" s="26">
        <v>1460</v>
      </c>
      <c r="E534" s="26">
        <v>1460</v>
      </c>
      <c r="F534" s="26">
        <v>1460</v>
      </c>
      <c r="G534" s="26">
        <v>1460</v>
      </c>
      <c r="H534" s="26">
        <v>1460</v>
      </c>
      <c r="I534" s="26">
        <v>1460</v>
      </c>
      <c r="J534" s="26">
        <v>1460</v>
      </c>
      <c r="K534" s="26">
        <v>1460</v>
      </c>
      <c r="L534" s="26"/>
      <c r="M534" s="26"/>
      <c r="N534" s="26">
        <v>1460</v>
      </c>
      <c r="O534" s="26">
        <v>1460</v>
      </c>
      <c r="P534" s="32">
        <v>1460</v>
      </c>
      <c r="Q534" s="32">
        <v>1460</v>
      </c>
      <c r="R534" s="26"/>
      <c r="S534" s="26"/>
      <c r="T534" s="26">
        <v>1460</v>
      </c>
      <c r="U534" s="26">
        <v>1460</v>
      </c>
      <c r="V534" s="26">
        <v>1460</v>
      </c>
      <c r="W534" s="26">
        <v>1460</v>
      </c>
      <c r="X534" s="32"/>
      <c r="Y534" s="32"/>
    </row>
    <row r="535" spans="1:27" x14ac:dyDescent="0.65">
      <c r="A535" s="108">
        <v>26</v>
      </c>
      <c r="B535" s="26">
        <v>1460</v>
      </c>
      <c r="C535" s="26">
        <v>1460</v>
      </c>
      <c r="D535" s="26"/>
      <c r="E535" s="26"/>
      <c r="F535" s="26"/>
      <c r="G535" s="26"/>
      <c r="H535" s="26">
        <v>1460</v>
      </c>
      <c r="I535" s="26">
        <v>1460</v>
      </c>
      <c r="J535" s="26">
        <v>1460</v>
      </c>
      <c r="K535" s="26">
        <v>1460</v>
      </c>
      <c r="L535" s="26"/>
      <c r="M535" s="26"/>
      <c r="N535" s="26">
        <v>1460</v>
      </c>
      <c r="O535" s="26">
        <v>1460</v>
      </c>
      <c r="P535" s="32">
        <v>1460</v>
      </c>
      <c r="Q535" s="32">
        <v>1460</v>
      </c>
      <c r="R535" s="26">
        <v>1460</v>
      </c>
      <c r="S535" s="26">
        <v>1460</v>
      </c>
      <c r="T535" s="26">
        <v>1460</v>
      </c>
      <c r="U535" s="26">
        <v>1460</v>
      </c>
      <c r="V535" s="26"/>
      <c r="W535" s="26"/>
      <c r="X535" s="32"/>
      <c r="Y535" s="32"/>
    </row>
    <row r="536" spans="1:27" x14ac:dyDescent="0.65">
      <c r="A536" s="108">
        <v>27</v>
      </c>
      <c r="B536" s="26">
        <v>1460</v>
      </c>
      <c r="C536" s="26">
        <v>1460</v>
      </c>
      <c r="D536" s="26"/>
      <c r="E536" s="26"/>
      <c r="F536" s="26"/>
      <c r="G536" s="26"/>
      <c r="H536" s="26">
        <v>1460</v>
      </c>
      <c r="I536" s="26">
        <v>1460</v>
      </c>
      <c r="J536" s="26">
        <v>1460</v>
      </c>
      <c r="K536" s="26">
        <v>1460</v>
      </c>
      <c r="L536" s="26">
        <v>1460</v>
      </c>
      <c r="M536" s="26">
        <v>1460</v>
      </c>
      <c r="N536" s="26">
        <v>1460</v>
      </c>
      <c r="O536" s="26">
        <v>1460</v>
      </c>
      <c r="P536" s="32"/>
      <c r="Q536" s="32"/>
      <c r="R536" s="26">
        <v>1460</v>
      </c>
      <c r="S536" s="26">
        <v>1460</v>
      </c>
      <c r="T536" s="26">
        <v>1460</v>
      </c>
      <c r="U536" s="26">
        <v>1460</v>
      </c>
      <c r="V536" s="26"/>
      <c r="W536" s="26"/>
      <c r="X536" s="32">
        <v>1460</v>
      </c>
      <c r="Y536" s="32">
        <v>1460</v>
      </c>
    </row>
    <row r="537" spans="1:27" x14ac:dyDescent="0.65">
      <c r="A537" s="108">
        <v>28</v>
      </c>
      <c r="B537" s="26">
        <v>1460</v>
      </c>
      <c r="C537" s="26">
        <v>1460</v>
      </c>
      <c r="D537" s="26"/>
      <c r="E537" s="26"/>
      <c r="F537" s="26">
        <v>1460</v>
      </c>
      <c r="G537" s="26">
        <v>1460</v>
      </c>
      <c r="H537" s="26">
        <v>1460</v>
      </c>
      <c r="I537" s="26">
        <v>1460</v>
      </c>
      <c r="J537" s="26"/>
      <c r="K537" s="26"/>
      <c r="L537" s="26">
        <v>1460</v>
      </c>
      <c r="M537" s="26">
        <v>1460</v>
      </c>
      <c r="N537" s="26">
        <v>1460</v>
      </c>
      <c r="O537" s="26">
        <v>1460</v>
      </c>
      <c r="P537" s="32"/>
      <c r="Q537" s="32"/>
      <c r="R537" s="26"/>
      <c r="S537" s="26"/>
      <c r="T537" s="26">
        <v>1460</v>
      </c>
      <c r="U537" s="26">
        <v>1460</v>
      </c>
      <c r="V537" s="26">
        <v>1460</v>
      </c>
      <c r="W537" s="26">
        <v>1460</v>
      </c>
      <c r="X537" s="32">
        <v>1460</v>
      </c>
      <c r="Y537" s="32">
        <v>1460</v>
      </c>
    </row>
    <row r="538" spans="1:27" x14ac:dyDescent="0.65">
      <c r="A538" s="108">
        <v>29</v>
      </c>
      <c r="B538" s="26"/>
      <c r="C538" s="26"/>
      <c r="D538" s="27"/>
      <c r="E538" s="27"/>
      <c r="F538" s="26">
        <v>1460</v>
      </c>
      <c r="G538" s="26">
        <v>1460</v>
      </c>
      <c r="H538" s="26">
        <v>1460</v>
      </c>
      <c r="I538" s="26">
        <v>1460</v>
      </c>
      <c r="J538" s="26"/>
      <c r="K538" s="26"/>
      <c r="L538" s="26">
        <v>1460</v>
      </c>
      <c r="M538" s="26">
        <v>1460</v>
      </c>
      <c r="N538" s="26">
        <v>1460</v>
      </c>
      <c r="O538" s="26">
        <v>1460</v>
      </c>
      <c r="P538" s="32">
        <v>1460</v>
      </c>
      <c r="Q538" s="32">
        <v>1460</v>
      </c>
      <c r="R538" s="26">
        <v>1460</v>
      </c>
      <c r="S538" s="26">
        <v>1460</v>
      </c>
      <c r="T538" s="26"/>
      <c r="U538" s="26"/>
      <c r="V538" s="26">
        <v>1460</v>
      </c>
      <c r="W538" s="26">
        <v>1460</v>
      </c>
      <c r="X538" s="32">
        <v>1460</v>
      </c>
      <c r="Y538" s="32">
        <v>1460</v>
      </c>
    </row>
    <row r="539" spans="1:27" x14ac:dyDescent="0.65">
      <c r="A539" s="108">
        <v>30</v>
      </c>
      <c r="B539" s="26"/>
      <c r="C539" s="26"/>
      <c r="D539" s="26"/>
      <c r="E539" s="26"/>
      <c r="F539" s="26">
        <v>1460</v>
      </c>
      <c r="G539" s="26">
        <v>1460</v>
      </c>
      <c r="H539" s="26"/>
      <c r="I539" s="26"/>
      <c r="J539" s="26">
        <v>1460</v>
      </c>
      <c r="K539" s="26">
        <v>1460</v>
      </c>
      <c r="L539" s="26">
        <v>1460</v>
      </c>
      <c r="M539" s="26">
        <v>1460</v>
      </c>
      <c r="N539" s="26"/>
      <c r="O539" s="26"/>
      <c r="P539" s="26">
        <v>1460</v>
      </c>
      <c r="Q539" s="26">
        <v>1460</v>
      </c>
      <c r="R539" s="26">
        <v>1460</v>
      </c>
      <c r="S539" s="26">
        <v>1460</v>
      </c>
      <c r="T539" s="26"/>
      <c r="U539" s="26"/>
      <c r="V539" s="26">
        <v>1460</v>
      </c>
      <c r="W539" s="26">
        <v>1460</v>
      </c>
      <c r="X539" s="32">
        <v>1460</v>
      </c>
      <c r="Y539" s="32">
        <v>1460</v>
      </c>
    </row>
    <row r="540" spans="1:27" ht="28.5" thickBot="1" x14ac:dyDescent="0.75">
      <c r="A540" s="109">
        <v>31</v>
      </c>
      <c r="B540" s="32">
        <v>1460</v>
      </c>
      <c r="C540" s="32">
        <v>1460</v>
      </c>
      <c r="D540" s="56"/>
      <c r="E540" s="56"/>
      <c r="F540" s="32">
        <v>1460</v>
      </c>
      <c r="G540" s="32">
        <v>1460</v>
      </c>
      <c r="H540" s="2"/>
      <c r="I540" s="54"/>
      <c r="J540" s="30">
        <v>1460</v>
      </c>
      <c r="K540" s="30">
        <v>1460</v>
      </c>
      <c r="L540" s="52"/>
      <c r="M540" s="52"/>
      <c r="N540" s="32"/>
      <c r="O540" s="32"/>
      <c r="P540" s="32">
        <v>1460</v>
      </c>
      <c r="Q540" s="32">
        <v>1460</v>
      </c>
      <c r="R540" s="32"/>
      <c r="S540" s="32"/>
      <c r="T540" s="32">
        <v>1460</v>
      </c>
      <c r="U540" s="32">
        <v>1460</v>
      </c>
      <c r="V540" s="30"/>
      <c r="W540" s="30"/>
      <c r="X540" s="32"/>
      <c r="Y540" s="32"/>
    </row>
    <row r="541" spans="1:27" ht="25.5" thickBot="1" x14ac:dyDescent="0.7">
      <c r="A541" s="17" t="s">
        <v>15</v>
      </c>
      <c r="B541" s="197">
        <f>AVERAGE(B510:B540)</f>
        <v>1460</v>
      </c>
      <c r="C541" s="197">
        <f t="shared" ref="C541:Y541" si="35">AVERAGE(C510:C540)</f>
        <v>1460</v>
      </c>
      <c r="D541" s="197">
        <f t="shared" si="35"/>
        <v>1460</v>
      </c>
      <c r="E541" s="197">
        <f t="shared" si="35"/>
        <v>1460</v>
      </c>
      <c r="F541" s="197">
        <f t="shared" si="35"/>
        <v>1460</v>
      </c>
      <c r="G541" s="197">
        <f t="shared" si="35"/>
        <v>1460</v>
      </c>
      <c r="H541" s="197">
        <f t="shared" si="35"/>
        <v>1460</v>
      </c>
      <c r="I541" s="197">
        <f t="shared" si="35"/>
        <v>1460</v>
      </c>
      <c r="J541" s="197">
        <f t="shared" si="35"/>
        <v>1460</v>
      </c>
      <c r="K541" s="197">
        <f t="shared" si="35"/>
        <v>1460</v>
      </c>
      <c r="L541" s="197">
        <f t="shared" si="35"/>
        <v>1460</v>
      </c>
      <c r="M541" s="197">
        <f t="shared" si="35"/>
        <v>1460</v>
      </c>
      <c r="N541" s="197">
        <f t="shared" si="35"/>
        <v>1460</v>
      </c>
      <c r="O541" s="197">
        <f t="shared" si="35"/>
        <v>1460</v>
      </c>
      <c r="P541" s="197">
        <f t="shared" si="35"/>
        <v>1460</v>
      </c>
      <c r="Q541" s="197">
        <f t="shared" si="35"/>
        <v>1460</v>
      </c>
      <c r="R541" s="197">
        <f t="shared" si="35"/>
        <v>1460</v>
      </c>
      <c r="S541" s="197">
        <f t="shared" si="35"/>
        <v>1460</v>
      </c>
      <c r="T541" s="197">
        <f t="shared" si="35"/>
        <v>1460</v>
      </c>
      <c r="U541" s="197">
        <f t="shared" si="35"/>
        <v>1460</v>
      </c>
      <c r="V541" s="197">
        <f t="shared" si="35"/>
        <v>1460</v>
      </c>
      <c r="W541" s="197">
        <f t="shared" si="35"/>
        <v>1460</v>
      </c>
      <c r="X541" s="197">
        <f t="shared" si="35"/>
        <v>1460</v>
      </c>
      <c r="Y541" s="197">
        <f t="shared" si="35"/>
        <v>1460</v>
      </c>
      <c r="Z541" s="57"/>
      <c r="AA541" s="57"/>
    </row>
    <row r="542" spans="1:27" ht="30" x14ac:dyDescent="0.65">
      <c r="A542" s="224" t="s">
        <v>80</v>
      </c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 spans="1:27" ht="25.5" thickBot="1" x14ac:dyDescent="0.7">
      <c r="A543" s="225" t="s">
        <v>71</v>
      </c>
      <c r="B543" s="225"/>
      <c r="C543" s="225"/>
      <c r="D543" s="225"/>
      <c r="E543" s="225"/>
      <c r="F543" s="225"/>
      <c r="G543" s="225"/>
      <c r="H543" s="225"/>
      <c r="I543" s="225"/>
      <c r="J543" s="225"/>
      <c r="K543" s="225"/>
      <c r="L543" s="225"/>
      <c r="M543" s="225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</row>
    <row r="544" spans="1:27" ht="25.5" thickBot="1" x14ac:dyDescent="0.7">
      <c r="A544" s="226" t="s">
        <v>2</v>
      </c>
      <c r="B544" s="228" t="s">
        <v>3</v>
      </c>
      <c r="C544" s="229"/>
      <c r="D544" s="228" t="s">
        <v>4</v>
      </c>
      <c r="E544" s="229"/>
      <c r="F544" s="228" t="s">
        <v>5</v>
      </c>
      <c r="G544" s="229"/>
      <c r="H544" s="228" t="s">
        <v>6</v>
      </c>
      <c r="I544" s="229"/>
      <c r="J544" s="228" t="s">
        <v>7</v>
      </c>
      <c r="K544" s="229"/>
      <c r="L544" s="228" t="s">
        <v>8</v>
      </c>
      <c r="M544" s="229"/>
      <c r="N544" s="228" t="s">
        <v>9</v>
      </c>
      <c r="O544" s="229"/>
      <c r="P544" s="228" t="s">
        <v>10</v>
      </c>
      <c r="Q544" s="229"/>
      <c r="R544" s="228" t="s">
        <v>11</v>
      </c>
      <c r="S544" s="229"/>
      <c r="T544" s="228" t="s">
        <v>12</v>
      </c>
      <c r="U544" s="229"/>
      <c r="V544" s="228" t="s">
        <v>21</v>
      </c>
      <c r="W544" s="229"/>
      <c r="X544" s="228" t="s">
        <v>14</v>
      </c>
      <c r="Y544" s="229"/>
    </row>
    <row r="545" spans="1:25" ht="25.5" thickBot="1" x14ac:dyDescent="0.7">
      <c r="A545" s="227"/>
      <c r="B545" s="17" t="s">
        <v>74</v>
      </c>
      <c r="C545" s="17" t="s">
        <v>75</v>
      </c>
      <c r="D545" s="17" t="s">
        <v>74</v>
      </c>
      <c r="E545" s="17" t="s">
        <v>75</v>
      </c>
      <c r="F545" s="17" t="s">
        <v>74</v>
      </c>
      <c r="G545" s="17" t="s">
        <v>75</v>
      </c>
      <c r="H545" s="17" t="s">
        <v>74</v>
      </c>
      <c r="I545" s="17" t="s">
        <v>75</v>
      </c>
      <c r="J545" s="17" t="s">
        <v>74</v>
      </c>
      <c r="K545" s="17" t="s">
        <v>75</v>
      </c>
      <c r="L545" s="17" t="s">
        <v>74</v>
      </c>
      <c r="M545" s="17" t="s">
        <v>75</v>
      </c>
      <c r="N545" s="17" t="s">
        <v>74</v>
      </c>
      <c r="O545" s="17" t="s">
        <v>75</v>
      </c>
      <c r="P545" s="17" t="s">
        <v>74</v>
      </c>
      <c r="Q545" s="17" t="s">
        <v>75</v>
      </c>
      <c r="R545" s="17" t="s">
        <v>74</v>
      </c>
      <c r="S545" s="17" t="s">
        <v>75</v>
      </c>
      <c r="T545" s="17" t="s">
        <v>74</v>
      </c>
      <c r="U545" s="17" t="s">
        <v>75</v>
      </c>
      <c r="V545" s="17" t="s">
        <v>74</v>
      </c>
      <c r="W545" s="17" t="s">
        <v>75</v>
      </c>
      <c r="X545" s="17" t="s">
        <v>74</v>
      </c>
      <c r="Y545" s="17" t="s">
        <v>75</v>
      </c>
    </row>
    <row r="546" spans="1:25" x14ac:dyDescent="0.65">
      <c r="A546" s="39">
        <v>1</v>
      </c>
      <c r="B546" s="32"/>
      <c r="C546" s="62"/>
      <c r="D546" s="32">
        <v>1460</v>
      </c>
      <c r="E546" s="30">
        <v>1460</v>
      </c>
      <c r="F546" s="32">
        <v>1460</v>
      </c>
      <c r="G546" s="30">
        <v>1460</v>
      </c>
      <c r="H546" s="32"/>
      <c r="I546" s="30"/>
      <c r="J546" s="30"/>
      <c r="K546" s="30"/>
      <c r="L546" s="32">
        <v>1460</v>
      </c>
      <c r="M546" s="32">
        <v>1460</v>
      </c>
      <c r="N546" s="32"/>
      <c r="O546" s="32"/>
      <c r="P546" s="32">
        <v>1460</v>
      </c>
      <c r="Q546" s="32">
        <v>1460</v>
      </c>
      <c r="R546" s="32">
        <v>1460</v>
      </c>
      <c r="S546" s="32">
        <v>1460</v>
      </c>
      <c r="T546" s="32"/>
      <c r="U546" s="32"/>
      <c r="V546" s="32">
        <v>1460</v>
      </c>
      <c r="W546" s="32">
        <v>1460</v>
      </c>
      <c r="X546" s="32">
        <v>1460</v>
      </c>
      <c r="Y546" s="32">
        <v>1460</v>
      </c>
    </row>
    <row r="547" spans="1:25" x14ac:dyDescent="0.65">
      <c r="A547" s="108">
        <v>2</v>
      </c>
      <c r="B547" s="26"/>
      <c r="C547" s="26"/>
      <c r="D547" s="26">
        <v>1460</v>
      </c>
      <c r="E547" s="26">
        <v>1460</v>
      </c>
      <c r="F547" s="26">
        <v>1460</v>
      </c>
      <c r="G547" s="26">
        <v>1460</v>
      </c>
      <c r="H547" s="26"/>
      <c r="I547" s="26"/>
      <c r="J547" s="26"/>
      <c r="K547" s="26"/>
      <c r="L547" s="26">
        <v>1460</v>
      </c>
      <c r="M547" s="26">
        <v>1460</v>
      </c>
      <c r="N547" s="26"/>
      <c r="O547" s="26"/>
      <c r="P547" s="26">
        <v>1460</v>
      </c>
      <c r="Q547" s="26">
        <v>1460</v>
      </c>
      <c r="R547" s="32"/>
      <c r="S547" s="32"/>
      <c r="T547" s="26">
        <v>1460</v>
      </c>
      <c r="U547" s="26">
        <v>1460</v>
      </c>
      <c r="V547" s="26">
        <v>1460</v>
      </c>
      <c r="W547" s="26">
        <v>1460</v>
      </c>
      <c r="X547" s="32"/>
      <c r="Y547" s="32"/>
    </row>
    <row r="548" spans="1:25" ht="23.25" customHeight="1" x14ac:dyDescent="0.65">
      <c r="A548" s="108">
        <v>3</v>
      </c>
      <c r="B548" s="26">
        <v>1460</v>
      </c>
      <c r="C548" s="26">
        <v>1460</v>
      </c>
      <c r="D548" s="26">
        <v>1460</v>
      </c>
      <c r="E548" s="26">
        <v>1460</v>
      </c>
      <c r="F548" s="26">
        <v>1460</v>
      </c>
      <c r="G548" s="26">
        <v>1460</v>
      </c>
      <c r="H548" s="26">
        <v>1460</v>
      </c>
      <c r="I548" s="26">
        <v>1460</v>
      </c>
      <c r="J548" s="26"/>
      <c r="K548" s="26"/>
      <c r="L548" s="26"/>
      <c r="M548" s="26"/>
      <c r="N548" s="26">
        <v>1460</v>
      </c>
      <c r="O548" s="26">
        <v>1460</v>
      </c>
      <c r="P548" s="32">
        <v>1460</v>
      </c>
      <c r="Q548" s="32">
        <v>1460</v>
      </c>
      <c r="R548" s="32"/>
      <c r="S548" s="32"/>
      <c r="T548" s="26"/>
      <c r="U548" s="26"/>
      <c r="V548" s="26">
        <v>1460</v>
      </c>
      <c r="W548" s="26">
        <v>1460</v>
      </c>
      <c r="X548" s="32"/>
      <c r="Y548" s="32"/>
    </row>
    <row r="549" spans="1:25" x14ac:dyDescent="0.65">
      <c r="A549" s="108">
        <v>4</v>
      </c>
      <c r="B549" s="26">
        <v>1460</v>
      </c>
      <c r="C549" s="26">
        <v>1460</v>
      </c>
      <c r="D549" s="26"/>
      <c r="E549" s="26"/>
      <c r="F549" s="26"/>
      <c r="G549" s="26"/>
      <c r="H549" s="26">
        <v>1460</v>
      </c>
      <c r="I549" s="26">
        <v>1460</v>
      </c>
      <c r="J549" s="26"/>
      <c r="K549" s="26"/>
      <c r="L549" s="26"/>
      <c r="M549" s="26"/>
      <c r="N549" s="26">
        <v>1460</v>
      </c>
      <c r="O549" s="26">
        <v>1460</v>
      </c>
      <c r="P549" s="32">
        <v>1460</v>
      </c>
      <c r="Q549" s="32">
        <v>1460</v>
      </c>
      <c r="R549" s="32">
        <v>1460</v>
      </c>
      <c r="S549" s="32">
        <v>1460</v>
      </c>
      <c r="T549" s="26">
        <v>1460</v>
      </c>
      <c r="U549" s="26">
        <v>1460</v>
      </c>
      <c r="V549" s="26"/>
      <c r="W549" s="26"/>
      <c r="X549" s="32">
        <v>1460</v>
      </c>
      <c r="Y549" s="32">
        <v>1460</v>
      </c>
    </row>
    <row r="550" spans="1:25" x14ac:dyDescent="0.65">
      <c r="A550" s="108">
        <v>5</v>
      </c>
      <c r="B550" s="26">
        <v>1460</v>
      </c>
      <c r="C550" s="26">
        <v>1460</v>
      </c>
      <c r="D550" s="26"/>
      <c r="E550" s="26"/>
      <c r="F550" s="26"/>
      <c r="G550" s="26"/>
      <c r="H550" s="26">
        <v>1460</v>
      </c>
      <c r="I550" s="26">
        <v>1460</v>
      </c>
      <c r="J550" s="26"/>
      <c r="K550" s="26"/>
      <c r="L550" s="26">
        <v>1460</v>
      </c>
      <c r="M550" s="26">
        <v>1460</v>
      </c>
      <c r="N550" s="26">
        <v>1460</v>
      </c>
      <c r="O550" s="26">
        <v>1460</v>
      </c>
      <c r="P550" s="32"/>
      <c r="Q550" s="32"/>
      <c r="R550" s="32">
        <v>1460</v>
      </c>
      <c r="S550" s="32">
        <v>1460</v>
      </c>
      <c r="T550" s="26">
        <v>1460</v>
      </c>
      <c r="U550" s="26">
        <v>1460</v>
      </c>
      <c r="V550" s="26"/>
      <c r="W550" s="26"/>
      <c r="X550" s="32">
        <v>1460</v>
      </c>
      <c r="Y550" s="32">
        <v>1460</v>
      </c>
    </row>
    <row r="551" spans="1:25" x14ac:dyDescent="0.65">
      <c r="A551" s="108">
        <v>6</v>
      </c>
      <c r="B551" s="26"/>
      <c r="C551" s="26"/>
      <c r="D551" s="26">
        <v>1460</v>
      </c>
      <c r="E551" s="26">
        <v>1460</v>
      </c>
      <c r="F551" s="26">
        <v>1460</v>
      </c>
      <c r="G551" s="26">
        <v>1460</v>
      </c>
      <c r="H551" s="26">
        <v>1460</v>
      </c>
      <c r="I551" s="26">
        <v>1460</v>
      </c>
      <c r="J551" s="26"/>
      <c r="K551" s="26"/>
      <c r="L551" s="26">
        <v>1460</v>
      </c>
      <c r="M551" s="26">
        <v>1460</v>
      </c>
      <c r="N551" s="26">
        <v>1460</v>
      </c>
      <c r="O551" s="26">
        <v>1460</v>
      </c>
      <c r="P551" s="32"/>
      <c r="Q551" s="32"/>
      <c r="R551" s="32">
        <v>1460</v>
      </c>
      <c r="S551" s="32">
        <v>1460</v>
      </c>
      <c r="T551" s="26">
        <v>1460</v>
      </c>
      <c r="U551" s="26">
        <v>1460</v>
      </c>
      <c r="V551" s="26">
        <v>1460</v>
      </c>
      <c r="W551" s="26">
        <v>1460</v>
      </c>
      <c r="X551" s="32">
        <v>1460</v>
      </c>
      <c r="Y551" s="32">
        <v>1460</v>
      </c>
    </row>
    <row r="552" spans="1:25" x14ac:dyDescent="0.65">
      <c r="A552" s="108">
        <v>7</v>
      </c>
      <c r="B552" s="26"/>
      <c r="C552" s="26"/>
      <c r="D552" s="26">
        <v>1460</v>
      </c>
      <c r="E552" s="26">
        <v>1460</v>
      </c>
      <c r="F552" s="26">
        <v>1460</v>
      </c>
      <c r="G552" s="26">
        <v>1460</v>
      </c>
      <c r="H552" s="26">
        <v>1460</v>
      </c>
      <c r="I552" s="26">
        <v>1460</v>
      </c>
      <c r="J552" s="26"/>
      <c r="K552" s="26"/>
      <c r="L552" s="26">
        <v>1460</v>
      </c>
      <c r="M552" s="26">
        <v>1460</v>
      </c>
      <c r="N552" s="26">
        <v>1460</v>
      </c>
      <c r="O552" s="26">
        <v>1460</v>
      </c>
      <c r="P552" s="32">
        <v>1460</v>
      </c>
      <c r="Q552" s="32">
        <v>1460</v>
      </c>
      <c r="R552" s="32">
        <v>1460</v>
      </c>
      <c r="S552" s="32">
        <v>1460</v>
      </c>
      <c r="T552" s="26"/>
      <c r="U552" s="26"/>
      <c r="V552" s="26">
        <v>1460</v>
      </c>
      <c r="W552" s="26">
        <v>1460</v>
      </c>
      <c r="X552" s="32">
        <v>1460</v>
      </c>
      <c r="Y552" s="32">
        <v>1460</v>
      </c>
    </row>
    <row r="553" spans="1:25" x14ac:dyDescent="0.65">
      <c r="A553" s="108">
        <v>8</v>
      </c>
      <c r="B553" s="26"/>
      <c r="C553" s="26"/>
      <c r="D553" s="26">
        <v>1460</v>
      </c>
      <c r="E553" s="26">
        <v>1460</v>
      </c>
      <c r="F553" s="26">
        <v>1460</v>
      </c>
      <c r="G553" s="26">
        <v>1460</v>
      </c>
      <c r="H553" s="26"/>
      <c r="I553" s="26"/>
      <c r="J553" s="26">
        <v>1460</v>
      </c>
      <c r="K553" s="26">
        <v>1460</v>
      </c>
      <c r="L553" s="26">
        <v>1460</v>
      </c>
      <c r="M553" s="26">
        <v>1460</v>
      </c>
      <c r="N553" s="26"/>
      <c r="O553" s="26"/>
      <c r="P553" s="32">
        <v>1460</v>
      </c>
      <c r="Q553" s="32">
        <v>1460</v>
      </c>
      <c r="R553" s="32">
        <v>1460</v>
      </c>
      <c r="S553" s="32">
        <v>1460</v>
      </c>
      <c r="T553" s="26"/>
      <c r="U553" s="26"/>
      <c r="V553" s="26">
        <v>1460</v>
      </c>
      <c r="W553" s="26">
        <v>1460</v>
      </c>
      <c r="X553" s="32">
        <v>1460</v>
      </c>
      <c r="Y553" s="32">
        <v>1460</v>
      </c>
    </row>
    <row r="554" spans="1:25" x14ac:dyDescent="0.65">
      <c r="A554" s="108">
        <v>9</v>
      </c>
      <c r="B554" s="26">
        <v>1460</v>
      </c>
      <c r="C554" s="26">
        <v>1460</v>
      </c>
      <c r="D554" s="26">
        <v>1460</v>
      </c>
      <c r="E554" s="26">
        <v>1460</v>
      </c>
      <c r="F554" s="26">
        <v>1460</v>
      </c>
      <c r="G554" s="26">
        <v>1460</v>
      </c>
      <c r="H554" s="26"/>
      <c r="I554" s="26"/>
      <c r="J554" s="26">
        <v>1460</v>
      </c>
      <c r="K554" s="26">
        <v>1460</v>
      </c>
      <c r="L554" s="26">
        <v>1460</v>
      </c>
      <c r="M554" s="26">
        <v>1460</v>
      </c>
      <c r="N554" s="26"/>
      <c r="O554" s="26"/>
      <c r="P554" s="32"/>
      <c r="Q554" s="32"/>
      <c r="R554" s="26"/>
      <c r="S554" s="26"/>
      <c r="T554" s="26">
        <v>1460</v>
      </c>
      <c r="U554" s="26">
        <v>1460</v>
      </c>
      <c r="V554" s="26">
        <v>1460</v>
      </c>
      <c r="W554" s="26">
        <v>1460</v>
      </c>
      <c r="X554" s="32"/>
      <c r="Y554" s="32"/>
    </row>
    <row r="555" spans="1:25" x14ac:dyDescent="0.65">
      <c r="A555" s="108">
        <v>10</v>
      </c>
      <c r="B555" s="26">
        <v>1460</v>
      </c>
      <c r="C555" s="26">
        <v>1460</v>
      </c>
      <c r="D555" s="26">
        <v>1460</v>
      </c>
      <c r="E555" s="26">
        <v>1460</v>
      </c>
      <c r="F555" s="26">
        <v>1460</v>
      </c>
      <c r="G555" s="26">
        <v>1460</v>
      </c>
      <c r="H555" s="26">
        <v>1460</v>
      </c>
      <c r="I555" s="26">
        <v>1460</v>
      </c>
      <c r="J555" s="26">
        <v>1460</v>
      </c>
      <c r="K555" s="26">
        <v>1460</v>
      </c>
      <c r="L555" s="26"/>
      <c r="M555" s="26"/>
      <c r="N555" s="26"/>
      <c r="O555" s="26"/>
      <c r="P555" s="32">
        <v>1460</v>
      </c>
      <c r="Q555" s="32">
        <v>1460</v>
      </c>
      <c r="R555" s="26"/>
      <c r="S555" s="26"/>
      <c r="T555" s="26">
        <v>1460</v>
      </c>
      <c r="U555" s="26">
        <v>1460</v>
      </c>
      <c r="V555" s="26">
        <v>1460</v>
      </c>
      <c r="W555" s="26">
        <v>1460</v>
      </c>
      <c r="X555" s="32"/>
      <c r="Y555" s="32"/>
    </row>
    <row r="556" spans="1:25" x14ac:dyDescent="0.65">
      <c r="A556" s="108">
        <v>11</v>
      </c>
      <c r="B556" s="26">
        <v>1460</v>
      </c>
      <c r="C556" s="26">
        <v>1460</v>
      </c>
      <c r="D556" s="26"/>
      <c r="E556" s="26"/>
      <c r="F556" s="26"/>
      <c r="G556" s="26"/>
      <c r="H556" s="26">
        <v>1460</v>
      </c>
      <c r="I556" s="26">
        <v>1460</v>
      </c>
      <c r="J556" s="26">
        <v>1460</v>
      </c>
      <c r="K556" s="26">
        <v>1460</v>
      </c>
      <c r="L556" s="26"/>
      <c r="M556" s="26"/>
      <c r="N556" s="26"/>
      <c r="O556" s="26"/>
      <c r="P556" s="32">
        <v>1460</v>
      </c>
      <c r="Q556" s="32">
        <v>1460</v>
      </c>
      <c r="R556" s="26">
        <v>1460</v>
      </c>
      <c r="S556" s="26">
        <v>1460</v>
      </c>
      <c r="T556" s="26">
        <v>1460</v>
      </c>
      <c r="U556" s="26">
        <v>1460</v>
      </c>
      <c r="V556" s="26"/>
      <c r="W556" s="26"/>
      <c r="X556" s="32">
        <v>1460</v>
      </c>
      <c r="Y556" s="32">
        <v>1460</v>
      </c>
    </row>
    <row r="557" spans="1:25" x14ac:dyDescent="0.65">
      <c r="A557" s="108">
        <v>12</v>
      </c>
      <c r="B557" s="26">
        <v>1460</v>
      </c>
      <c r="C557" s="26">
        <v>1460</v>
      </c>
      <c r="D557" s="26"/>
      <c r="E557" s="26"/>
      <c r="F557" s="26"/>
      <c r="G557" s="26"/>
      <c r="H557" s="26">
        <v>1460</v>
      </c>
      <c r="I557" s="26">
        <v>1460</v>
      </c>
      <c r="J557" s="26">
        <v>1460</v>
      </c>
      <c r="K557" s="26">
        <v>1460</v>
      </c>
      <c r="L557" s="26">
        <v>1460</v>
      </c>
      <c r="M557" s="26">
        <v>1460</v>
      </c>
      <c r="N557" s="26"/>
      <c r="O557" s="26"/>
      <c r="P557" s="32"/>
      <c r="Q557" s="32"/>
      <c r="R557" s="26">
        <v>1460</v>
      </c>
      <c r="S557" s="26">
        <v>1460</v>
      </c>
      <c r="T557" s="26">
        <v>1460</v>
      </c>
      <c r="U557" s="26">
        <v>1460</v>
      </c>
      <c r="V557" s="26"/>
      <c r="W557" s="26"/>
      <c r="X557" s="32">
        <v>1460</v>
      </c>
      <c r="Y557" s="32">
        <v>1460</v>
      </c>
    </row>
    <row r="558" spans="1:25" x14ac:dyDescent="0.65">
      <c r="A558" s="108">
        <v>13</v>
      </c>
      <c r="B558" s="26">
        <v>1460</v>
      </c>
      <c r="C558" s="26">
        <v>1460</v>
      </c>
      <c r="D558" s="26">
        <v>1460</v>
      </c>
      <c r="E558" s="26">
        <v>1460</v>
      </c>
      <c r="F558" s="26">
        <v>1460</v>
      </c>
      <c r="G558" s="26">
        <v>1460</v>
      </c>
      <c r="H558" s="26">
        <v>1460</v>
      </c>
      <c r="I558" s="26">
        <v>1460</v>
      </c>
      <c r="J558" s="26"/>
      <c r="K558" s="26"/>
      <c r="L558" s="26">
        <v>1460</v>
      </c>
      <c r="M558" s="26">
        <v>1460</v>
      </c>
      <c r="N558" s="26"/>
      <c r="O558" s="26"/>
      <c r="P558" s="32"/>
      <c r="Q558" s="32"/>
      <c r="R558" s="26">
        <v>1460</v>
      </c>
      <c r="S558" s="26">
        <v>1460</v>
      </c>
      <c r="T558" s="26">
        <v>1460</v>
      </c>
      <c r="U558" s="26">
        <v>1460</v>
      </c>
      <c r="V558" s="26">
        <v>1460</v>
      </c>
      <c r="W558" s="26">
        <v>1460</v>
      </c>
      <c r="X558" s="32">
        <v>1460</v>
      </c>
      <c r="Y558" s="32">
        <v>1460</v>
      </c>
    </row>
    <row r="559" spans="1:25" x14ac:dyDescent="0.65">
      <c r="A559" s="108">
        <v>14</v>
      </c>
      <c r="B559" s="26"/>
      <c r="C559" s="26"/>
      <c r="D559" s="26">
        <v>1460</v>
      </c>
      <c r="E559" s="26">
        <v>1460</v>
      </c>
      <c r="F559" s="26">
        <v>1460</v>
      </c>
      <c r="G559" s="26">
        <v>1460</v>
      </c>
      <c r="H559" s="26">
        <v>1460</v>
      </c>
      <c r="I559" s="26">
        <v>1460</v>
      </c>
      <c r="J559" s="26"/>
      <c r="K559" s="26"/>
      <c r="L559" s="26">
        <v>1460</v>
      </c>
      <c r="M559" s="26">
        <v>1460</v>
      </c>
      <c r="N559" s="26"/>
      <c r="O559" s="26"/>
      <c r="P559" s="32">
        <v>1460</v>
      </c>
      <c r="Q559" s="32">
        <v>1460</v>
      </c>
      <c r="R559" s="26">
        <v>1460</v>
      </c>
      <c r="S559" s="26">
        <v>1460</v>
      </c>
      <c r="T559" s="26"/>
      <c r="U559" s="26"/>
      <c r="V559" s="26">
        <v>1460</v>
      </c>
      <c r="W559" s="26">
        <v>1460</v>
      </c>
      <c r="X559" s="32">
        <v>1460</v>
      </c>
      <c r="Y559" s="32">
        <v>1460</v>
      </c>
    </row>
    <row r="560" spans="1:25" x14ac:dyDescent="0.65">
      <c r="A560" s="108">
        <v>15</v>
      </c>
      <c r="B560" s="26"/>
      <c r="C560" s="26"/>
      <c r="D560" s="26">
        <v>1460</v>
      </c>
      <c r="E560" s="26">
        <v>1460</v>
      </c>
      <c r="F560" s="26">
        <v>1460</v>
      </c>
      <c r="G560" s="26">
        <v>1460</v>
      </c>
      <c r="H560" s="26"/>
      <c r="I560" s="26"/>
      <c r="J560" s="26">
        <v>1460</v>
      </c>
      <c r="K560" s="26">
        <v>1460</v>
      </c>
      <c r="L560" s="26">
        <v>1460</v>
      </c>
      <c r="M560" s="26">
        <v>1460</v>
      </c>
      <c r="N560" s="26"/>
      <c r="O560" s="26"/>
      <c r="P560" s="32">
        <v>1460</v>
      </c>
      <c r="Q560" s="32">
        <v>1460</v>
      </c>
      <c r="R560" s="26">
        <v>1460</v>
      </c>
      <c r="S560" s="26">
        <v>1460</v>
      </c>
      <c r="T560" s="26"/>
      <c r="U560" s="26"/>
      <c r="V560" s="26">
        <v>1460</v>
      </c>
      <c r="W560" s="26">
        <v>1460</v>
      </c>
      <c r="X560" s="32">
        <v>1460</v>
      </c>
      <c r="Y560" s="32">
        <v>1460</v>
      </c>
    </row>
    <row r="561" spans="1:25" x14ac:dyDescent="0.65">
      <c r="A561" s="108">
        <v>16</v>
      </c>
      <c r="B561" s="26">
        <v>1460</v>
      </c>
      <c r="C561" s="26">
        <v>1460</v>
      </c>
      <c r="D561" s="26">
        <v>1460</v>
      </c>
      <c r="E561" s="26">
        <v>1460</v>
      </c>
      <c r="F561" s="26">
        <v>1460</v>
      </c>
      <c r="G561" s="26">
        <v>1460</v>
      </c>
      <c r="H561" s="26"/>
      <c r="I561" s="26"/>
      <c r="J561" s="26">
        <v>1460</v>
      </c>
      <c r="K561" s="26">
        <v>1460</v>
      </c>
      <c r="L561" s="26">
        <v>1460</v>
      </c>
      <c r="M561" s="26">
        <v>1460</v>
      </c>
      <c r="N561" s="26"/>
      <c r="O561" s="26"/>
      <c r="P561" s="32">
        <v>1460</v>
      </c>
      <c r="Q561" s="32">
        <v>1460</v>
      </c>
      <c r="R561" s="26"/>
      <c r="S561" s="26"/>
      <c r="T561" s="26">
        <v>1460</v>
      </c>
      <c r="U561" s="26">
        <v>1460</v>
      </c>
      <c r="V561" s="26">
        <v>1460</v>
      </c>
      <c r="W561" s="26">
        <v>1460</v>
      </c>
      <c r="X561" s="32"/>
      <c r="Y561" s="32"/>
    </row>
    <row r="562" spans="1:25" x14ac:dyDescent="0.65">
      <c r="A562" s="108">
        <v>17</v>
      </c>
      <c r="B562" s="26">
        <v>1460</v>
      </c>
      <c r="C562" s="26">
        <v>1460</v>
      </c>
      <c r="D562" s="26">
        <v>1460</v>
      </c>
      <c r="E562" s="26">
        <v>1460</v>
      </c>
      <c r="F562" s="26">
        <v>1460</v>
      </c>
      <c r="G562" s="26">
        <v>1460</v>
      </c>
      <c r="H562" s="26">
        <v>1460</v>
      </c>
      <c r="I562" s="26">
        <v>1460</v>
      </c>
      <c r="J562" s="26">
        <v>1460</v>
      </c>
      <c r="K562" s="26">
        <v>1460</v>
      </c>
      <c r="L562" s="26"/>
      <c r="M562" s="26"/>
      <c r="N562" s="26">
        <v>1460</v>
      </c>
      <c r="O562" s="26">
        <v>1460</v>
      </c>
      <c r="P562" s="32">
        <v>1460</v>
      </c>
      <c r="Q562" s="32">
        <v>1460</v>
      </c>
      <c r="R562" s="26"/>
      <c r="S562" s="26"/>
      <c r="T562" s="26">
        <v>1460</v>
      </c>
      <c r="U562" s="26">
        <v>1460</v>
      </c>
      <c r="V562" s="26">
        <v>1460</v>
      </c>
      <c r="W562" s="26">
        <v>1460</v>
      </c>
      <c r="X562" s="32"/>
      <c r="Y562" s="32"/>
    </row>
    <row r="563" spans="1:25" x14ac:dyDescent="0.65">
      <c r="A563" s="108">
        <v>18</v>
      </c>
      <c r="B563" s="26">
        <v>1460</v>
      </c>
      <c r="C563" s="26">
        <v>1460</v>
      </c>
      <c r="D563" s="26"/>
      <c r="E563" s="26"/>
      <c r="F563" s="26"/>
      <c r="G563" s="26"/>
      <c r="H563" s="26">
        <v>1460</v>
      </c>
      <c r="I563" s="26">
        <v>1460</v>
      </c>
      <c r="J563" s="26">
        <v>1460</v>
      </c>
      <c r="K563" s="26">
        <v>1460</v>
      </c>
      <c r="L563" s="26"/>
      <c r="M563" s="26"/>
      <c r="N563" s="26">
        <v>1460</v>
      </c>
      <c r="O563" s="26">
        <v>1460</v>
      </c>
      <c r="P563" s="32">
        <v>1460</v>
      </c>
      <c r="Q563" s="32">
        <v>1460</v>
      </c>
      <c r="R563" s="26"/>
      <c r="S563" s="26"/>
      <c r="T563" s="26">
        <v>1460</v>
      </c>
      <c r="U563" s="26">
        <v>1460</v>
      </c>
      <c r="V563" s="26"/>
      <c r="W563" s="26"/>
      <c r="X563" s="32">
        <v>1460</v>
      </c>
      <c r="Y563" s="32">
        <v>1460</v>
      </c>
    </row>
    <row r="564" spans="1:25" x14ac:dyDescent="0.65">
      <c r="A564" s="108">
        <v>19</v>
      </c>
      <c r="B564" s="26">
        <v>1460</v>
      </c>
      <c r="C564" s="26">
        <v>1460</v>
      </c>
      <c r="D564" s="26"/>
      <c r="E564" s="26"/>
      <c r="F564" s="26"/>
      <c r="G564" s="26"/>
      <c r="H564" s="26">
        <v>1460</v>
      </c>
      <c r="I564" s="26">
        <v>1460</v>
      </c>
      <c r="J564" s="26">
        <v>1460</v>
      </c>
      <c r="K564" s="26">
        <v>1460</v>
      </c>
      <c r="L564" s="26">
        <v>1460</v>
      </c>
      <c r="M564" s="26">
        <v>1460</v>
      </c>
      <c r="N564" s="26">
        <v>1460</v>
      </c>
      <c r="O564" s="26">
        <v>1460</v>
      </c>
      <c r="P564" s="32"/>
      <c r="Q564" s="32"/>
      <c r="R564" s="26">
        <v>1460</v>
      </c>
      <c r="S564" s="26">
        <v>1460</v>
      </c>
      <c r="T564" s="26">
        <v>1460</v>
      </c>
      <c r="U564" s="26">
        <v>1460</v>
      </c>
      <c r="V564" s="26"/>
      <c r="W564" s="26"/>
      <c r="X564" s="32">
        <v>1460</v>
      </c>
      <c r="Y564" s="32">
        <v>1460</v>
      </c>
    </row>
    <row r="565" spans="1:25" x14ac:dyDescent="0.65">
      <c r="A565" s="108">
        <v>20</v>
      </c>
      <c r="B565" s="26">
        <v>1460</v>
      </c>
      <c r="C565" s="26">
        <v>1460</v>
      </c>
      <c r="D565" s="26">
        <v>1460</v>
      </c>
      <c r="E565" s="26">
        <v>1460</v>
      </c>
      <c r="F565" s="26"/>
      <c r="G565" s="26"/>
      <c r="H565" s="26">
        <v>1460</v>
      </c>
      <c r="I565" s="26">
        <v>1460</v>
      </c>
      <c r="J565" s="26"/>
      <c r="K565" s="26"/>
      <c r="L565" s="26">
        <v>1460</v>
      </c>
      <c r="M565" s="26">
        <v>1460</v>
      </c>
      <c r="N565" s="26">
        <v>1460</v>
      </c>
      <c r="O565" s="26">
        <v>1460</v>
      </c>
      <c r="P565" s="32"/>
      <c r="Q565" s="32"/>
      <c r="R565" s="26">
        <v>1460</v>
      </c>
      <c r="S565" s="26">
        <v>1460</v>
      </c>
      <c r="T565" s="26">
        <v>1460</v>
      </c>
      <c r="U565" s="26">
        <v>1460</v>
      </c>
      <c r="V565" s="26">
        <v>1460</v>
      </c>
      <c r="W565" s="26">
        <v>1460</v>
      </c>
      <c r="X565" s="32">
        <v>1460</v>
      </c>
      <c r="Y565" s="32">
        <v>1460</v>
      </c>
    </row>
    <row r="566" spans="1:25" x14ac:dyDescent="0.65">
      <c r="A566" s="108">
        <v>21</v>
      </c>
      <c r="B566" s="26"/>
      <c r="C566" s="26"/>
      <c r="D566" s="26">
        <v>1460</v>
      </c>
      <c r="E566" s="26">
        <v>1460</v>
      </c>
      <c r="F566" s="26"/>
      <c r="G566" s="26"/>
      <c r="H566" s="26">
        <v>1460</v>
      </c>
      <c r="I566" s="26">
        <v>1460</v>
      </c>
      <c r="J566" s="26"/>
      <c r="K566" s="26"/>
      <c r="L566" s="26">
        <v>1460</v>
      </c>
      <c r="M566" s="26">
        <v>1460</v>
      </c>
      <c r="N566" s="26">
        <v>1460</v>
      </c>
      <c r="O566" s="26">
        <v>1460</v>
      </c>
      <c r="P566" s="32">
        <v>1460</v>
      </c>
      <c r="Q566" s="32">
        <v>1460</v>
      </c>
      <c r="R566" s="26">
        <v>1460</v>
      </c>
      <c r="S566" s="26">
        <v>1460</v>
      </c>
      <c r="T566" s="26"/>
      <c r="U566" s="26"/>
      <c r="V566" s="26">
        <v>1460</v>
      </c>
      <c r="W566" s="26">
        <v>1460</v>
      </c>
      <c r="X566" s="32">
        <v>1460</v>
      </c>
      <c r="Y566" s="32">
        <v>1460</v>
      </c>
    </row>
    <row r="567" spans="1:25" x14ac:dyDescent="0.65">
      <c r="A567" s="108">
        <v>22</v>
      </c>
      <c r="B567" s="26"/>
      <c r="C567" s="26"/>
      <c r="D567" s="26">
        <v>1460</v>
      </c>
      <c r="E567" s="26">
        <v>1460</v>
      </c>
      <c r="F567" s="26">
        <v>1460</v>
      </c>
      <c r="G567" s="26">
        <v>1460</v>
      </c>
      <c r="H567" s="26"/>
      <c r="I567" s="26"/>
      <c r="J567" s="26">
        <v>1460</v>
      </c>
      <c r="K567" s="26">
        <v>1460</v>
      </c>
      <c r="L567" s="26">
        <v>1460</v>
      </c>
      <c r="M567" s="26">
        <v>1460</v>
      </c>
      <c r="N567" s="26"/>
      <c r="O567" s="26"/>
      <c r="P567" s="32">
        <v>1460</v>
      </c>
      <c r="Q567" s="32">
        <v>1460</v>
      </c>
      <c r="R567" s="26">
        <v>1460</v>
      </c>
      <c r="S567" s="26">
        <v>1460</v>
      </c>
      <c r="T567" s="26"/>
      <c r="U567" s="26"/>
      <c r="V567" s="26">
        <v>1460</v>
      </c>
      <c r="W567" s="26">
        <v>1460</v>
      </c>
      <c r="X567" s="32">
        <v>1460</v>
      </c>
      <c r="Y567" s="32">
        <v>1460</v>
      </c>
    </row>
    <row r="568" spans="1:25" x14ac:dyDescent="0.65">
      <c r="A568" s="108">
        <v>23</v>
      </c>
      <c r="B568" s="26">
        <v>1460</v>
      </c>
      <c r="C568" s="26">
        <v>1460</v>
      </c>
      <c r="D568" s="26">
        <v>1460</v>
      </c>
      <c r="E568" s="26">
        <v>1460</v>
      </c>
      <c r="F568" s="26">
        <v>1460</v>
      </c>
      <c r="G568" s="26">
        <v>1460</v>
      </c>
      <c r="H568" s="26"/>
      <c r="I568" s="26"/>
      <c r="J568" s="26"/>
      <c r="K568" s="26"/>
      <c r="L568" s="26">
        <v>1460</v>
      </c>
      <c r="M568" s="26">
        <v>1460</v>
      </c>
      <c r="N568" s="26"/>
      <c r="O568" s="26"/>
      <c r="P568" s="32">
        <v>1460</v>
      </c>
      <c r="Q568" s="32">
        <v>1460</v>
      </c>
      <c r="R568" s="26"/>
      <c r="S568" s="26"/>
      <c r="T568" s="26">
        <v>1460</v>
      </c>
      <c r="U568" s="26">
        <v>1460</v>
      </c>
      <c r="V568" s="26">
        <v>1460</v>
      </c>
      <c r="W568" s="26">
        <v>1460</v>
      </c>
      <c r="X568" s="32"/>
      <c r="Y568" s="32"/>
    </row>
    <row r="569" spans="1:25" x14ac:dyDescent="0.65">
      <c r="A569" s="108">
        <v>24</v>
      </c>
      <c r="B569" s="26">
        <v>1460</v>
      </c>
      <c r="C569" s="26">
        <v>1460</v>
      </c>
      <c r="D569" s="26">
        <v>1460</v>
      </c>
      <c r="E569" s="26">
        <v>1460</v>
      </c>
      <c r="F569" s="26">
        <v>1460</v>
      </c>
      <c r="G569" s="26">
        <v>1460</v>
      </c>
      <c r="H569" s="26">
        <v>1460</v>
      </c>
      <c r="I569" s="26">
        <v>1460</v>
      </c>
      <c r="J569" s="26">
        <v>1460</v>
      </c>
      <c r="K569" s="26">
        <v>1460</v>
      </c>
      <c r="L569" s="26"/>
      <c r="M569" s="26"/>
      <c r="N569" s="26">
        <v>1460</v>
      </c>
      <c r="O569" s="26">
        <v>1460</v>
      </c>
      <c r="P569" s="32">
        <v>1460</v>
      </c>
      <c r="Q569" s="32">
        <v>1460</v>
      </c>
      <c r="R569" s="26"/>
      <c r="S569" s="26"/>
      <c r="T569" s="26">
        <v>1460</v>
      </c>
      <c r="U569" s="26">
        <v>1460</v>
      </c>
      <c r="V569" s="26">
        <v>1460</v>
      </c>
      <c r="W569" s="26">
        <v>1460</v>
      </c>
      <c r="X569" s="32"/>
      <c r="Y569" s="32"/>
    </row>
    <row r="570" spans="1:25" x14ac:dyDescent="0.65">
      <c r="A570" s="108">
        <v>25</v>
      </c>
      <c r="B570" s="26">
        <v>1460</v>
      </c>
      <c r="C570" s="26">
        <v>1460</v>
      </c>
      <c r="D570" s="26"/>
      <c r="E570" s="26"/>
      <c r="F570" s="26"/>
      <c r="G570" s="26"/>
      <c r="H570" s="26">
        <v>1460</v>
      </c>
      <c r="I570" s="26">
        <v>1460</v>
      </c>
      <c r="J570" s="26">
        <v>1460</v>
      </c>
      <c r="K570" s="26">
        <v>1460</v>
      </c>
      <c r="L570" s="26"/>
      <c r="M570" s="26"/>
      <c r="N570" s="26">
        <v>1460</v>
      </c>
      <c r="O570" s="26">
        <v>1460</v>
      </c>
      <c r="P570" s="32">
        <v>1460</v>
      </c>
      <c r="Q570" s="32">
        <v>1460</v>
      </c>
      <c r="R570" s="26">
        <v>1460</v>
      </c>
      <c r="S570" s="26">
        <v>1460</v>
      </c>
      <c r="T570" s="26">
        <v>1460</v>
      </c>
      <c r="U570" s="26">
        <v>1460</v>
      </c>
      <c r="V570" s="26"/>
      <c r="W570" s="26"/>
      <c r="X570" s="32"/>
      <c r="Y570" s="32"/>
    </row>
    <row r="571" spans="1:25" x14ac:dyDescent="0.65">
      <c r="A571" s="108">
        <v>26</v>
      </c>
      <c r="B571" s="26">
        <v>1460</v>
      </c>
      <c r="C571" s="26">
        <v>1460</v>
      </c>
      <c r="D571" s="26"/>
      <c r="E571" s="26"/>
      <c r="F571" s="26"/>
      <c r="G571" s="26"/>
      <c r="H571" s="26">
        <v>1460</v>
      </c>
      <c r="I571" s="26">
        <v>1460</v>
      </c>
      <c r="J571" s="26">
        <v>1460</v>
      </c>
      <c r="K571" s="26">
        <v>1460</v>
      </c>
      <c r="L571" s="26">
        <v>1460</v>
      </c>
      <c r="M571" s="26">
        <v>1460</v>
      </c>
      <c r="N571" s="26">
        <v>1460</v>
      </c>
      <c r="O571" s="26">
        <v>1460</v>
      </c>
      <c r="P571" s="32"/>
      <c r="Q571" s="32"/>
      <c r="R571" s="26">
        <v>1460</v>
      </c>
      <c r="S571" s="26">
        <v>1460</v>
      </c>
      <c r="T571" s="26">
        <v>1460</v>
      </c>
      <c r="U571" s="26">
        <v>1460</v>
      </c>
      <c r="V571" s="26"/>
      <c r="W571" s="26"/>
      <c r="X571" s="32">
        <v>1460</v>
      </c>
      <c r="Y571" s="32">
        <v>1460</v>
      </c>
    </row>
    <row r="572" spans="1:25" x14ac:dyDescent="0.65">
      <c r="A572" s="108">
        <v>27</v>
      </c>
      <c r="B572" s="26">
        <v>1460</v>
      </c>
      <c r="C572" s="26">
        <v>1460</v>
      </c>
      <c r="D572" s="26"/>
      <c r="E572" s="26"/>
      <c r="F572" s="26">
        <v>1460</v>
      </c>
      <c r="G572" s="26">
        <v>1460</v>
      </c>
      <c r="H572" s="26">
        <v>1460</v>
      </c>
      <c r="I572" s="26">
        <v>1460</v>
      </c>
      <c r="J572" s="26"/>
      <c r="K572" s="26"/>
      <c r="L572" s="26">
        <v>1460</v>
      </c>
      <c r="M572" s="26">
        <v>1460</v>
      </c>
      <c r="N572" s="26">
        <v>1460</v>
      </c>
      <c r="O572" s="26">
        <v>1460</v>
      </c>
      <c r="P572" s="32"/>
      <c r="Q572" s="32"/>
      <c r="R572" s="26">
        <v>1460</v>
      </c>
      <c r="S572" s="26">
        <v>1460</v>
      </c>
      <c r="T572" s="26">
        <v>1460</v>
      </c>
      <c r="U572" s="26">
        <v>1460</v>
      </c>
      <c r="V572" s="26">
        <v>1460</v>
      </c>
      <c r="W572" s="26">
        <v>1460</v>
      </c>
      <c r="X572" s="32">
        <v>1460</v>
      </c>
      <c r="Y572" s="32">
        <v>1460</v>
      </c>
    </row>
    <row r="573" spans="1:25" x14ac:dyDescent="0.65">
      <c r="A573" s="108">
        <v>28</v>
      </c>
      <c r="B573" s="26"/>
      <c r="C573" s="26"/>
      <c r="D573" s="26">
        <v>1460</v>
      </c>
      <c r="E573" s="26">
        <v>1460</v>
      </c>
      <c r="F573" s="26">
        <v>1460</v>
      </c>
      <c r="G573" s="26">
        <v>1460</v>
      </c>
      <c r="H573" s="26">
        <v>1460</v>
      </c>
      <c r="I573" s="26">
        <v>1460</v>
      </c>
      <c r="J573" s="26"/>
      <c r="K573" s="26"/>
      <c r="L573" s="26">
        <v>1460</v>
      </c>
      <c r="M573" s="26">
        <v>1460</v>
      </c>
      <c r="N573" s="26">
        <v>1460</v>
      </c>
      <c r="O573" s="26">
        <v>1460</v>
      </c>
      <c r="P573" s="32">
        <v>1460</v>
      </c>
      <c r="Q573" s="32">
        <v>1460</v>
      </c>
      <c r="R573" s="26">
        <v>1460</v>
      </c>
      <c r="S573" s="26">
        <v>1460</v>
      </c>
      <c r="T573" s="26"/>
      <c r="U573" s="26"/>
      <c r="V573" s="26">
        <v>1460</v>
      </c>
      <c r="W573" s="26">
        <v>1460</v>
      </c>
      <c r="X573" s="32">
        <v>1460</v>
      </c>
      <c r="Y573" s="32">
        <v>1460</v>
      </c>
    </row>
    <row r="574" spans="1:25" x14ac:dyDescent="0.65">
      <c r="A574" s="108">
        <v>29</v>
      </c>
      <c r="B574" s="26"/>
      <c r="C574" s="26"/>
      <c r="D574" s="27"/>
      <c r="E574" s="27"/>
      <c r="F574" s="26">
        <v>1460</v>
      </c>
      <c r="G574" s="26">
        <v>1460</v>
      </c>
      <c r="H574" s="26"/>
      <c r="I574" s="26"/>
      <c r="J574" s="26">
        <v>1460</v>
      </c>
      <c r="K574" s="26">
        <v>1460</v>
      </c>
      <c r="L574" s="26">
        <v>1460</v>
      </c>
      <c r="M574" s="26">
        <v>1460</v>
      </c>
      <c r="N574" s="26"/>
      <c r="O574" s="26"/>
      <c r="P574" s="32">
        <v>1460</v>
      </c>
      <c r="Q574" s="32">
        <v>1460</v>
      </c>
      <c r="R574" s="26">
        <v>1460</v>
      </c>
      <c r="S574" s="26">
        <v>1460</v>
      </c>
      <c r="T574" s="26"/>
      <c r="U574" s="26"/>
      <c r="V574" s="26">
        <v>1460</v>
      </c>
      <c r="W574" s="26">
        <v>1460</v>
      </c>
      <c r="X574" s="32">
        <v>1460</v>
      </c>
      <c r="Y574" s="32">
        <v>1460</v>
      </c>
    </row>
    <row r="575" spans="1:25" x14ac:dyDescent="0.65">
      <c r="A575" s="108">
        <v>30</v>
      </c>
      <c r="B575" s="26">
        <v>1460</v>
      </c>
      <c r="C575" s="26">
        <v>1460</v>
      </c>
      <c r="D575" s="26"/>
      <c r="E575" s="26"/>
      <c r="F575" s="26">
        <v>1460</v>
      </c>
      <c r="G575" s="26">
        <v>1460</v>
      </c>
      <c r="H575" s="26"/>
      <c r="I575" s="26"/>
      <c r="J575" s="26">
        <v>1460</v>
      </c>
      <c r="K575" s="26">
        <v>1460</v>
      </c>
      <c r="L575" s="26">
        <v>1460</v>
      </c>
      <c r="M575" s="26">
        <v>1460</v>
      </c>
      <c r="N575" s="26"/>
      <c r="O575" s="26"/>
      <c r="P575" s="32"/>
      <c r="Q575" s="32"/>
      <c r="R575" s="26"/>
      <c r="S575" s="26"/>
      <c r="T575" s="26">
        <v>1460</v>
      </c>
      <c r="U575" s="26">
        <v>1460</v>
      </c>
      <c r="V575" s="26">
        <v>1460</v>
      </c>
      <c r="W575" s="26">
        <v>1460</v>
      </c>
      <c r="X575" s="32"/>
      <c r="Y575" s="32"/>
    </row>
    <row r="576" spans="1:25" ht="25.5" thickBot="1" x14ac:dyDescent="0.7">
      <c r="A576" s="109">
        <v>31</v>
      </c>
      <c r="B576" s="26">
        <v>1460</v>
      </c>
      <c r="C576" s="26">
        <v>1460</v>
      </c>
      <c r="D576" s="56"/>
      <c r="E576" s="56"/>
      <c r="F576" s="26">
        <v>1460</v>
      </c>
      <c r="G576" s="26">
        <v>1460</v>
      </c>
      <c r="H576" s="26"/>
      <c r="I576" s="26"/>
      <c r="J576" s="30">
        <v>1460</v>
      </c>
      <c r="K576" s="30">
        <v>1460</v>
      </c>
      <c r="L576" s="26"/>
      <c r="M576" s="52"/>
      <c r="N576" s="32"/>
      <c r="O576" s="32"/>
      <c r="P576" s="32">
        <v>1460</v>
      </c>
      <c r="Q576" s="32">
        <v>1460</v>
      </c>
      <c r="R576" s="32"/>
      <c r="S576" s="32"/>
      <c r="T576" s="26">
        <v>1460</v>
      </c>
      <c r="U576" s="26">
        <v>1460</v>
      </c>
      <c r="V576" s="30"/>
      <c r="W576" s="30"/>
      <c r="X576" s="32"/>
      <c r="Y576" s="32"/>
    </row>
    <row r="577" spans="1:27" ht="25.5" thickBot="1" x14ac:dyDescent="0.7">
      <c r="A577" s="17" t="s">
        <v>15</v>
      </c>
      <c r="B577" s="197">
        <f>AVERAGE(B546:B576)</f>
        <v>1460</v>
      </c>
      <c r="C577" s="197">
        <f t="shared" ref="C577:Y577" si="36">AVERAGE(C546:C576)</f>
        <v>1460</v>
      </c>
      <c r="D577" s="197">
        <f t="shared" si="36"/>
        <v>1460</v>
      </c>
      <c r="E577" s="197">
        <f t="shared" si="36"/>
        <v>1460</v>
      </c>
      <c r="F577" s="197">
        <f t="shared" si="36"/>
        <v>1460</v>
      </c>
      <c r="G577" s="197">
        <f t="shared" si="36"/>
        <v>1460</v>
      </c>
      <c r="H577" s="197">
        <f t="shared" si="36"/>
        <v>1460</v>
      </c>
      <c r="I577" s="197">
        <f t="shared" si="36"/>
        <v>1460</v>
      </c>
      <c r="J577" s="197">
        <f t="shared" si="36"/>
        <v>1460</v>
      </c>
      <c r="K577" s="197">
        <f t="shared" si="36"/>
        <v>1460</v>
      </c>
      <c r="L577" s="197">
        <f t="shared" si="36"/>
        <v>1460</v>
      </c>
      <c r="M577" s="197">
        <f t="shared" si="36"/>
        <v>1460</v>
      </c>
      <c r="N577" s="197">
        <f t="shared" si="36"/>
        <v>1460</v>
      </c>
      <c r="O577" s="197">
        <f t="shared" si="36"/>
        <v>1460</v>
      </c>
      <c r="P577" s="197">
        <f t="shared" si="36"/>
        <v>1460</v>
      </c>
      <c r="Q577" s="197">
        <f t="shared" si="36"/>
        <v>1460</v>
      </c>
      <c r="R577" s="197">
        <f t="shared" si="36"/>
        <v>1460</v>
      </c>
      <c r="S577" s="197">
        <f t="shared" si="36"/>
        <v>1460</v>
      </c>
      <c r="T577" s="197">
        <f t="shared" si="36"/>
        <v>1460</v>
      </c>
      <c r="U577" s="197">
        <f t="shared" si="36"/>
        <v>1460</v>
      </c>
      <c r="V577" s="197">
        <f t="shared" si="36"/>
        <v>1460</v>
      </c>
      <c r="W577" s="197">
        <f t="shared" si="36"/>
        <v>1460</v>
      </c>
      <c r="X577" s="197">
        <f t="shared" si="36"/>
        <v>1460</v>
      </c>
      <c r="Y577" s="197">
        <f t="shared" si="36"/>
        <v>1460</v>
      </c>
      <c r="Z577" s="57"/>
      <c r="AA577" s="57"/>
    </row>
    <row r="578" spans="1:27" ht="30" x14ac:dyDescent="0.65">
      <c r="A578" s="224" t="s">
        <v>84</v>
      </c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 spans="1:27" ht="25.5" thickBot="1" x14ac:dyDescent="0.7">
      <c r="A579" s="225" t="s">
        <v>71</v>
      </c>
      <c r="B579" s="225"/>
      <c r="C579" s="225"/>
      <c r="D579" s="225"/>
      <c r="E579" s="225"/>
      <c r="F579" s="22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</row>
    <row r="580" spans="1:27" ht="25.5" thickBot="1" x14ac:dyDescent="0.7">
      <c r="A580" s="226" t="s">
        <v>2</v>
      </c>
      <c r="B580" s="228" t="s">
        <v>3</v>
      </c>
      <c r="C580" s="229"/>
      <c r="D580" s="228" t="s">
        <v>4</v>
      </c>
      <c r="E580" s="229"/>
      <c r="F580" s="228" t="s">
        <v>5</v>
      </c>
      <c r="G580" s="229"/>
      <c r="H580" s="228" t="s">
        <v>6</v>
      </c>
      <c r="I580" s="229"/>
      <c r="J580" s="228" t="s">
        <v>7</v>
      </c>
      <c r="K580" s="229"/>
      <c r="L580" s="228" t="s">
        <v>8</v>
      </c>
      <c r="M580" s="229"/>
      <c r="N580" s="228" t="s">
        <v>9</v>
      </c>
      <c r="O580" s="229"/>
      <c r="P580" s="228" t="s">
        <v>10</v>
      </c>
      <c r="Q580" s="229"/>
      <c r="R580" s="228" t="s">
        <v>11</v>
      </c>
      <c r="S580" s="229"/>
      <c r="T580" s="228" t="s">
        <v>12</v>
      </c>
      <c r="U580" s="229"/>
      <c r="V580" s="228" t="s">
        <v>21</v>
      </c>
      <c r="W580" s="229"/>
      <c r="X580" s="228" t="s">
        <v>14</v>
      </c>
      <c r="Y580" s="229"/>
    </row>
    <row r="581" spans="1:27" ht="25.5" thickBot="1" x14ac:dyDescent="0.7">
      <c r="A581" s="227"/>
      <c r="B581" s="17" t="s">
        <v>74</v>
      </c>
      <c r="C581" s="17" t="s">
        <v>75</v>
      </c>
      <c r="D581" s="17" t="s">
        <v>74</v>
      </c>
      <c r="E581" s="17" t="s">
        <v>75</v>
      </c>
      <c r="F581" s="17" t="s">
        <v>74</v>
      </c>
      <c r="G581" s="17" t="s">
        <v>75</v>
      </c>
      <c r="H581" s="17" t="s">
        <v>74</v>
      </c>
      <c r="I581" s="17" t="s">
        <v>75</v>
      </c>
      <c r="J581" s="17" t="s">
        <v>74</v>
      </c>
      <c r="K581" s="17" t="s">
        <v>75</v>
      </c>
      <c r="L581" s="17" t="s">
        <v>74</v>
      </c>
      <c r="M581" s="17" t="s">
        <v>75</v>
      </c>
      <c r="N581" s="17" t="s">
        <v>74</v>
      </c>
      <c r="O581" s="17" t="s">
        <v>75</v>
      </c>
      <c r="P581" s="17" t="s">
        <v>74</v>
      </c>
      <c r="Q581" s="17" t="s">
        <v>75</v>
      </c>
      <c r="R581" s="17" t="s">
        <v>74</v>
      </c>
      <c r="S581" s="17" t="s">
        <v>75</v>
      </c>
      <c r="T581" s="17" t="s">
        <v>74</v>
      </c>
      <c r="U581" s="17" t="s">
        <v>75</v>
      </c>
      <c r="V581" s="17" t="s">
        <v>74</v>
      </c>
      <c r="W581" s="17" t="s">
        <v>75</v>
      </c>
      <c r="X581" s="17" t="s">
        <v>74</v>
      </c>
      <c r="Y581" s="17" t="s">
        <v>75</v>
      </c>
    </row>
    <row r="582" spans="1:27" x14ac:dyDescent="0.65">
      <c r="A582" s="39">
        <v>1</v>
      </c>
      <c r="B582" s="32"/>
      <c r="C582" s="62"/>
      <c r="D582" s="32">
        <v>1460</v>
      </c>
      <c r="E582" s="30">
        <v>1460</v>
      </c>
      <c r="F582" s="32">
        <v>1310</v>
      </c>
      <c r="G582" s="30">
        <v>1310</v>
      </c>
      <c r="H582" s="32"/>
      <c r="I582" s="30"/>
      <c r="J582" s="30"/>
      <c r="K582" s="30"/>
      <c r="L582" s="32">
        <v>1310</v>
      </c>
      <c r="M582" s="32">
        <v>1310</v>
      </c>
      <c r="N582" s="32"/>
      <c r="O582" s="32"/>
      <c r="P582" s="32">
        <v>1310</v>
      </c>
      <c r="Q582" s="32">
        <v>1310</v>
      </c>
      <c r="R582" s="32"/>
      <c r="S582" s="32"/>
      <c r="T582" s="32">
        <v>1305</v>
      </c>
      <c r="U582" s="32">
        <v>1310</v>
      </c>
      <c r="V582" s="32">
        <v>1305</v>
      </c>
      <c r="W582" s="32">
        <v>1310</v>
      </c>
      <c r="X582" s="32"/>
      <c r="Y582" s="32"/>
    </row>
    <row r="583" spans="1:27" x14ac:dyDescent="0.65">
      <c r="A583" s="108">
        <v>2</v>
      </c>
      <c r="B583" s="26"/>
      <c r="C583" s="26"/>
      <c r="D583" s="26">
        <v>1460</v>
      </c>
      <c r="E583" s="26">
        <v>1460</v>
      </c>
      <c r="F583" s="32">
        <v>1310</v>
      </c>
      <c r="G583" s="30">
        <v>1310</v>
      </c>
      <c r="H583" s="32">
        <v>1310</v>
      </c>
      <c r="I583" s="26">
        <v>1310</v>
      </c>
      <c r="J583" s="26">
        <v>1310</v>
      </c>
      <c r="K583" s="26">
        <v>1310</v>
      </c>
      <c r="L583" s="26"/>
      <c r="M583" s="26"/>
      <c r="N583" s="26"/>
      <c r="O583" s="26"/>
      <c r="P583" s="26">
        <v>1310</v>
      </c>
      <c r="Q583" s="26">
        <v>1310</v>
      </c>
      <c r="R583" s="32"/>
      <c r="S583" s="32"/>
      <c r="T583" s="32">
        <v>1305</v>
      </c>
      <c r="U583" s="32">
        <v>1310</v>
      </c>
      <c r="V583" s="32">
        <v>1305</v>
      </c>
      <c r="W583" s="32">
        <v>1310</v>
      </c>
      <c r="X583" s="32"/>
      <c r="Y583" s="32"/>
    </row>
    <row r="584" spans="1:27" x14ac:dyDescent="0.65">
      <c r="A584" s="108">
        <v>3</v>
      </c>
      <c r="B584" s="26"/>
      <c r="C584" s="26"/>
      <c r="D584" s="26"/>
      <c r="E584" s="26"/>
      <c r="F584" s="26"/>
      <c r="G584" s="26"/>
      <c r="H584" s="32">
        <v>1310</v>
      </c>
      <c r="I584" s="26">
        <v>1310</v>
      </c>
      <c r="J584" s="26">
        <v>1310</v>
      </c>
      <c r="K584" s="26">
        <v>1310</v>
      </c>
      <c r="L584" s="26"/>
      <c r="M584" s="26"/>
      <c r="N584" s="26">
        <v>1310</v>
      </c>
      <c r="O584" s="26">
        <v>1310</v>
      </c>
      <c r="P584" s="32">
        <v>1310</v>
      </c>
      <c r="Q584" s="32">
        <v>1310</v>
      </c>
      <c r="R584" s="32">
        <v>1305</v>
      </c>
      <c r="S584" s="32">
        <v>1310</v>
      </c>
      <c r="T584" s="32"/>
      <c r="U584" s="32"/>
      <c r="V584" s="32"/>
      <c r="W584" s="32"/>
      <c r="X584" s="32">
        <v>1305</v>
      </c>
      <c r="Y584" s="32">
        <v>1310</v>
      </c>
    </row>
    <row r="585" spans="1:27" x14ac:dyDescent="0.65">
      <c r="A585" s="108">
        <v>4</v>
      </c>
      <c r="B585" s="26">
        <v>1460</v>
      </c>
      <c r="C585" s="26">
        <v>1460</v>
      </c>
      <c r="D585" s="26"/>
      <c r="E585" s="26"/>
      <c r="F585" s="26"/>
      <c r="G585" s="26"/>
      <c r="H585" s="32">
        <v>1310</v>
      </c>
      <c r="I585" s="30">
        <v>1310</v>
      </c>
      <c r="J585" s="26">
        <v>1310</v>
      </c>
      <c r="K585" s="26">
        <v>1310</v>
      </c>
      <c r="L585" s="26">
        <v>1310</v>
      </c>
      <c r="M585" s="26">
        <v>1310</v>
      </c>
      <c r="N585" s="26">
        <v>1310</v>
      </c>
      <c r="O585" s="26">
        <v>1310</v>
      </c>
      <c r="P585" s="32"/>
      <c r="Q585" s="32"/>
      <c r="R585" s="32">
        <v>1305</v>
      </c>
      <c r="S585" s="32">
        <v>1310</v>
      </c>
      <c r="T585" s="32">
        <v>1305</v>
      </c>
      <c r="U585" s="32">
        <v>1310</v>
      </c>
      <c r="V585" s="32"/>
      <c r="W585" s="32"/>
      <c r="X585" s="32">
        <v>1305</v>
      </c>
      <c r="Y585" s="32">
        <v>1310</v>
      </c>
    </row>
    <row r="586" spans="1:27" x14ac:dyDescent="0.65">
      <c r="A586" s="108">
        <v>5</v>
      </c>
      <c r="B586" s="26">
        <v>1460</v>
      </c>
      <c r="C586" s="26">
        <v>1460</v>
      </c>
      <c r="D586" s="26">
        <v>1460</v>
      </c>
      <c r="E586" s="26">
        <v>1460</v>
      </c>
      <c r="F586" s="26">
        <v>1310</v>
      </c>
      <c r="G586" s="26">
        <v>1310</v>
      </c>
      <c r="H586" s="32">
        <v>1310</v>
      </c>
      <c r="I586" s="30">
        <v>1310</v>
      </c>
      <c r="J586" s="26"/>
      <c r="K586" s="26"/>
      <c r="L586" s="26">
        <v>1310</v>
      </c>
      <c r="M586" s="26">
        <v>1310</v>
      </c>
      <c r="N586" s="26">
        <v>1310</v>
      </c>
      <c r="O586" s="26">
        <v>1310</v>
      </c>
      <c r="P586" s="32"/>
      <c r="Q586" s="32"/>
      <c r="R586" s="32">
        <v>1305</v>
      </c>
      <c r="S586" s="32">
        <v>1310</v>
      </c>
      <c r="T586" s="32">
        <v>1305</v>
      </c>
      <c r="U586" s="32">
        <v>1310</v>
      </c>
      <c r="V586" s="32">
        <v>1305</v>
      </c>
      <c r="W586" s="32">
        <v>1310</v>
      </c>
      <c r="X586" s="32">
        <v>1305</v>
      </c>
      <c r="Y586" s="32">
        <v>1310</v>
      </c>
    </row>
    <row r="587" spans="1:27" x14ac:dyDescent="0.65">
      <c r="A587" s="108">
        <v>6</v>
      </c>
      <c r="B587" s="26"/>
      <c r="C587" s="26"/>
      <c r="D587" s="26">
        <v>1460</v>
      </c>
      <c r="E587" s="26">
        <v>1460</v>
      </c>
      <c r="F587" s="26">
        <v>1310</v>
      </c>
      <c r="G587" s="26">
        <v>1310</v>
      </c>
      <c r="H587" s="32">
        <v>1310</v>
      </c>
      <c r="I587" s="30">
        <v>1310</v>
      </c>
      <c r="J587" s="26"/>
      <c r="K587" s="26"/>
      <c r="L587" s="26">
        <v>1310</v>
      </c>
      <c r="M587" s="26">
        <v>1310</v>
      </c>
      <c r="N587" s="26">
        <v>1310</v>
      </c>
      <c r="O587" s="26">
        <v>1310</v>
      </c>
      <c r="P587" s="32">
        <v>1310</v>
      </c>
      <c r="Q587" s="32">
        <v>1310</v>
      </c>
      <c r="R587" s="32"/>
      <c r="S587" s="32"/>
      <c r="T587" s="32"/>
      <c r="U587" s="32"/>
      <c r="V587" s="32">
        <v>1305</v>
      </c>
      <c r="W587" s="32">
        <v>1310</v>
      </c>
      <c r="X587" s="32">
        <v>1305</v>
      </c>
      <c r="Y587" s="32">
        <v>1310</v>
      </c>
    </row>
    <row r="588" spans="1:27" x14ac:dyDescent="0.65">
      <c r="A588" s="108">
        <v>7</v>
      </c>
      <c r="B588" s="26"/>
      <c r="C588" s="26"/>
      <c r="D588" s="26">
        <v>1460</v>
      </c>
      <c r="E588" s="26">
        <v>1460</v>
      </c>
      <c r="F588" s="26">
        <v>1310</v>
      </c>
      <c r="G588" s="26">
        <v>1310</v>
      </c>
      <c r="H588" s="26"/>
      <c r="I588" s="26"/>
      <c r="J588" s="26">
        <v>1310</v>
      </c>
      <c r="K588" s="26">
        <v>1310</v>
      </c>
      <c r="L588" s="26">
        <v>1310</v>
      </c>
      <c r="M588" s="26">
        <v>1310</v>
      </c>
      <c r="N588" s="26"/>
      <c r="O588" s="26"/>
      <c r="P588" s="32">
        <v>1310</v>
      </c>
      <c r="Q588" s="32">
        <v>1310</v>
      </c>
      <c r="R588" s="32"/>
      <c r="S588" s="32"/>
      <c r="T588" s="32"/>
      <c r="U588" s="32"/>
      <c r="V588" s="32">
        <v>1305</v>
      </c>
      <c r="W588" s="32">
        <v>1310</v>
      </c>
      <c r="X588" s="32">
        <v>1305</v>
      </c>
      <c r="Y588" s="32">
        <v>1310</v>
      </c>
    </row>
    <row r="589" spans="1:27" x14ac:dyDescent="0.65">
      <c r="A589" s="108">
        <v>8</v>
      </c>
      <c r="B589" s="26">
        <v>1460</v>
      </c>
      <c r="C589" s="26">
        <v>1460</v>
      </c>
      <c r="D589" s="26">
        <v>1310</v>
      </c>
      <c r="E589" s="26">
        <v>1310</v>
      </c>
      <c r="F589" s="26">
        <v>1310</v>
      </c>
      <c r="G589" s="26">
        <v>1310</v>
      </c>
      <c r="H589" s="26"/>
      <c r="I589" s="26"/>
      <c r="J589" s="26">
        <v>1310</v>
      </c>
      <c r="K589" s="26">
        <v>1310</v>
      </c>
      <c r="L589" s="26">
        <v>1310</v>
      </c>
      <c r="M589" s="26">
        <v>1310</v>
      </c>
      <c r="N589" s="26"/>
      <c r="O589" s="26"/>
      <c r="P589" s="32">
        <v>1310</v>
      </c>
      <c r="Q589" s="32">
        <v>1310</v>
      </c>
      <c r="R589" s="32"/>
      <c r="S589" s="32"/>
      <c r="T589" s="32">
        <v>1305</v>
      </c>
      <c r="U589" s="32">
        <v>1310</v>
      </c>
      <c r="V589" s="32">
        <v>1305</v>
      </c>
      <c r="W589" s="32">
        <v>1310</v>
      </c>
      <c r="X589" s="32"/>
      <c r="Y589" s="32"/>
    </row>
    <row r="590" spans="1:27" x14ac:dyDescent="0.65">
      <c r="A590" s="108">
        <v>9</v>
      </c>
      <c r="B590" s="26">
        <v>1460</v>
      </c>
      <c r="C590" s="26">
        <v>1460</v>
      </c>
      <c r="D590" s="26">
        <v>1310</v>
      </c>
      <c r="E590" s="26">
        <v>1310</v>
      </c>
      <c r="F590" s="26">
        <v>1310</v>
      </c>
      <c r="G590" s="26">
        <v>1310</v>
      </c>
      <c r="H590" s="26">
        <v>1310</v>
      </c>
      <c r="I590" s="26">
        <v>1310</v>
      </c>
      <c r="J590" s="26">
        <v>1310</v>
      </c>
      <c r="K590" s="26">
        <v>1310</v>
      </c>
      <c r="L590" s="26"/>
      <c r="M590" s="26"/>
      <c r="N590" s="26">
        <v>1310</v>
      </c>
      <c r="O590" s="26">
        <v>1310</v>
      </c>
      <c r="P590" s="32">
        <v>1310</v>
      </c>
      <c r="Q590" s="32">
        <v>1310</v>
      </c>
      <c r="R590" s="26"/>
      <c r="S590" s="26"/>
      <c r="T590" s="32">
        <v>1305</v>
      </c>
      <c r="U590" s="32">
        <v>1310</v>
      </c>
      <c r="V590" s="32">
        <v>1305</v>
      </c>
      <c r="W590" s="32">
        <v>1310</v>
      </c>
      <c r="X590" s="32"/>
      <c r="Y590" s="32"/>
    </row>
    <row r="591" spans="1:27" x14ac:dyDescent="0.65">
      <c r="A591" s="108">
        <v>10</v>
      </c>
      <c r="B591" s="26">
        <v>1460</v>
      </c>
      <c r="C591" s="26">
        <v>1460</v>
      </c>
      <c r="D591" s="26"/>
      <c r="E591" s="26"/>
      <c r="F591" s="26"/>
      <c r="G591" s="26"/>
      <c r="H591" s="26">
        <v>1310</v>
      </c>
      <c r="I591" s="26">
        <v>1310</v>
      </c>
      <c r="J591" s="26">
        <v>1310</v>
      </c>
      <c r="K591" s="26">
        <v>1310</v>
      </c>
      <c r="L591" s="26"/>
      <c r="M591" s="26"/>
      <c r="N591" s="26">
        <v>1310</v>
      </c>
      <c r="O591" s="26">
        <v>1310</v>
      </c>
      <c r="P591" s="32">
        <v>1310</v>
      </c>
      <c r="Q591" s="32">
        <v>1310</v>
      </c>
      <c r="R591" s="32">
        <v>1305</v>
      </c>
      <c r="S591" s="32">
        <v>1310</v>
      </c>
      <c r="T591" s="32">
        <v>1305</v>
      </c>
      <c r="U591" s="32">
        <v>1310</v>
      </c>
      <c r="V591" s="32"/>
      <c r="W591" s="32"/>
      <c r="X591" s="32"/>
      <c r="Y591" s="32"/>
    </row>
    <row r="592" spans="1:27" x14ac:dyDescent="0.65">
      <c r="A592" s="108">
        <v>11</v>
      </c>
      <c r="B592" s="26">
        <v>1460</v>
      </c>
      <c r="C592" s="26">
        <v>1460</v>
      </c>
      <c r="D592" s="26"/>
      <c r="E592" s="26"/>
      <c r="F592" s="26"/>
      <c r="G592" s="26"/>
      <c r="H592" s="26">
        <v>1310</v>
      </c>
      <c r="I592" s="26">
        <v>1310</v>
      </c>
      <c r="J592" s="26">
        <v>1310</v>
      </c>
      <c r="K592" s="26">
        <v>1310</v>
      </c>
      <c r="L592" s="26">
        <v>1310</v>
      </c>
      <c r="M592" s="26">
        <v>1310</v>
      </c>
      <c r="N592" s="26">
        <v>1310</v>
      </c>
      <c r="O592" s="26">
        <v>1310</v>
      </c>
      <c r="P592" s="32"/>
      <c r="Q592" s="32"/>
      <c r="R592" s="32">
        <v>1305</v>
      </c>
      <c r="S592" s="32">
        <v>1310</v>
      </c>
      <c r="T592" s="32">
        <v>1305</v>
      </c>
      <c r="U592" s="32">
        <v>1310</v>
      </c>
      <c r="V592" s="32"/>
      <c r="W592" s="32"/>
      <c r="X592" s="32">
        <v>1305</v>
      </c>
      <c r="Y592" s="32">
        <v>1310</v>
      </c>
    </row>
    <row r="593" spans="1:25" x14ac:dyDescent="0.65">
      <c r="A593" s="108">
        <v>12</v>
      </c>
      <c r="B593" s="26">
        <v>1460</v>
      </c>
      <c r="C593" s="26">
        <v>1460</v>
      </c>
      <c r="D593" s="26">
        <v>1310</v>
      </c>
      <c r="E593" s="26">
        <v>1310</v>
      </c>
      <c r="F593" s="26">
        <v>1310</v>
      </c>
      <c r="G593" s="26">
        <v>1310</v>
      </c>
      <c r="H593" s="26">
        <v>1310</v>
      </c>
      <c r="I593" s="26">
        <v>1310</v>
      </c>
      <c r="J593" s="26"/>
      <c r="K593" s="26"/>
      <c r="L593" s="26">
        <v>1310</v>
      </c>
      <c r="M593" s="26">
        <v>1310</v>
      </c>
      <c r="N593" s="26">
        <v>1310</v>
      </c>
      <c r="O593" s="26">
        <v>1310</v>
      </c>
      <c r="P593" s="32"/>
      <c r="Q593" s="32"/>
      <c r="R593" s="32">
        <v>1305</v>
      </c>
      <c r="S593" s="32">
        <v>1310</v>
      </c>
      <c r="T593" s="32">
        <v>1305</v>
      </c>
      <c r="U593" s="32">
        <v>1310</v>
      </c>
      <c r="V593" s="32">
        <v>1305</v>
      </c>
      <c r="W593" s="32">
        <v>1310</v>
      </c>
      <c r="X593" s="32">
        <v>1305</v>
      </c>
      <c r="Y593" s="32">
        <v>1310</v>
      </c>
    </row>
    <row r="594" spans="1:25" x14ac:dyDescent="0.65">
      <c r="A594" s="108">
        <v>13</v>
      </c>
      <c r="B594" s="26"/>
      <c r="C594" s="26"/>
      <c r="D594" s="26">
        <v>1310</v>
      </c>
      <c r="E594" s="26">
        <v>1310</v>
      </c>
      <c r="F594" s="26">
        <v>1310</v>
      </c>
      <c r="G594" s="26">
        <v>1310</v>
      </c>
      <c r="H594" s="26"/>
      <c r="I594" s="26"/>
      <c r="J594" s="26"/>
      <c r="K594" s="26"/>
      <c r="L594" s="26">
        <v>1310</v>
      </c>
      <c r="M594" s="26">
        <v>1310</v>
      </c>
      <c r="N594" s="26">
        <v>1310</v>
      </c>
      <c r="O594" s="26">
        <v>1310</v>
      </c>
      <c r="P594" s="32">
        <v>1310</v>
      </c>
      <c r="Q594" s="32">
        <v>1310</v>
      </c>
      <c r="R594" s="32">
        <v>1305</v>
      </c>
      <c r="S594" s="32">
        <v>1310</v>
      </c>
      <c r="T594" s="32"/>
      <c r="U594" s="32"/>
      <c r="V594" s="32">
        <v>1305</v>
      </c>
      <c r="W594" s="32">
        <v>1310</v>
      </c>
      <c r="X594" s="32">
        <v>1305</v>
      </c>
      <c r="Y594" s="32">
        <v>1310</v>
      </c>
    </row>
    <row r="595" spans="1:25" x14ac:dyDescent="0.65">
      <c r="A595" s="108">
        <v>14</v>
      </c>
      <c r="B595" s="26"/>
      <c r="C595" s="26"/>
      <c r="D595" s="26">
        <v>1310</v>
      </c>
      <c r="E595" s="26">
        <v>1310</v>
      </c>
      <c r="F595" s="26">
        <v>1310</v>
      </c>
      <c r="G595" s="26">
        <v>1310</v>
      </c>
      <c r="H595" s="26"/>
      <c r="I595" s="26"/>
      <c r="J595" s="26">
        <v>1310</v>
      </c>
      <c r="K595" s="26">
        <v>1310</v>
      </c>
      <c r="L595" s="26">
        <v>1310</v>
      </c>
      <c r="M595" s="26">
        <v>1310</v>
      </c>
      <c r="N595" s="26"/>
      <c r="O595" s="26"/>
      <c r="P595" s="32">
        <v>1310</v>
      </c>
      <c r="Q595" s="32">
        <v>1310</v>
      </c>
      <c r="R595" s="32">
        <v>1305</v>
      </c>
      <c r="S595" s="32">
        <v>1310</v>
      </c>
      <c r="T595" s="32"/>
      <c r="U595" s="32"/>
      <c r="V595" s="32">
        <v>1305</v>
      </c>
      <c r="W595" s="32">
        <v>1310</v>
      </c>
      <c r="X595" s="32"/>
      <c r="Y595" s="32"/>
    </row>
    <row r="596" spans="1:25" ht="21.75" customHeight="1" x14ac:dyDescent="0.65">
      <c r="A596" s="108">
        <v>15</v>
      </c>
      <c r="B596" s="26">
        <v>1460</v>
      </c>
      <c r="C596" s="26">
        <v>1460</v>
      </c>
      <c r="D596" s="26">
        <v>1310</v>
      </c>
      <c r="E596" s="26">
        <v>1310</v>
      </c>
      <c r="F596" s="26">
        <v>1310</v>
      </c>
      <c r="G596" s="26">
        <v>1310</v>
      </c>
      <c r="H596" s="26"/>
      <c r="I596" s="26"/>
      <c r="J596" s="26">
        <v>1310</v>
      </c>
      <c r="K596" s="26">
        <v>1310</v>
      </c>
      <c r="L596" s="26">
        <v>1310</v>
      </c>
      <c r="M596" s="26">
        <v>1310</v>
      </c>
      <c r="N596" s="26"/>
      <c r="O596" s="26"/>
      <c r="P596" s="32">
        <v>1310</v>
      </c>
      <c r="Q596" s="32">
        <v>1310</v>
      </c>
      <c r="R596" s="32"/>
      <c r="S596" s="32"/>
      <c r="T596" s="32">
        <v>1305</v>
      </c>
      <c r="U596" s="32">
        <v>1310</v>
      </c>
      <c r="V596" s="32">
        <v>1305</v>
      </c>
      <c r="W596" s="32">
        <v>1310</v>
      </c>
      <c r="X596" s="32"/>
      <c r="Y596" s="32"/>
    </row>
    <row r="597" spans="1:25" ht="20.25" customHeight="1" x14ac:dyDescent="0.65">
      <c r="A597" s="108">
        <v>16</v>
      </c>
      <c r="B597" s="26">
        <v>1460</v>
      </c>
      <c r="C597" s="26">
        <v>1460</v>
      </c>
      <c r="D597" s="26"/>
      <c r="E597" s="26"/>
      <c r="F597" s="26">
        <v>1310</v>
      </c>
      <c r="G597" s="26">
        <v>1310</v>
      </c>
      <c r="H597" s="26">
        <v>1310</v>
      </c>
      <c r="I597" s="26">
        <v>1310</v>
      </c>
      <c r="J597" s="26">
        <v>1310</v>
      </c>
      <c r="K597" s="26">
        <v>1310</v>
      </c>
      <c r="L597" s="26"/>
      <c r="M597" s="26"/>
      <c r="N597" s="26">
        <v>1310</v>
      </c>
      <c r="O597" s="26">
        <v>1310</v>
      </c>
      <c r="P597" s="32">
        <v>1310</v>
      </c>
      <c r="Q597" s="32">
        <v>1310</v>
      </c>
      <c r="R597" s="32"/>
      <c r="S597" s="32"/>
      <c r="T597" s="32">
        <v>1305</v>
      </c>
      <c r="U597" s="32">
        <v>1310</v>
      </c>
      <c r="V597" s="32">
        <v>1305</v>
      </c>
      <c r="W597" s="32">
        <v>1310</v>
      </c>
      <c r="X597" s="32"/>
      <c r="Y597" s="32"/>
    </row>
    <row r="598" spans="1:25" x14ac:dyDescent="0.65">
      <c r="A598" s="108">
        <v>17</v>
      </c>
      <c r="B598" s="26">
        <v>1460</v>
      </c>
      <c r="C598" s="26">
        <v>1460</v>
      </c>
      <c r="D598" s="26"/>
      <c r="E598" s="26"/>
      <c r="F598" s="26"/>
      <c r="G598" s="26"/>
      <c r="H598" s="26">
        <v>1310</v>
      </c>
      <c r="I598" s="26">
        <v>1310</v>
      </c>
      <c r="J598" s="26">
        <v>1310</v>
      </c>
      <c r="K598" s="26">
        <v>1310</v>
      </c>
      <c r="L598" s="26"/>
      <c r="M598" s="26"/>
      <c r="N598" s="26">
        <v>1310</v>
      </c>
      <c r="O598" s="26">
        <v>1310</v>
      </c>
      <c r="P598" s="32">
        <v>1310</v>
      </c>
      <c r="Q598" s="32">
        <v>1310</v>
      </c>
      <c r="R598" s="32">
        <v>1305</v>
      </c>
      <c r="S598" s="32">
        <v>1310</v>
      </c>
      <c r="T598" s="32">
        <v>1305</v>
      </c>
      <c r="U598" s="32">
        <v>1310</v>
      </c>
      <c r="V598" s="32"/>
      <c r="W598" s="32"/>
      <c r="X598" s="32"/>
      <c r="Y598" s="32"/>
    </row>
    <row r="599" spans="1:25" x14ac:dyDescent="0.65">
      <c r="A599" s="108">
        <v>18</v>
      </c>
      <c r="B599" s="26">
        <v>1460</v>
      </c>
      <c r="C599" s="26">
        <v>1460</v>
      </c>
      <c r="D599" s="26"/>
      <c r="E599" s="26"/>
      <c r="F599" s="26"/>
      <c r="G599" s="26"/>
      <c r="H599" s="26">
        <v>1310</v>
      </c>
      <c r="I599" s="26">
        <v>1310</v>
      </c>
      <c r="J599" s="26">
        <v>1310</v>
      </c>
      <c r="K599" s="26">
        <v>1310</v>
      </c>
      <c r="L599" s="26">
        <v>1310</v>
      </c>
      <c r="M599" s="26">
        <v>1310</v>
      </c>
      <c r="N599" s="26">
        <v>1310</v>
      </c>
      <c r="O599" s="26">
        <v>1310</v>
      </c>
      <c r="P599" s="32"/>
      <c r="Q599" s="32"/>
      <c r="R599" s="32">
        <v>1305</v>
      </c>
      <c r="S599" s="32">
        <v>1310</v>
      </c>
      <c r="T599" s="32">
        <v>1305</v>
      </c>
      <c r="U599" s="32">
        <v>1310</v>
      </c>
      <c r="V599" s="32"/>
      <c r="W599" s="32"/>
      <c r="X599" s="32"/>
      <c r="Y599" s="32"/>
    </row>
    <row r="600" spans="1:25" x14ac:dyDescent="0.65">
      <c r="A600" s="108">
        <v>19</v>
      </c>
      <c r="B600" s="26">
        <v>1460</v>
      </c>
      <c r="C600" s="26">
        <v>1460</v>
      </c>
      <c r="D600" s="26">
        <v>1310</v>
      </c>
      <c r="E600" s="26">
        <v>1310</v>
      </c>
      <c r="F600" s="26">
        <v>1310</v>
      </c>
      <c r="G600" s="26">
        <v>1310</v>
      </c>
      <c r="H600" s="26">
        <v>1310</v>
      </c>
      <c r="I600" s="26">
        <v>1310</v>
      </c>
      <c r="J600" s="26"/>
      <c r="K600" s="26"/>
      <c r="L600" s="26">
        <v>1310</v>
      </c>
      <c r="M600" s="26">
        <v>1310</v>
      </c>
      <c r="N600" s="26"/>
      <c r="O600" s="26"/>
      <c r="P600" s="32"/>
      <c r="Q600" s="32"/>
      <c r="R600" s="32">
        <v>1305</v>
      </c>
      <c r="S600" s="32">
        <v>1310</v>
      </c>
      <c r="T600" s="32">
        <v>1305</v>
      </c>
      <c r="U600" s="32">
        <v>1310</v>
      </c>
      <c r="V600" s="32">
        <v>1305</v>
      </c>
      <c r="W600" s="32">
        <v>1310</v>
      </c>
      <c r="X600" s="32"/>
      <c r="Y600" s="32"/>
    </row>
    <row r="601" spans="1:25" x14ac:dyDescent="0.65">
      <c r="A601" s="108">
        <v>20</v>
      </c>
      <c r="B601" s="26"/>
      <c r="C601" s="26"/>
      <c r="D601" s="26">
        <v>1310</v>
      </c>
      <c r="E601" s="26">
        <v>1310</v>
      </c>
      <c r="F601" s="26">
        <v>1310</v>
      </c>
      <c r="G601" s="26">
        <v>1310</v>
      </c>
      <c r="H601" s="26"/>
      <c r="I601" s="26"/>
      <c r="J601" s="26"/>
      <c r="K601" s="26"/>
      <c r="L601" s="26">
        <v>1310</v>
      </c>
      <c r="M601" s="26">
        <v>1310</v>
      </c>
      <c r="N601" s="26">
        <v>1310</v>
      </c>
      <c r="O601" s="26">
        <v>1310</v>
      </c>
      <c r="P601" s="32">
        <v>1310</v>
      </c>
      <c r="Q601" s="32">
        <v>1310</v>
      </c>
      <c r="R601" s="32">
        <v>1305</v>
      </c>
      <c r="S601" s="32">
        <v>1310</v>
      </c>
      <c r="T601" s="32"/>
      <c r="U601" s="32"/>
      <c r="V601" s="32">
        <v>1305</v>
      </c>
      <c r="W601" s="32">
        <v>1310</v>
      </c>
      <c r="X601" s="32"/>
      <c r="Y601" s="32"/>
    </row>
    <row r="602" spans="1:25" x14ac:dyDescent="0.65">
      <c r="A602" s="108">
        <v>21</v>
      </c>
      <c r="B602" s="26"/>
      <c r="C602" s="26"/>
      <c r="D602" s="26">
        <v>1310</v>
      </c>
      <c r="E602" s="26">
        <v>1310</v>
      </c>
      <c r="F602" s="26">
        <v>1310</v>
      </c>
      <c r="G602" s="26">
        <v>1310</v>
      </c>
      <c r="H602" s="26"/>
      <c r="I602" s="26"/>
      <c r="J602" s="26">
        <v>1310</v>
      </c>
      <c r="K602" s="26">
        <v>1310</v>
      </c>
      <c r="L602" s="26">
        <v>1310</v>
      </c>
      <c r="M602" s="26">
        <v>1310</v>
      </c>
      <c r="N602" s="26"/>
      <c r="O602" s="26"/>
      <c r="P602" s="32">
        <v>1310</v>
      </c>
      <c r="Q602" s="32">
        <v>1310</v>
      </c>
      <c r="R602" s="32">
        <v>1305</v>
      </c>
      <c r="S602" s="32">
        <v>1310</v>
      </c>
      <c r="T602" s="32"/>
      <c r="U602" s="32"/>
      <c r="V602" s="32">
        <v>1305</v>
      </c>
      <c r="W602" s="32">
        <v>1310</v>
      </c>
      <c r="X602" s="32"/>
      <c r="Y602" s="32"/>
    </row>
    <row r="603" spans="1:25" x14ac:dyDescent="0.65">
      <c r="A603" s="108">
        <v>22</v>
      </c>
      <c r="B603" s="26">
        <v>1460</v>
      </c>
      <c r="C603" s="26">
        <v>1460</v>
      </c>
      <c r="D603" s="26">
        <v>1310</v>
      </c>
      <c r="E603" s="26">
        <v>1310</v>
      </c>
      <c r="F603" s="26">
        <v>1310</v>
      </c>
      <c r="G603" s="26">
        <v>1310</v>
      </c>
      <c r="H603" s="26"/>
      <c r="I603" s="26"/>
      <c r="J603" s="26">
        <v>1310</v>
      </c>
      <c r="K603" s="26">
        <v>1310</v>
      </c>
      <c r="L603" s="26">
        <v>1310</v>
      </c>
      <c r="M603" s="26">
        <v>1310</v>
      </c>
      <c r="N603" s="26"/>
      <c r="O603" s="26"/>
      <c r="P603" s="32">
        <v>1310</v>
      </c>
      <c r="Q603" s="32">
        <v>1310</v>
      </c>
      <c r="R603" s="32"/>
      <c r="S603" s="32"/>
      <c r="T603" s="32">
        <v>1305</v>
      </c>
      <c r="U603" s="32">
        <v>1310</v>
      </c>
      <c r="V603" s="32">
        <v>1305</v>
      </c>
      <c r="W603" s="32">
        <v>1310</v>
      </c>
      <c r="X603" s="32"/>
      <c r="Y603" s="32"/>
    </row>
    <row r="604" spans="1:25" x14ac:dyDescent="0.65">
      <c r="A604" s="108">
        <v>23</v>
      </c>
      <c r="B604" s="26">
        <v>1460</v>
      </c>
      <c r="C604" s="26">
        <v>1460</v>
      </c>
      <c r="D604" s="26">
        <v>1310</v>
      </c>
      <c r="E604" s="26">
        <v>1310</v>
      </c>
      <c r="F604" s="26">
        <v>1310</v>
      </c>
      <c r="G604" s="26">
        <v>1310</v>
      </c>
      <c r="H604" s="26"/>
      <c r="I604" s="26"/>
      <c r="J604" s="26">
        <v>1310</v>
      </c>
      <c r="K604" s="26">
        <v>1310</v>
      </c>
      <c r="L604" s="26"/>
      <c r="M604" s="26"/>
      <c r="N604" s="26">
        <v>1310</v>
      </c>
      <c r="O604" s="26">
        <v>1310</v>
      </c>
      <c r="P604" s="32">
        <v>1310</v>
      </c>
      <c r="Q604" s="32">
        <v>1310</v>
      </c>
      <c r="R604" s="32"/>
      <c r="S604" s="32"/>
      <c r="T604" s="32">
        <v>1305</v>
      </c>
      <c r="U604" s="32">
        <v>1310</v>
      </c>
      <c r="V604" s="32">
        <v>1305</v>
      </c>
      <c r="W604" s="32">
        <v>1310</v>
      </c>
      <c r="X604" s="32"/>
      <c r="Y604" s="32"/>
    </row>
    <row r="605" spans="1:25" x14ac:dyDescent="0.65">
      <c r="A605" s="108">
        <v>24</v>
      </c>
      <c r="B605" s="26">
        <v>1460</v>
      </c>
      <c r="C605" s="26">
        <v>1460</v>
      </c>
      <c r="D605" s="26"/>
      <c r="E605" s="26"/>
      <c r="F605" s="26"/>
      <c r="G605" s="26"/>
      <c r="H605" s="26"/>
      <c r="I605" s="26"/>
      <c r="J605" s="26">
        <v>1310</v>
      </c>
      <c r="K605" s="26">
        <v>1310</v>
      </c>
      <c r="L605" s="26"/>
      <c r="M605" s="26"/>
      <c r="N605" s="26">
        <v>1310</v>
      </c>
      <c r="O605" s="26">
        <v>1310</v>
      </c>
      <c r="P605" s="32">
        <v>1310</v>
      </c>
      <c r="Q605" s="32">
        <v>1310</v>
      </c>
      <c r="R605" s="32">
        <v>1305</v>
      </c>
      <c r="S605" s="32">
        <v>1310</v>
      </c>
      <c r="T605" s="32">
        <v>1305</v>
      </c>
      <c r="U605" s="32">
        <v>1310</v>
      </c>
      <c r="V605" s="32"/>
      <c r="W605" s="32"/>
      <c r="X605" s="32"/>
      <c r="Y605" s="32"/>
    </row>
    <row r="606" spans="1:25" x14ac:dyDescent="0.65">
      <c r="A606" s="108">
        <v>25</v>
      </c>
      <c r="B606" s="26">
        <v>1460</v>
      </c>
      <c r="C606" s="26">
        <v>1460</v>
      </c>
      <c r="D606" s="26"/>
      <c r="E606" s="26"/>
      <c r="F606" s="26"/>
      <c r="G606" s="26"/>
      <c r="H606" s="26">
        <v>1310</v>
      </c>
      <c r="I606" s="26">
        <v>1310</v>
      </c>
      <c r="J606" s="26">
        <v>1310</v>
      </c>
      <c r="K606" s="26">
        <v>1310</v>
      </c>
      <c r="L606" s="26">
        <v>1310</v>
      </c>
      <c r="M606" s="26">
        <v>1310</v>
      </c>
      <c r="N606" s="26">
        <v>1310</v>
      </c>
      <c r="O606" s="26">
        <v>1310</v>
      </c>
      <c r="P606" s="32"/>
      <c r="Q606" s="32"/>
      <c r="R606" s="32">
        <v>1305</v>
      </c>
      <c r="S606" s="32">
        <v>1310</v>
      </c>
      <c r="T606" s="32">
        <v>1305</v>
      </c>
      <c r="U606" s="32">
        <v>1310</v>
      </c>
      <c r="V606" s="32"/>
      <c r="W606" s="32"/>
      <c r="X606" s="32"/>
      <c r="Y606" s="32"/>
    </row>
    <row r="607" spans="1:25" x14ac:dyDescent="0.65">
      <c r="A607" s="108">
        <v>26</v>
      </c>
      <c r="B607" s="26">
        <v>1460</v>
      </c>
      <c r="C607" s="26">
        <v>1460</v>
      </c>
      <c r="D607" s="26">
        <v>1310</v>
      </c>
      <c r="E607" s="26">
        <v>1310</v>
      </c>
      <c r="F607" s="26">
        <v>1310</v>
      </c>
      <c r="G607" s="26">
        <v>1310</v>
      </c>
      <c r="H607" s="26">
        <v>1310</v>
      </c>
      <c r="I607" s="26">
        <v>1310</v>
      </c>
      <c r="J607" s="26"/>
      <c r="K607" s="26"/>
      <c r="L607" s="26">
        <v>1310</v>
      </c>
      <c r="M607" s="26">
        <v>1310</v>
      </c>
      <c r="N607" s="26">
        <v>1310</v>
      </c>
      <c r="O607" s="26">
        <v>1310</v>
      </c>
      <c r="P607" s="32"/>
      <c r="Q607" s="32"/>
      <c r="R607" s="32">
        <v>1305</v>
      </c>
      <c r="S607" s="32">
        <v>1310</v>
      </c>
      <c r="T607" s="32">
        <v>1305</v>
      </c>
      <c r="U607" s="32">
        <v>1310</v>
      </c>
      <c r="V607" s="32">
        <v>1305</v>
      </c>
      <c r="W607" s="32">
        <v>1310</v>
      </c>
      <c r="X607" s="32"/>
      <c r="Y607" s="32"/>
    </row>
    <row r="608" spans="1:25" x14ac:dyDescent="0.65">
      <c r="A608" s="108">
        <v>27</v>
      </c>
      <c r="B608" s="26"/>
      <c r="C608" s="26"/>
      <c r="D608" s="26">
        <v>1310</v>
      </c>
      <c r="E608" s="26">
        <v>1310</v>
      </c>
      <c r="F608" s="26"/>
      <c r="G608" s="26"/>
      <c r="H608" s="26">
        <v>1310</v>
      </c>
      <c r="I608" s="26">
        <v>1310</v>
      </c>
      <c r="J608" s="26"/>
      <c r="K608" s="26"/>
      <c r="L608" s="26"/>
      <c r="M608" s="26"/>
      <c r="N608" s="26">
        <v>1310</v>
      </c>
      <c r="O608" s="26">
        <v>1310</v>
      </c>
      <c r="P608" s="32">
        <v>1310</v>
      </c>
      <c r="Q608" s="32">
        <v>1310</v>
      </c>
      <c r="R608" s="32"/>
      <c r="S608" s="32"/>
      <c r="T608" s="32"/>
      <c r="U608" s="32"/>
      <c r="V608" s="32">
        <v>1305</v>
      </c>
      <c r="W608" s="32">
        <v>1310</v>
      </c>
      <c r="X608" s="32"/>
      <c r="Y608" s="32"/>
    </row>
    <row r="609" spans="1:27" x14ac:dyDescent="0.65">
      <c r="A609" s="108">
        <v>28</v>
      </c>
      <c r="B609" s="26"/>
      <c r="C609" s="26"/>
      <c r="D609" s="26">
        <v>1310</v>
      </c>
      <c r="E609" s="26">
        <v>1310</v>
      </c>
      <c r="F609" s="26">
        <v>1310</v>
      </c>
      <c r="G609" s="26">
        <v>1310</v>
      </c>
      <c r="H609" s="26"/>
      <c r="I609" s="26"/>
      <c r="J609" s="26">
        <v>1310</v>
      </c>
      <c r="K609" s="26">
        <v>1310</v>
      </c>
      <c r="L609" s="26"/>
      <c r="M609" s="26"/>
      <c r="N609" s="26"/>
      <c r="O609" s="26"/>
      <c r="P609" s="32">
        <v>1305</v>
      </c>
      <c r="Q609" s="32">
        <v>1310</v>
      </c>
      <c r="R609" s="32">
        <v>1305</v>
      </c>
      <c r="S609" s="32">
        <v>1310</v>
      </c>
      <c r="T609" s="32"/>
      <c r="U609" s="32"/>
      <c r="V609" s="32">
        <v>1305</v>
      </c>
      <c r="W609" s="32">
        <v>1310</v>
      </c>
      <c r="X609" s="32"/>
      <c r="Y609" s="32"/>
    </row>
    <row r="610" spans="1:27" x14ac:dyDescent="0.65">
      <c r="A610" s="108">
        <v>29</v>
      </c>
      <c r="B610" s="26">
        <v>1460</v>
      </c>
      <c r="C610" s="26">
        <v>1460</v>
      </c>
      <c r="D610" s="27"/>
      <c r="E610" s="27"/>
      <c r="F610" s="26">
        <v>1310</v>
      </c>
      <c r="G610" s="26">
        <v>1310</v>
      </c>
      <c r="H610" s="26"/>
      <c r="I610" s="26"/>
      <c r="J610" s="26">
        <v>1310</v>
      </c>
      <c r="K610" s="26">
        <v>1310</v>
      </c>
      <c r="L610" s="26"/>
      <c r="M610" s="26"/>
      <c r="N610" s="26"/>
      <c r="O610" s="26"/>
      <c r="P610" s="32">
        <v>1305</v>
      </c>
      <c r="Q610" s="32">
        <v>1310</v>
      </c>
      <c r="R610" s="32"/>
      <c r="S610" s="32"/>
      <c r="T610" s="32">
        <v>1305</v>
      </c>
      <c r="U610" s="32">
        <v>1310</v>
      </c>
      <c r="V610" s="32">
        <v>1305</v>
      </c>
      <c r="W610" s="32">
        <v>1310</v>
      </c>
      <c r="X610" s="32"/>
      <c r="Y610" s="32"/>
    </row>
    <row r="611" spans="1:27" x14ac:dyDescent="0.65">
      <c r="A611" s="108">
        <v>30</v>
      </c>
      <c r="B611" s="26">
        <v>1460</v>
      </c>
      <c r="C611" s="26">
        <v>1460</v>
      </c>
      <c r="D611" s="26"/>
      <c r="E611" s="26"/>
      <c r="F611" s="26">
        <v>1310</v>
      </c>
      <c r="G611" s="26">
        <v>1310</v>
      </c>
      <c r="H611" s="26">
        <v>1310</v>
      </c>
      <c r="I611" s="26">
        <v>1310</v>
      </c>
      <c r="J611" s="26">
        <v>1310</v>
      </c>
      <c r="K611" s="26">
        <v>1310</v>
      </c>
      <c r="L611" s="26"/>
      <c r="M611" s="26"/>
      <c r="N611" s="26"/>
      <c r="O611" s="26"/>
      <c r="P611" s="32">
        <v>1305</v>
      </c>
      <c r="Q611" s="32">
        <v>1310</v>
      </c>
      <c r="R611" s="32"/>
      <c r="S611" s="32"/>
      <c r="T611" s="32">
        <v>1305</v>
      </c>
      <c r="U611" s="32">
        <v>1310</v>
      </c>
      <c r="V611" s="32">
        <v>1305</v>
      </c>
      <c r="W611" s="32">
        <v>1310</v>
      </c>
      <c r="X611" s="32"/>
      <c r="Y611" s="32"/>
    </row>
    <row r="612" spans="1:27" ht="25.5" thickBot="1" x14ac:dyDescent="0.7">
      <c r="A612" s="109">
        <v>31</v>
      </c>
      <c r="B612" s="26">
        <v>1460</v>
      </c>
      <c r="C612" s="26">
        <v>1460</v>
      </c>
      <c r="D612" s="56"/>
      <c r="E612" s="56"/>
      <c r="F612" s="26"/>
      <c r="G612" s="26"/>
      <c r="H612" s="26"/>
      <c r="I612" s="26"/>
      <c r="J612" s="26">
        <v>1310</v>
      </c>
      <c r="K612" s="26">
        <v>1310</v>
      </c>
      <c r="L612" s="26"/>
      <c r="M612" s="52"/>
      <c r="N612" s="32">
        <v>1310</v>
      </c>
      <c r="O612" s="32">
        <v>1310</v>
      </c>
      <c r="P612" s="32">
        <v>1305</v>
      </c>
      <c r="Q612" s="32">
        <v>1310</v>
      </c>
      <c r="R612" s="32"/>
      <c r="S612" s="32"/>
      <c r="T612" s="32">
        <v>1305</v>
      </c>
      <c r="U612" s="32">
        <v>1310</v>
      </c>
      <c r="V612" s="32"/>
      <c r="W612" s="32"/>
      <c r="X612" s="32"/>
      <c r="Y612" s="32"/>
    </row>
    <row r="613" spans="1:27" ht="25.5" thickBot="1" x14ac:dyDescent="0.7">
      <c r="A613" s="17" t="s">
        <v>15</v>
      </c>
      <c r="B613" s="197">
        <f>AVERAGE(B582:B612)</f>
        <v>1460</v>
      </c>
      <c r="C613" s="197">
        <f>AVERAGE(C582:C612)</f>
        <v>1460</v>
      </c>
      <c r="D613" s="197">
        <f t="shared" ref="D613:E613" si="37">AVERAGE(D582:D612)</f>
        <v>1349.4736842105262</v>
      </c>
      <c r="E613" s="197">
        <f t="shared" si="37"/>
        <v>1349.4736842105262</v>
      </c>
      <c r="F613" s="197">
        <f t="shared" ref="F613" si="38">AVERAGE(F582:F612)</f>
        <v>1310</v>
      </c>
      <c r="G613" s="197">
        <f t="shared" ref="G613" si="39">AVERAGE(G582:G612)</f>
        <v>1310</v>
      </c>
      <c r="H613" s="197">
        <f t="shared" ref="H613" si="40">AVERAGE(H582:H612)</f>
        <v>1310</v>
      </c>
      <c r="I613" s="197">
        <f t="shared" ref="I613" si="41">AVERAGE(I582:I612)</f>
        <v>1310</v>
      </c>
      <c r="J613" s="197">
        <f t="shared" ref="J613" si="42">AVERAGE(J582:J612)</f>
        <v>1310</v>
      </c>
      <c r="K613" s="197">
        <f t="shared" ref="K613" si="43">AVERAGE(K582:K612)</f>
        <v>1310</v>
      </c>
      <c r="L613" s="197">
        <f t="shared" ref="L613" si="44">AVERAGE(L582:L612)</f>
        <v>1310</v>
      </c>
      <c r="M613" s="197">
        <f t="shared" ref="M613" si="45">AVERAGE(M582:M612)</f>
        <v>1310</v>
      </c>
      <c r="N613" s="197">
        <f t="shared" ref="N613" si="46">AVERAGE(N582:N612)</f>
        <v>1310</v>
      </c>
      <c r="O613" s="197">
        <f t="shared" ref="O613" si="47">AVERAGE(O582:O612)</f>
        <v>1310</v>
      </c>
      <c r="P613" s="197">
        <f>AVERAGE(P582:P612)</f>
        <v>1309.1304347826087</v>
      </c>
      <c r="Q613" s="197">
        <f t="shared" ref="Q613" si="48">AVERAGE(Q582:Q612)</f>
        <v>1310</v>
      </c>
      <c r="R613" s="197">
        <f t="shared" ref="R613" si="49">AVERAGE(R582:R612)</f>
        <v>1305</v>
      </c>
      <c r="S613" s="197">
        <f t="shared" ref="S613:W613" si="50">AVERAGE(S582:S612)</f>
        <v>1310</v>
      </c>
      <c r="T613" s="197">
        <f t="shared" si="50"/>
        <v>1305</v>
      </c>
      <c r="U613" s="197">
        <f t="shared" si="50"/>
        <v>1310</v>
      </c>
      <c r="V613" s="197">
        <f t="shared" si="50"/>
        <v>1305</v>
      </c>
      <c r="W613" s="197">
        <f t="shared" si="50"/>
        <v>1310</v>
      </c>
      <c r="X613" s="197"/>
      <c r="Y613" s="197"/>
      <c r="Z613" s="57"/>
      <c r="AA613" s="57"/>
    </row>
    <row r="616" spans="1:27" x14ac:dyDescent="0.65">
      <c r="D616" s="18"/>
    </row>
  </sheetData>
  <mergeCells count="243">
    <mergeCell ref="A542:Y542"/>
    <mergeCell ref="A543:Y543"/>
    <mergeCell ref="A544:A545"/>
    <mergeCell ref="B544:C544"/>
    <mergeCell ref="D544:E544"/>
    <mergeCell ref="F544:G544"/>
    <mergeCell ref="H544:I544"/>
    <mergeCell ref="J544:K544"/>
    <mergeCell ref="L544:M544"/>
    <mergeCell ref="N544:O544"/>
    <mergeCell ref="P544:Q544"/>
    <mergeCell ref="R544:S544"/>
    <mergeCell ref="T544:U544"/>
    <mergeCell ref="V544:W544"/>
    <mergeCell ref="X544:Y544"/>
    <mergeCell ref="A1:M1"/>
    <mergeCell ref="A2:M2"/>
    <mergeCell ref="A37:Y37"/>
    <mergeCell ref="A38:Y38"/>
    <mergeCell ref="A39:A40"/>
    <mergeCell ref="B39:C39"/>
    <mergeCell ref="D39:E39"/>
    <mergeCell ref="F39:G39"/>
    <mergeCell ref="H39:I39"/>
    <mergeCell ref="J39:K39"/>
    <mergeCell ref="N75:O75"/>
    <mergeCell ref="P75:Q75"/>
    <mergeCell ref="R75:S75"/>
    <mergeCell ref="T75:U75"/>
    <mergeCell ref="V75:W75"/>
    <mergeCell ref="X75:Y75"/>
    <mergeCell ref="X39:Y39"/>
    <mergeCell ref="A73:Y73"/>
    <mergeCell ref="A74:Y74"/>
    <mergeCell ref="A75:A76"/>
    <mergeCell ref="B75:C75"/>
    <mergeCell ref="D75:E75"/>
    <mergeCell ref="F75:G75"/>
    <mergeCell ref="H75:I75"/>
    <mergeCell ref="J75:K75"/>
    <mergeCell ref="L75:M75"/>
    <mergeCell ref="L39:M39"/>
    <mergeCell ref="N39:O39"/>
    <mergeCell ref="P39:Q39"/>
    <mergeCell ref="R39:S39"/>
    <mergeCell ref="T39:U39"/>
    <mergeCell ref="V39:W39"/>
    <mergeCell ref="P111:Q111"/>
    <mergeCell ref="R111:S111"/>
    <mergeCell ref="T111:U111"/>
    <mergeCell ref="V111:W111"/>
    <mergeCell ref="X111:Y111"/>
    <mergeCell ref="A145:Y145"/>
    <mergeCell ref="A109:Y109"/>
    <mergeCell ref="A110:Y110"/>
    <mergeCell ref="A111:A112"/>
    <mergeCell ref="B111:C111"/>
    <mergeCell ref="D111:E111"/>
    <mergeCell ref="F111:G111"/>
    <mergeCell ref="H111:I111"/>
    <mergeCell ref="J111:K111"/>
    <mergeCell ref="L111:M111"/>
    <mergeCell ref="N111:O111"/>
    <mergeCell ref="A146:Y146"/>
    <mergeCell ref="A147:A148"/>
    <mergeCell ref="B147:C147"/>
    <mergeCell ref="D147:E147"/>
    <mergeCell ref="F147:G147"/>
    <mergeCell ref="H147:I147"/>
    <mergeCell ref="J147:K147"/>
    <mergeCell ref="L147:M147"/>
    <mergeCell ref="N147:O147"/>
    <mergeCell ref="P147:Q147"/>
    <mergeCell ref="D183:E183"/>
    <mergeCell ref="F183:G183"/>
    <mergeCell ref="H183:I183"/>
    <mergeCell ref="J183:K183"/>
    <mergeCell ref="R147:S147"/>
    <mergeCell ref="T147:U147"/>
    <mergeCell ref="V147:W147"/>
    <mergeCell ref="X147:Y147"/>
    <mergeCell ref="A181:Y181"/>
    <mergeCell ref="A182:Y182"/>
    <mergeCell ref="N219:O219"/>
    <mergeCell ref="P219:Q219"/>
    <mergeCell ref="R219:S219"/>
    <mergeCell ref="T219:U219"/>
    <mergeCell ref="V219:W219"/>
    <mergeCell ref="X219:Y219"/>
    <mergeCell ref="X183:Y183"/>
    <mergeCell ref="A217:Y217"/>
    <mergeCell ref="A218:Y218"/>
    <mergeCell ref="A219:A220"/>
    <mergeCell ref="B219:C219"/>
    <mergeCell ref="D219:E219"/>
    <mergeCell ref="F219:G219"/>
    <mergeCell ref="H219:I219"/>
    <mergeCell ref="J219:K219"/>
    <mergeCell ref="L219:M219"/>
    <mergeCell ref="L183:M183"/>
    <mergeCell ref="N183:O183"/>
    <mergeCell ref="P183:Q183"/>
    <mergeCell ref="R183:S183"/>
    <mergeCell ref="T183:U183"/>
    <mergeCell ref="V183:W183"/>
    <mergeCell ref="A183:A184"/>
    <mergeCell ref="B183:C183"/>
    <mergeCell ref="P255:Q255"/>
    <mergeCell ref="R255:S255"/>
    <mergeCell ref="T255:U255"/>
    <mergeCell ref="V255:W255"/>
    <mergeCell ref="X255:Y255"/>
    <mergeCell ref="A289:Y289"/>
    <mergeCell ref="A253:Y253"/>
    <mergeCell ref="A254:Y254"/>
    <mergeCell ref="A255:A256"/>
    <mergeCell ref="B255:C255"/>
    <mergeCell ref="D255:E255"/>
    <mergeCell ref="F255:G255"/>
    <mergeCell ref="H255:I255"/>
    <mergeCell ref="J255:K255"/>
    <mergeCell ref="L255:M255"/>
    <mergeCell ref="N255:O255"/>
    <mergeCell ref="A290:Y290"/>
    <mergeCell ref="A291:A292"/>
    <mergeCell ref="B291:C291"/>
    <mergeCell ref="D291:E291"/>
    <mergeCell ref="F291:G291"/>
    <mergeCell ref="H291:I291"/>
    <mergeCell ref="J291:K291"/>
    <mergeCell ref="L291:M291"/>
    <mergeCell ref="N291:O291"/>
    <mergeCell ref="P291:Q291"/>
    <mergeCell ref="D327:E327"/>
    <mergeCell ref="F327:G327"/>
    <mergeCell ref="H327:I327"/>
    <mergeCell ref="J327:K327"/>
    <mergeCell ref="R291:S291"/>
    <mergeCell ref="T291:U291"/>
    <mergeCell ref="V291:W291"/>
    <mergeCell ref="X291:Y291"/>
    <mergeCell ref="A325:Y325"/>
    <mergeCell ref="A326:Y326"/>
    <mergeCell ref="N363:O363"/>
    <mergeCell ref="P363:Q363"/>
    <mergeCell ref="R363:S363"/>
    <mergeCell ref="T363:U363"/>
    <mergeCell ref="V363:W363"/>
    <mergeCell ref="X363:Y363"/>
    <mergeCell ref="X327:Y327"/>
    <mergeCell ref="A361:Y361"/>
    <mergeCell ref="A362:Y362"/>
    <mergeCell ref="A363:A364"/>
    <mergeCell ref="B363:C363"/>
    <mergeCell ref="D363:E363"/>
    <mergeCell ref="F363:G363"/>
    <mergeCell ref="H363:I363"/>
    <mergeCell ref="J363:K363"/>
    <mergeCell ref="L363:M363"/>
    <mergeCell ref="L327:M327"/>
    <mergeCell ref="N327:O327"/>
    <mergeCell ref="P327:Q327"/>
    <mergeCell ref="R327:S327"/>
    <mergeCell ref="T327:U327"/>
    <mergeCell ref="V327:W327"/>
    <mergeCell ref="A327:A328"/>
    <mergeCell ref="B327:C327"/>
    <mergeCell ref="P399:Q399"/>
    <mergeCell ref="R399:S399"/>
    <mergeCell ref="T399:U399"/>
    <mergeCell ref="V399:W399"/>
    <mergeCell ref="X399:Y399"/>
    <mergeCell ref="A433:Y433"/>
    <mergeCell ref="A397:Y397"/>
    <mergeCell ref="A398:Y398"/>
    <mergeCell ref="A399:A400"/>
    <mergeCell ref="B399:C399"/>
    <mergeCell ref="D399:E399"/>
    <mergeCell ref="F399:G399"/>
    <mergeCell ref="H399:I399"/>
    <mergeCell ref="J399:K399"/>
    <mergeCell ref="L399:M399"/>
    <mergeCell ref="N399:O399"/>
    <mergeCell ref="A434:Y434"/>
    <mergeCell ref="A435:A436"/>
    <mergeCell ref="B435:C435"/>
    <mergeCell ref="D435:E435"/>
    <mergeCell ref="F435:G435"/>
    <mergeCell ref="H435:I435"/>
    <mergeCell ref="J435:K435"/>
    <mergeCell ref="L435:M435"/>
    <mergeCell ref="N435:O435"/>
    <mergeCell ref="P435:Q435"/>
    <mergeCell ref="B471:C471"/>
    <mergeCell ref="D471:E471"/>
    <mergeCell ref="F471:G471"/>
    <mergeCell ref="H471:I471"/>
    <mergeCell ref="J471:K471"/>
    <mergeCell ref="R435:S435"/>
    <mergeCell ref="T435:U435"/>
    <mergeCell ref="V435:W435"/>
    <mergeCell ref="X435:Y435"/>
    <mergeCell ref="A469:Y469"/>
    <mergeCell ref="A470:Y470"/>
    <mergeCell ref="X508:Y508"/>
    <mergeCell ref="L508:M508"/>
    <mergeCell ref="N508:O508"/>
    <mergeCell ref="P508:Q508"/>
    <mergeCell ref="R508:S508"/>
    <mergeCell ref="T508:U508"/>
    <mergeCell ref="V508:W508"/>
    <mergeCell ref="X471:Y471"/>
    <mergeCell ref="A505:X505"/>
    <mergeCell ref="A506:Y506"/>
    <mergeCell ref="A507:Y507"/>
    <mergeCell ref="A508:A509"/>
    <mergeCell ref="B508:C508"/>
    <mergeCell ref="D508:E508"/>
    <mergeCell ref="F508:G508"/>
    <mergeCell ref="H508:I508"/>
    <mergeCell ref="J508:K508"/>
    <mergeCell ref="L471:M471"/>
    <mergeCell ref="N471:O471"/>
    <mergeCell ref="P471:Q471"/>
    <mergeCell ref="R471:S471"/>
    <mergeCell ref="T471:U471"/>
    <mergeCell ref="V471:W471"/>
    <mergeCell ref="A471:A472"/>
    <mergeCell ref="A578:Y578"/>
    <mergeCell ref="A579:Y579"/>
    <mergeCell ref="A580:A581"/>
    <mergeCell ref="B580:C580"/>
    <mergeCell ref="D580:E580"/>
    <mergeCell ref="F580:G580"/>
    <mergeCell ref="H580:I580"/>
    <mergeCell ref="J580:K580"/>
    <mergeCell ref="L580:M580"/>
    <mergeCell ref="N580:O580"/>
    <mergeCell ref="P580:Q580"/>
    <mergeCell ref="R580:S580"/>
    <mergeCell ref="T580:U580"/>
    <mergeCell ref="V580:W580"/>
    <mergeCell ref="X580:Y580"/>
  </mergeCells>
  <pageMargins left="0.7" right="0.7" top="0.75" bottom="0.75" header="0.3" footer="0.3"/>
  <pageSetup scale="48" orientation="landscape" r:id="rId1"/>
  <rowBreaks count="1" manualBreakCount="1">
    <brk id="505" max="16383" man="1"/>
  </rowBreaks>
  <colBreaks count="2" manualBreakCount="2">
    <brk id="25" max="1048575" man="1"/>
    <brk id="2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21"/>
  <sheetViews>
    <sheetView topLeftCell="T1" zoomScaleNormal="100" workbookViewId="0">
      <selection activeCell="AE17" sqref="AE17"/>
    </sheetView>
  </sheetViews>
  <sheetFormatPr defaultRowHeight="15.75" x14ac:dyDescent="0.25"/>
  <cols>
    <col min="1" max="1" width="9.140625" style="83"/>
    <col min="2" max="2" width="9.140625" style="86"/>
    <col min="3" max="3" width="11.28515625" style="86" customWidth="1"/>
    <col min="4" max="4" width="9.140625" style="86"/>
    <col min="5" max="5" width="10.85546875" style="86" customWidth="1"/>
    <col min="6" max="6" width="9.140625" style="86"/>
    <col min="7" max="7" width="11.7109375" style="86" customWidth="1"/>
    <col min="8" max="8" width="9.140625" style="86"/>
    <col min="9" max="9" width="11.42578125" style="86" customWidth="1"/>
    <col min="10" max="10" width="9.140625" style="86"/>
    <col min="11" max="11" width="11" style="86" customWidth="1"/>
    <col min="12" max="12" width="9.140625" style="86"/>
    <col min="13" max="13" width="11.28515625" style="86" customWidth="1"/>
    <col min="14" max="14" width="9.140625" style="86"/>
    <col min="15" max="15" width="10.42578125" style="86" customWidth="1"/>
    <col min="16" max="16" width="9.140625" style="86"/>
    <col min="17" max="17" width="10.85546875" style="86" customWidth="1"/>
    <col min="18" max="18" width="9.140625" style="86"/>
    <col min="19" max="19" width="11" style="86" customWidth="1"/>
    <col min="20" max="20" width="9.140625" style="86"/>
    <col min="21" max="21" width="11" style="86" customWidth="1"/>
    <col min="22" max="22" width="9.140625" style="86"/>
    <col min="23" max="23" width="11.42578125" style="86" customWidth="1"/>
    <col min="24" max="24" width="9.140625" style="86"/>
    <col min="25" max="25" width="11" style="86" customWidth="1"/>
    <col min="26" max="26" width="12.42578125" style="86" customWidth="1"/>
    <col min="27" max="27" width="11" style="86" customWidth="1"/>
    <col min="28" max="28" width="10.7109375" style="83" bestFit="1" customWidth="1"/>
    <col min="29" max="16384" width="9.140625" style="83"/>
  </cols>
  <sheetData>
    <row r="1" spans="1:28" ht="30" x14ac:dyDescent="0.25">
      <c r="A1" s="224" t="s">
        <v>78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</row>
    <row r="2" spans="1:28" ht="30.75" thickBot="1" x14ac:dyDescent="0.3">
      <c r="A2" s="235" t="s">
        <v>71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</row>
    <row r="3" spans="1:28" s="1" customFormat="1" ht="25.5" thickBot="1" x14ac:dyDescent="0.7">
      <c r="A3" s="82" t="s">
        <v>67</v>
      </c>
      <c r="B3" s="231" t="s">
        <v>3</v>
      </c>
      <c r="C3" s="231"/>
      <c r="D3" s="231" t="s">
        <v>4</v>
      </c>
      <c r="E3" s="231"/>
      <c r="F3" s="231" t="s">
        <v>72</v>
      </c>
      <c r="G3" s="231"/>
      <c r="H3" s="231" t="s">
        <v>6</v>
      </c>
      <c r="I3" s="231"/>
      <c r="J3" s="231" t="s">
        <v>73</v>
      </c>
      <c r="K3" s="231"/>
      <c r="L3" s="231" t="s">
        <v>41</v>
      </c>
      <c r="M3" s="231"/>
      <c r="N3" s="232" t="s">
        <v>9</v>
      </c>
      <c r="O3" s="233"/>
      <c r="P3" s="231" t="s">
        <v>10</v>
      </c>
      <c r="Q3" s="231"/>
      <c r="R3" s="231" t="s">
        <v>11</v>
      </c>
      <c r="S3" s="231"/>
      <c r="T3" s="231" t="s">
        <v>12</v>
      </c>
      <c r="U3" s="231"/>
      <c r="V3" s="231" t="s">
        <v>21</v>
      </c>
      <c r="W3" s="231"/>
      <c r="X3" s="231" t="s">
        <v>14</v>
      </c>
      <c r="Y3" s="231"/>
      <c r="Z3" s="231" t="s">
        <v>68</v>
      </c>
      <c r="AA3" s="231"/>
    </row>
    <row r="4" spans="1:28" s="1" customFormat="1" ht="25.5" thickBot="1" x14ac:dyDescent="0.7">
      <c r="A4" s="43">
        <v>2007</v>
      </c>
      <c r="B4" s="236">
        <v>1315</v>
      </c>
      <c r="C4" s="237"/>
      <c r="D4" s="236">
        <v>1297</v>
      </c>
      <c r="E4" s="237"/>
      <c r="F4" s="236">
        <v>1288</v>
      </c>
      <c r="G4" s="237"/>
      <c r="H4" s="236">
        <v>1282</v>
      </c>
      <c r="I4" s="237"/>
      <c r="J4" s="236">
        <v>1273</v>
      </c>
      <c r="K4" s="237"/>
      <c r="L4" s="236">
        <v>1267</v>
      </c>
      <c r="M4" s="237"/>
      <c r="N4" s="236">
        <v>1260</v>
      </c>
      <c r="O4" s="237"/>
      <c r="P4" s="236">
        <v>1250</v>
      </c>
      <c r="Q4" s="237"/>
      <c r="R4" s="236">
        <v>1245</v>
      </c>
      <c r="S4" s="237"/>
      <c r="T4" s="236">
        <v>1242</v>
      </c>
      <c r="U4" s="237"/>
      <c r="V4" s="236">
        <v>1237</v>
      </c>
      <c r="W4" s="237"/>
      <c r="X4" s="236">
        <v>1227</v>
      </c>
      <c r="Y4" s="237"/>
      <c r="Z4" s="238">
        <f>AVERAGE(B4,D4,F4,H4,J4,L4,N4,P4,R4,T4,V4,X4)</f>
        <v>1265.25</v>
      </c>
      <c r="AA4" s="239"/>
    </row>
    <row r="5" spans="1:28" s="1" customFormat="1" ht="25.5" thickBot="1" x14ac:dyDescent="0.7">
      <c r="A5" s="43"/>
      <c r="B5" s="195" t="s">
        <v>74</v>
      </c>
      <c r="C5" s="195" t="s">
        <v>75</v>
      </c>
      <c r="D5" s="195" t="s">
        <v>74</v>
      </c>
      <c r="E5" s="195" t="s">
        <v>75</v>
      </c>
      <c r="F5" s="195" t="s">
        <v>74</v>
      </c>
      <c r="G5" s="195" t="s">
        <v>75</v>
      </c>
      <c r="H5" s="195" t="s">
        <v>74</v>
      </c>
      <c r="I5" s="195" t="s">
        <v>75</v>
      </c>
      <c r="J5" s="195" t="s">
        <v>74</v>
      </c>
      <c r="K5" s="195" t="s">
        <v>75</v>
      </c>
      <c r="L5" s="195" t="s">
        <v>74</v>
      </c>
      <c r="M5" s="195" t="s">
        <v>75</v>
      </c>
      <c r="N5" s="195" t="s">
        <v>74</v>
      </c>
      <c r="O5" s="195" t="s">
        <v>75</v>
      </c>
      <c r="P5" s="195" t="s">
        <v>74</v>
      </c>
      <c r="Q5" s="195" t="s">
        <v>75</v>
      </c>
      <c r="R5" s="195" t="s">
        <v>74</v>
      </c>
      <c r="S5" s="195" t="s">
        <v>75</v>
      </c>
      <c r="T5" s="195" t="s">
        <v>74</v>
      </c>
      <c r="U5" s="195" t="s">
        <v>75</v>
      </c>
      <c r="V5" s="195" t="s">
        <v>74</v>
      </c>
      <c r="W5" s="195" t="s">
        <v>75</v>
      </c>
      <c r="X5" s="195" t="s">
        <v>74</v>
      </c>
      <c r="Y5" s="195" t="s">
        <v>75</v>
      </c>
      <c r="Z5" s="195" t="s">
        <v>74</v>
      </c>
      <c r="AA5" s="195" t="s">
        <v>75</v>
      </c>
    </row>
    <row r="6" spans="1:28" ht="25.5" customHeight="1" x14ac:dyDescent="0.65">
      <c r="A6" s="43">
        <v>2008</v>
      </c>
      <c r="B6" s="84">
        <v>1215</v>
      </c>
      <c r="C6" s="84">
        <v>1215</v>
      </c>
      <c r="D6" s="84">
        <v>1211</v>
      </c>
      <c r="E6" s="84">
        <v>1211</v>
      </c>
      <c r="F6" s="84">
        <v>1209</v>
      </c>
      <c r="G6" s="84">
        <v>1209</v>
      </c>
      <c r="H6" s="84">
        <v>1204</v>
      </c>
      <c r="I6" s="84">
        <v>1204</v>
      </c>
      <c r="J6" s="84">
        <v>1201</v>
      </c>
      <c r="K6" s="84">
        <v>1201</v>
      </c>
      <c r="L6" s="84">
        <v>1199</v>
      </c>
      <c r="M6" s="84">
        <v>1199</v>
      </c>
      <c r="N6" s="84">
        <v>1196</v>
      </c>
      <c r="O6" s="84">
        <v>1196</v>
      </c>
      <c r="P6" s="84">
        <v>1190</v>
      </c>
      <c r="Q6" s="84">
        <v>1190</v>
      </c>
      <c r="R6" s="84">
        <v>1183</v>
      </c>
      <c r="S6" s="84">
        <v>1183</v>
      </c>
      <c r="T6" s="84">
        <v>1181</v>
      </c>
      <c r="U6" s="84">
        <v>1181</v>
      </c>
      <c r="V6" s="84">
        <v>1180</v>
      </c>
      <c r="W6" s="84">
        <v>1178</v>
      </c>
      <c r="X6" s="84">
        <v>1178</v>
      </c>
      <c r="Y6" s="84">
        <v>1175</v>
      </c>
      <c r="Z6" s="87">
        <f>AVERAGE(B6,D6,F6,H6,J6,L6,N6,P6,R6,T6,V6,X6)</f>
        <v>1195.5833333333333</v>
      </c>
      <c r="AA6" s="94">
        <f>AVERAGE(C6,E6,G6,I6,K6,M6,O6,Q6,S6,U6,W6,Y6)</f>
        <v>1195.1666666666667</v>
      </c>
      <c r="AB6" s="89"/>
    </row>
    <row r="7" spans="1:28" ht="25.5" customHeight="1" x14ac:dyDescent="0.65">
      <c r="A7" s="43">
        <v>2009</v>
      </c>
      <c r="B7" s="84">
        <v>1176</v>
      </c>
      <c r="C7" s="84">
        <v>1173</v>
      </c>
      <c r="D7" s="84">
        <v>1176</v>
      </c>
      <c r="E7" s="84">
        <v>1173</v>
      </c>
      <c r="F7" s="84">
        <v>1176</v>
      </c>
      <c r="G7" s="84">
        <v>1173</v>
      </c>
      <c r="H7" s="84">
        <v>1176</v>
      </c>
      <c r="I7" s="84">
        <v>1173</v>
      </c>
      <c r="J7" s="84">
        <v>1176</v>
      </c>
      <c r="K7" s="84">
        <v>1173</v>
      </c>
      <c r="L7" s="84">
        <v>1178</v>
      </c>
      <c r="M7" s="84">
        <v>1173</v>
      </c>
      <c r="N7" s="84">
        <v>1183</v>
      </c>
      <c r="O7" s="84">
        <v>1173</v>
      </c>
      <c r="P7" s="84">
        <v>1183</v>
      </c>
      <c r="Q7" s="84">
        <v>1173</v>
      </c>
      <c r="R7" s="84">
        <v>1183</v>
      </c>
      <c r="S7" s="84">
        <v>1173</v>
      </c>
      <c r="T7" s="84">
        <v>1183</v>
      </c>
      <c r="U7" s="84">
        <v>1173</v>
      </c>
      <c r="V7" s="84">
        <v>1183</v>
      </c>
      <c r="W7" s="84">
        <v>1173</v>
      </c>
      <c r="X7" s="84">
        <v>1183</v>
      </c>
      <c r="Y7" s="84">
        <v>1173</v>
      </c>
      <c r="Z7" s="87">
        <f t="shared" ref="Z7:Z17" si="0">AVERAGE(B7,D7,F7,H7,J7,L7,N7,P7,R7,T7,V7,X7)</f>
        <v>1179.6666666666667</v>
      </c>
      <c r="AA7" s="95">
        <f t="shared" ref="AA7:AA18" si="1">AVERAGE(C7,E7,G7,I7,K7,M7,O7,Q7,S7,U7,W7,Y7)</f>
        <v>1173</v>
      </c>
      <c r="AB7" s="89"/>
    </row>
    <row r="8" spans="1:28" ht="25.5" customHeight="1" x14ac:dyDescent="0.65">
      <c r="A8" s="43">
        <v>2010</v>
      </c>
      <c r="B8" s="84">
        <v>1183</v>
      </c>
      <c r="C8" s="84">
        <v>1173</v>
      </c>
      <c r="D8" s="84">
        <v>1183</v>
      </c>
      <c r="E8" s="84">
        <v>1173</v>
      </c>
      <c r="F8" s="84">
        <v>1183</v>
      </c>
      <c r="G8" s="84">
        <v>1173</v>
      </c>
      <c r="H8" s="84">
        <v>1183</v>
      </c>
      <c r="I8" s="84">
        <v>1175</v>
      </c>
      <c r="J8" s="84">
        <v>1183</v>
      </c>
      <c r="K8" s="84">
        <v>1175</v>
      </c>
      <c r="L8" s="84">
        <v>1183</v>
      </c>
      <c r="M8" s="84">
        <v>1176</v>
      </c>
      <c r="N8" s="84">
        <v>1183</v>
      </c>
      <c r="O8" s="84">
        <v>1177</v>
      </c>
      <c r="P8" s="84">
        <v>1183</v>
      </c>
      <c r="Q8" s="84">
        <v>1179</v>
      </c>
      <c r="R8" s="84">
        <v>1183</v>
      </c>
      <c r="S8" s="84">
        <v>1179</v>
      </c>
      <c r="T8" s="84">
        <v>1183</v>
      </c>
      <c r="U8" s="84">
        <v>1179</v>
      </c>
      <c r="V8" s="84">
        <v>1183</v>
      </c>
      <c r="W8" s="84">
        <v>1181</v>
      </c>
      <c r="X8" s="84">
        <v>1183</v>
      </c>
      <c r="Y8" s="84">
        <v>1183</v>
      </c>
      <c r="Z8" s="87">
        <f t="shared" si="0"/>
        <v>1183</v>
      </c>
      <c r="AA8" s="95">
        <f t="shared" si="1"/>
        <v>1176.9166666666667</v>
      </c>
      <c r="AB8" s="89"/>
    </row>
    <row r="9" spans="1:28" ht="25.5" customHeight="1" x14ac:dyDescent="0.65">
      <c r="A9" s="43">
        <v>2011</v>
      </c>
      <c r="B9" s="84">
        <v>1183</v>
      </c>
      <c r="C9" s="84">
        <v>1183</v>
      </c>
      <c r="D9" s="84">
        <v>1183</v>
      </c>
      <c r="E9" s="84">
        <v>1183</v>
      </c>
      <c r="F9" s="84">
        <v>1183</v>
      </c>
      <c r="G9" s="84">
        <v>1183</v>
      </c>
      <c r="H9" s="84">
        <v>1183</v>
      </c>
      <c r="I9" s="84">
        <v>1183</v>
      </c>
      <c r="J9" s="84">
        <v>1183</v>
      </c>
      <c r="K9" s="84">
        <v>1183</v>
      </c>
      <c r="L9" s="84">
        <v>1183</v>
      </c>
      <c r="M9" s="84">
        <v>1183</v>
      </c>
      <c r="N9" s="84">
        <v>1183</v>
      </c>
      <c r="O9" s="84">
        <v>1183</v>
      </c>
      <c r="P9" s="84">
        <v>1183</v>
      </c>
      <c r="Q9" s="84">
        <v>1183</v>
      </c>
      <c r="R9" s="84">
        <v>1183</v>
      </c>
      <c r="S9" s="84">
        <v>1183</v>
      </c>
      <c r="T9" s="84">
        <v>1183</v>
      </c>
      <c r="U9" s="84">
        <v>1183</v>
      </c>
      <c r="V9" s="84">
        <v>1183</v>
      </c>
      <c r="W9" s="84">
        <v>1183</v>
      </c>
      <c r="X9" s="84">
        <v>1183</v>
      </c>
      <c r="Y9" s="84">
        <v>1183</v>
      </c>
      <c r="Z9" s="87">
        <f t="shared" si="0"/>
        <v>1183</v>
      </c>
      <c r="AA9" s="95">
        <f t="shared" si="1"/>
        <v>1183</v>
      </c>
      <c r="AB9" s="89"/>
    </row>
    <row r="10" spans="1:28" ht="25.5" customHeight="1" x14ac:dyDescent="0.65">
      <c r="A10" s="43">
        <v>2012</v>
      </c>
      <c r="B10" s="84">
        <v>1181</v>
      </c>
      <c r="C10" s="84">
        <v>1181</v>
      </c>
      <c r="D10" s="84">
        <v>1179</v>
      </c>
      <c r="E10" s="84">
        <v>1179</v>
      </c>
      <c r="F10" s="84">
        <v>1179</v>
      </c>
      <c r="G10" s="84">
        <v>1179</v>
      </c>
      <c r="H10" s="84">
        <v>1179</v>
      </c>
      <c r="I10" s="84">
        <v>1179</v>
      </c>
      <c r="J10" s="84">
        <v>1179</v>
      </c>
      <c r="K10" s="84">
        <v>1179</v>
      </c>
      <c r="L10" s="84">
        <v>1179</v>
      </c>
      <c r="M10" s="84">
        <v>1179</v>
      </c>
      <c r="N10" s="84">
        <v>1179</v>
      </c>
      <c r="O10" s="84">
        <v>1179</v>
      </c>
      <c r="P10" s="84">
        <v>1179</v>
      </c>
      <c r="Q10" s="84">
        <v>1179</v>
      </c>
      <c r="R10" s="84">
        <v>1179</v>
      </c>
      <c r="S10" s="84">
        <v>1179</v>
      </c>
      <c r="T10" s="84">
        <v>1179</v>
      </c>
      <c r="U10" s="84">
        <v>1179</v>
      </c>
      <c r="V10" s="84">
        <v>1179</v>
      </c>
      <c r="W10" s="84">
        <v>1179</v>
      </c>
      <c r="X10" s="84">
        <v>1179</v>
      </c>
      <c r="Y10" s="84">
        <v>1179</v>
      </c>
      <c r="Z10" s="87">
        <f t="shared" si="0"/>
        <v>1179.1666666666667</v>
      </c>
      <c r="AA10" s="95">
        <f t="shared" si="1"/>
        <v>1179.1666666666667</v>
      </c>
      <c r="AB10" s="89"/>
    </row>
    <row r="11" spans="1:28" ht="25.5" customHeight="1" x14ac:dyDescent="0.65">
      <c r="A11" s="43">
        <v>2013</v>
      </c>
      <c r="B11" s="84">
        <v>1179</v>
      </c>
      <c r="C11" s="84">
        <v>1179</v>
      </c>
      <c r="D11" s="84">
        <v>1179</v>
      </c>
      <c r="E11" s="84">
        <v>1179</v>
      </c>
      <c r="F11" s="84">
        <v>1179</v>
      </c>
      <c r="G11" s="84">
        <v>1179</v>
      </c>
      <c r="H11" s="84">
        <v>1179</v>
      </c>
      <c r="I11" s="84">
        <v>1179</v>
      </c>
      <c r="J11" s="84">
        <v>1179</v>
      </c>
      <c r="K11" s="84">
        <v>1179</v>
      </c>
      <c r="L11" s="84">
        <v>1179</v>
      </c>
      <c r="M11" s="84">
        <v>1179</v>
      </c>
      <c r="N11" s="84">
        <v>1179</v>
      </c>
      <c r="O11" s="84">
        <v>1179</v>
      </c>
      <c r="P11" s="84">
        <v>1179</v>
      </c>
      <c r="Q11" s="84">
        <v>1179</v>
      </c>
      <c r="R11" s="84">
        <v>1179</v>
      </c>
      <c r="S11" s="84">
        <v>1179</v>
      </c>
      <c r="T11" s="84">
        <v>1179</v>
      </c>
      <c r="U11" s="84">
        <v>1179</v>
      </c>
      <c r="V11" s="84">
        <v>1179</v>
      </c>
      <c r="W11" s="84">
        <v>1179</v>
      </c>
      <c r="X11" s="84">
        <v>1177</v>
      </c>
      <c r="Y11" s="84">
        <v>1179</v>
      </c>
      <c r="Z11" s="87">
        <f t="shared" si="0"/>
        <v>1178.8333333333333</v>
      </c>
      <c r="AA11" s="95">
        <f t="shared" si="1"/>
        <v>1179</v>
      </c>
      <c r="AB11" s="89"/>
    </row>
    <row r="12" spans="1:28" ht="25.5" customHeight="1" x14ac:dyDescent="0.65">
      <c r="A12" s="43">
        <v>2014</v>
      </c>
      <c r="B12" s="84">
        <v>1177</v>
      </c>
      <c r="C12" s="84">
        <v>1179</v>
      </c>
      <c r="D12" s="84">
        <v>1183</v>
      </c>
      <c r="E12" s="84">
        <v>1183</v>
      </c>
      <c r="F12" s="84">
        <v>1190</v>
      </c>
      <c r="G12" s="84">
        <v>1187</v>
      </c>
      <c r="H12" s="84">
        <v>1190</v>
      </c>
      <c r="I12" s="84">
        <v>1187</v>
      </c>
      <c r="J12" s="84">
        <v>1190</v>
      </c>
      <c r="K12" s="84">
        <v>1187</v>
      </c>
      <c r="L12" s="84">
        <v>1190</v>
      </c>
      <c r="M12" s="84">
        <v>1187</v>
      </c>
      <c r="N12" s="84">
        <v>1190</v>
      </c>
      <c r="O12" s="84">
        <v>1187</v>
      </c>
      <c r="P12" s="84">
        <v>1190</v>
      </c>
      <c r="Q12" s="84">
        <v>1187</v>
      </c>
      <c r="R12" s="84">
        <v>1190</v>
      </c>
      <c r="S12" s="84">
        <v>1187</v>
      </c>
      <c r="T12" s="84">
        <v>1190</v>
      </c>
      <c r="U12" s="84">
        <v>1187</v>
      </c>
      <c r="V12" s="84">
        <v>1190</v>
      </c>
      <c r="W12" s="84">
        <v>1187</v>
      </c>
      <c r="X12" s="84">
        <v>1190</v>
      </c>
      <c r="Y12" s="84">
        <v>1187</v>
      </c>
      <c r="Z12" s="87">
        <f t="shared" si="0"/>
        <v>1188.3333333333333</v>
      </c>
      <c r="AA12" s="95">
        <f t="shared" si="1"/>
        <v>1186</v>
      </c>
      <c r="AB12" s="89"/>
    </row>
    <row r="13" spans="1:28" ht="25.5" customHeight="1" x14ac:dyDescent="0.65">
      <c r="A13" s="43">
        <v>2015</v>
      </c>
      <c r="B13" s="84">
        <v>1190</v>
      </c>
      <c r="C13" s="84">
        <v>1187</v>
      </c>
      <c r="D13" s="84">
        <v>1190</v>
      </c>
      <c r="E13" s="84">
        <v>1187</v>
      </c>
      <c r="F13" s="84">
        <v>1190</v>
      </c>
      <c r="G13" s="84">
        <v>1187</v>
      </c>
      <c r="H13" s="84">
        <v>1190</v>
      </c>
      <c r="I13" s="84">
        <v>1187</v>
      </c>
      <c r="J13" s="84">
        <v>1190</v>
      </c>
      <c r="K13" s="84">
        <v>1187</v>
      </c>
      <c r="L13" s="84">
        <v>1190</v>
      </c>
      <c r="M13" s="84">
        <v>1187</v>
      </c>
      <c r="N13" s="84">
        <v>1190</v>
      </c>
      <c r="O13" s="84">
        <v>1187</v>
      </c>
      <c r="P13" s="84">
        <v>1190</v>
      </c>
      <c r="Q13" s="84">
        <v>1187</v>
      </c>
      <c r="R13" s="84">
        <v>1190</v>
      </c>
      <c r="S13" s="84">
        <v>1187</v>
      </c>
      <c r="T13" s="84">
        <v>1190</v>
      </c>
      <c r="U13" s="84">
        <v>1187</v>
      </c>
      <c r="V13" s="84">
        <v>1190</v>
      </c>
      <c r="W13" s="84">
        <v>1187</v>
      </c>
      <c r="X13" s="84">
        <v>1190</v>
      </c>
      <c r="Y13" s="84">
        <v>1187</v>
      </c>
      <c r="Z13" s="87">
        <f t="shared" si="0"/>
        <v>1190</v>
      </c>
      <c r="AA13" s="95">
        <f t="shared" si="1"/>
        <v>1187</v>
      </c>
      <c r="AB13" s="89"/>
    </row>
    <row r="14" spans="1:28" ht="25.5" customHeight="1" x14ac:dyDescent="0.65">
      <c r="A14" s="43">
        <v>2016</v>
      </c>
      <c r="B14" s="84">
        <v>1190</v>
      </c>
      <c r="C14" s="84">
        <v>1190</v>
      </c>
      <c r="D14" s="84">
        <v>1190</v>
      </c>
      <c r="E14" s="84">
        <v>1190</v>
      </c>
      <c r="F14" s="84">
        <v>1190</v>
      </c>
      <c r="G14" s="84">
        <v>1190</v>
      </c>
      <c r="H14" s="84">
        <v>1190</v>
      </c>
      <c r="I14" s="84">
        <v>1190</v>
      </c>
      <c r="J14" s="84">
        <v>1190</v>
      </c>
      <c r="K14" s="84">
        <v>1190</v>
      </c>
      <c r="L14" s="84">
        <v>1190</v>
      </c>
      <c r="M14" s="84">
        <v>1190</v>
      </c>
      <c r="N14" s="84">
        <v>1190</v>
      </c>
      <c r="O14" s="84">
        <v>1190</v>
      </c>
      <c r="P14" s="84">
        <v>1190</v>
      </c>
      <c r="Q14" s="84">
        <v>1190</v>
      </c>
      <c r="R14" s="84">
        <v>1190</v>
      </c>
      <c r="S14" s="84">
        <v>1190</v>
      </c>
      <c r="T14" s="84">
        <v>1190</v>
      </c>
      <c r="U14" s="84">
        <v>1190</v>
      </c>
      <c r="V14" s="84">
        <v>1190</v>
      </c>
      <c r="W14" s="84">
        <v>1190</v>
      </c>
      <c r="X14" s="84">
        <v>1190</v>
      </c>
      <c r="Y14" s="84">
        <v>1190</v>
      </c>
      <c r="Z14" s="87">
        <f t="shared" si="0"/>
        <v>1190</v>
      </c>
      <c r="AA14" s="95">
        <f t="shared" si="1"/>
        <v>1190</v>
      </c>
      <c r="AB14" s="89"/>
    </row>
    <row r="15" spans="1:28" ht="25.5" customHeight="1" x14ac:dyDescent="0.65">
      <c r="A15" s="43">
        <v>2017</v>
      </c>
      <c r="B15" s="84">
        <v>1190</v>
      </c>
      <c r="C15" s="84">
        <v>1190</v>
      </c>
      <c r="D15" s="84">
        <v>1190</v>
      </c>
      <c r="E15" s="84">
        <v>1190</v>
      </c>
      <c r="F15" s="84">
        <v>1190</v>
      </c>
      <c r="G15" s="84">
        <v>1190</v>
      </c>
      <c r="H15" s="84">
        <v>1190</v>
      </c>
      <c r="I15" s="84">
        <v>1190</v>
      </c>
      <c r="J15" s="84">
        <v>1190</v>
      </c>
      <c r="K15" s="84">
        <v>1190</v>
      </c>
      <c r="L15" s="84">
        <v>1190</v>
      </c>
      <c r="M15" s="84">
        <v>1190</v>
      </c>
      <c r="N15" s="84">
        <v>1190</v>
      </c>
      <c r="O15" s="84">
        <v>1190</v>
      </c>
      <c r="P15" s="84">
        <v>1190</v>
      </c>
      <c r="Q15" s="84">
        <v>1190</v>
      </c>
      <c r="R15" s="84">
        <v>1190</v>
      </c>
      <c r="S15" s="84">
        <v>1190</v>
      </c>
      <c r="T15" s="84">
        <v>1190</v>
      </c>
      <c r="U15" s="84">
        <v>1190</v>
      </c>
      <c r="V15" s="84">
        <v>1190</v>
      </c>
      <c r="W15" s="84">
        <v>1190</v>
      </c>
      <c r="X15" s="84">
        <v>1190</v>
      </c>
      <c r="Y15" s="84">
        <v>1190</v>
      </c>
      <c r="Z15" s="87">
        <f t="shared" si="0"/>
        <v>1190</v>
      </c>
      <c r="AA15" s="95">
        <f t="shared" si="1"/>
        <v>1190</v>
      </c>
      <c r="AB15" s="89"/>
    </row>
    <row r="16" spans="1:28" ht="25.5" customHeight="1" x14ac:dyDescent="0.65">
      <c r="A16" s="43">
        <v>2018</v>
      </c>
      <c r="B16" s="84">
        <v>1190</v>
      </c>
      <c r="C16" s="84">
        <v>1190</v>
      </c>
      <c r="D16" s="84">
        <v>1190</v>
      </c>
      <c r="E16" s="84">
        <v>1190</v>
      </c>
      <c r="F16" s="84">
        <v>1190</v>
      </c>
      <c r="G16" s="84">
        <v>1190</v>
      </c>
      <c r="H16" s="84">
        <v>1190</v>
      </c>
      <c r="I16" s="84">
        <v>1190</v>
      </c>
      <c r="J16" s="84">
        <v>1190</v>
      </c>
      <c r="K16" s="84">
        <v>1190</v>
      </c>
      <c r="L16" s="84">
        <v>1190</v>
      </c>
      <c r="M16" s="84">
        <v>1190</v>
      </c>
      <c r="N16" s="84">
        <v>1190</v>
      </c>
      <c r="O16" s="84">
        <v>1190</v>
      </c>
      <c r="P16" s="84">
        <v>1190</v>
      </c>
      <c r="Q16" s="84">
        <v>1190</v>
      </c>
      <c r="R16" s="84">
        <v>1190</v>
      </c>
      <c r="S16" s="84">
        <v>1190</v>
      </c>
      <c r="T16" s="84">
        <v>1190</v>
      </c>
      <c r="U16" s="84">
        <v>1190</v>
      </c>
      <c r="V16" s="84">
        <v>1190</v>
      </c>
      <c r="W16" s="84">
        <v>1190</v>
      </c>
      <c r="X16" s="84">
        <v>1190</v>
      </c>
      <c r="Y16" s="84">
        <v>1190</v>
      </c>
      <c r="Z16" s="87">
        <f>AVERAGE(B16,D16,F16,H16,J16,L16,N16,P16,R16,T16,V16,X16)</f>
        <v>1190</v>
      </c>
      <c r="AA16" s="95">
        <f t="shared" si="1"/>
        <v>1190</v>
      </c>
      <c r="AB16" s="89"/>
    </row>
    <row r="17" spans="1:28" ht="25.5" customHeight="1" x14ac:dyDescent="0.65">
      <c r="A17" s="43">
        <v>2019</v>
      </c>
      <c r="B17" s="84">
        <v>1190</v>
      </c>
      <c r="C17" s="84">
        <v>1190</v>
      </c>
      <c r="D17" s="84">
        <v>1190</v>
      </c>
      <c r="E17" s="84">
        <v>1190</v>
      </c>
      <c r="F17" s="84">
        <v>1190</v>
      </c>
      <c r="G17" s="84">
        <v>1190</v>
      </c>
      <c r="H17" s="84">
        <v>1190</v>
      </c>
      <c r="I17" s="84">
        <v>1190</v>
      </c>
      <c r="J17" s="84">
        <v>1190</v>
      </c>
      <c r="K17" s="84">
        <v>1190</v>
      </c>
      <c r="L17" s="84">
        <v>1190</v>
      </c>
      <c r="M17" s="84">
        <v>1190</v>
      </c>
      <c r="N17" s="84">
        <v>1190</v>
      </c>
      <c r="O17" s="84">
        <v>1190</v>
      </c>
      <c r="P17" s="84">
        <v>1190</v>
      </c>
      <c r="Q17" s="84">
        <v>1190</v>
      </c>
      <c r="R17" s="84">
        <v>1190</v>
      </c>
      <c r="S17" s="84">
        <v>1190</v>
      </c>
      <c r="T17" s="84">
        <v>1190</v>
      </c>
      <c r="U17" s="84">
        <v>1190</v>
      </c>
      <c r="V17" s="84">
        <v>1190</v>
      </c>
      <c r="W17" s="84">
        <v>1190</v>
      </c>
      <c r="X17" s="84">
        <v>1190</v>
      </c>
      <c r="Y17" s="84">
        <v>1190</v>
      </c>
      <c r="Z17" s="87">
        <f t="shared" si="0"/>
        <v>1190</v>
      </c>
      <c r="AA17" s="95">
        <f>AVERAGE(C17,E17,G17,I17,K17,M17,O17,Q17,S17,U17,W17,Y17)</f>
        <v>1190</v>
      </c>
      <c r="AB17" s="89"/>
    </row>
    <row r="18" spans="1:28" ht="25.5" customHeight="1" x14ac:dyDescent="0.65">
      <c r="A18" s="43">
        <v>2020</v>
      </c>
      <c r="B18" s="84">
        <v>1190</v>
      </c>
      <c r="C18" s="84">
        <v>1190</v>
      </c>
      <c r="D18" s="84">
        <v>1190</v>
      </c>
      <c r="E18" s="84">
        <v>1190</v>
      </c>
      <c r="F18" s="84">
        <v>1190</v>
      </c>
      <c r="G18" s="84">
        <v>1190</v>
      </c>
      <c r="H18" s="84">
        <v>1190</v>
      </c>
      <c r="I18" s="84">
        <v>1190</v>
      </c>
      <c r="J18" s="84">
        <v>1190</v>
      </c>
      <c r="K18" s="84">
        <v>1190</v>
      </c>
      <c r="L18" s="84">
        <v>1190</v>
      </c>
      <c r="M18" s="84">
        <v>1190</v>
      </c>
      <c r="N18" s="84">
        <v>1190</v>
      </c>
      <c r="O18" s="84">
        <v>1190</v>
      </c>
      <c r="P18" s="84">
        <v>1190</v>
      </c>
      <c r="Q18" s="84">
        <v>1190</v>
      </c>
      <c r="R18" s="84">
        <v>1190</v>
      </c>
      <c r="S18" s="84">
        <v>1190</v>
      </c>
      <c r="T18" s="84">
        <v>1190</v>
      </c>
      <c r="U18" s="84">
        <v>1190</v>
      </c>
      <c r="V18" s="84">
        <v>1190</v>
      </c>
      <c r="W18" s="84">
        <v>1190</v>
      </c>
      <c r="X18" s="84">
        <v>1313</v>
      </c>
      <c r="Y18" s="84">
        <v>1313</v>
      </c>
      <c r="Z18" s="87">
        <f>AVERAGE(B18,D18,F18,H18,J18,L18,N18,P18,R18,T18,V18,X18)</f>
        <v>1200.25</v>
      </c>
      <c r="AA18" s="95">
        <f t="shared" si="1"/>
        <v>1200.25</v>
      </c>
      <c r="AB18" s="89"/>
    </row>
    <row r="19" spans="1:28" ht="25.5" customHeight="1" x14ac:dyDescent="0.65">
      <c r="A19" s="90">
        <v>2021</v>
      </c>
      <c r="B19" s="92">
        <v>1460</v>
      </c>
      <c r="C19" s="84">
        <v>1460</v>
      </c>
      <c r="D19" s="84">
        <v>1460</v>
      </c>
      <c r="E19" s="84">
        <v>1460</v>
      </c>
      <c r="F19" s="84">
        <v>1460</v>
      </c>
      <c r="G19" s="84">
        <v>1460</v>
      </c>
      <c r="H19" s="84">
        <v>1460</v>
      </c>
      <c r="I19" s="84">
        <v>1460</v>
      </c>
      <c r="J19" s="84">
        <v>1460</v>
      </c>
      <c r="K19" s="84">
        <v>1460</v>
      </c>
      <c r="L19" s="84">
        <v>1460</v>
      </c>
      <c r="M19" s="84">
        <v>1460</v>
      </c>
      <c r="N19" s="84">
        <v>1460</v>
      </c>
      <c r="O19" s="84">
        <v>1460</v>
      </c>
      <c r="P19" s="84">
        <v>1460</v>
      </c>
      <c r="Q19" s="84">
        <v>1460</v>
      </c>
      <c r="R19" s="84">
        <v>1460</v>
      </c>
      <c r="S19" s="84">
        <v>1460</v>
      </c>
      <c r="T19" s="84">
        <v>1460</v>
      </c>
      <c r="U19" s="84">
        <v>1460</v>
      </c>
      <c r="V19" s="84">
        <v>1460</v>
      </c>
      <c r="W19" s="84">
        <v>1460</v>
      </c>
      <c r="X19" s="84">
        <v>1460</v>
      </c>
      <c r="Y19" s="84">
        <v>1460</v>
      </c>
      <c r="Z19" s="87">
        <f>AVERAGE(B19,D19,F19,H19,J19,L19,N19,P19,R19,T19,V19,X19)</f>
        <v>1460</v>
      </c>
      <c r="AA19" s="95">
        <f>AVERAGE(C19,E19,G19,I19,K19,M19,O19,Q19,S19,U19,W19,Y19)</f>
        <v>1460</v>
      </c>
      <c r="AB19" s="89"/>
    </row>
    <row r="20" spans="1:28" ht="25.5" customHeight="1" x14ac:dyDescent="0.65">
      <c r="A20" s="100">
        <v>2022</v>
      </c>
      <c r="B20" s="101">
        <v>1460</v>
      </c>
      <c r="C20" s="102">
        <v>1460</v>
      </c>
      <c r="D20" s="102">
        <v>1460</v>
      </c>
      <c r="E20" s="102">
        <v>1460</v>
      </c>
      <c r="F20" s="102">
        <v>1460</v>
      </c>
      <c r="G20" s="102">
        <v>1460</v>
      </c>
      <c r="H20" s="102">
        <v>1460</v>
      </c>
      <c r="I20" s="102">
        <v>1460</v>
      </c>
      <c r="J20" s="102">
        <v>1460</v>
      </c>
      <c r="K20" s="102">
        <v>1460</v>
      </c>
      <c r="L20" s="102">
        <v>1460</v>
      </c>
      <c r="M20" s="102">
        <v>1460</v>
      </c>
      <c r="N20" s="102">
        <v>1460</v>
      </c>
      <c r="O20" s="102">
        <v>1460</v>
      </c>
      <c r="P20" s="102">
        <v>1460</v>
      </c>
      <c r="Q20" s="102">
        <v>1460</v>
      </c>
      <c r="R20" s="102">
        <v>1460</v>
      </c>
      <c r="S20" s="102">
        <v>1460</v>
      </c>
      <c r="T20" s="102">
        <v>1460</v>
      </c>
      <c r="U20" s="102">
        <v>1460</v>
      </c>
      <c r="V20" s="102">
        <v>1460</v>
      </c>
      <c r="W20" s="102">
        <v>1460</v>
      </c>
      <c r="X20" s="102">
        <v>1460</v>
      </c>
      <c r="Y20" s="102">
        <v>1460</v>
      </c>
      <c r="Z20" s="103">
        <f>AVERAGE(B20,D20,F20,H20,J20,L20,N20,P20,R20,T20,V20,X20)</f>
        <v>1460</v>
      </c>
      <c r="AA20" s="104">
        <f>AVERAGE(C20,E20,G20,I20,K20,M20,O20,Q20,S20,U20,W20,Y20)</f>
        <v>1460</v>
      </c>
      <c r="AB20" s="89"/>
    </row>
    <row r="21" spans="1:28" ht="25.5" customHeight="1" thickBot="1" x14ac:dyDescent="0.7">
      <c r="A21" s="91">
        <v>2023</v>
      </c>
      <c r="B21" s="93">
        <v>1460</v>
      </c>
      <c r="C21" s="85">
        <v>1460</v>
      </c>
      <c r="D21" s="85">
        <v>1349</v>
      </c>
      <c r="E21" s="85">
        <v>1349</v>
      </c>
      <c r="F21" s="85">
        <v>1310</v>
      </c>
      <c r="G21" s="85">
        <v>1310</v>
      </c>
      <c r="H21" s="85">
        <v>1310</v>
      </c>
      <c r="I21" s="85">
        <v>1310</v>
      </c>
      <c r="J21" s="85">
        <v>1310</v>
      </c>
      <c r="K21" s="85">
        <v>1310</v>
      </c>
      <c r="L21" s="85">
        <v>1310</v>
      </c>
      <c r="M21" s="85">
        <v>1310</v>
      </c>
      <c r="N21" s="85">
        <v>1310</v>
      </c>
      <c r="O21" s="85">
        <v>1310</v>
      </c>
      <c r="P21" s="85">
        <v>1309</v>
      </c>
      <c r="Q21" s="85">
        <v>1310</v>
      </c>
      <c r="R21" s="85">
        <v>1305</v>
      </c>
      <c r="S21" s="85">
        <v>1310</v>
      </c>
      <c r="T21" s="85">
        <v>1305</v>
      </c>
      <c r="U21" s="85">
        <v>1310</v>
      </c>
      <c r="V21" s="85">
        <v>1305</v>
      </c>
      <c r="W21" s="85">
        <v>1310</v>
      </c>
      <c r="X21" s="85"/>
      <c r="Y21" s="85"/>
      <c r="Z21" s="88"/>
      <c r="AA21" s="96"/>
    </row>
  </sheetData>
  <mergeCells count="28">
    <mergeCell ref="A1:AA1"/>
    <mergeCell ref="T4:U4"/>
    <mergeCell ref="V4:W4"/>
    <mergeCell ref="X4:Y4"/>
    <mergeCell ref="Z4:AA4"/>
    <mergeCell ref="H4:I4"/>
    <mergeCell ref="J4:K4"/>
    <mergeCell ref="L4:M4"/>
    <mergeCell ref="N4:O4"/>
    <mergeCell ref="P4:Q4"/>
    <mergeCell ref="R4:S4"/>
    <mergeCell ref="B3:C3"/>
    <mergeCell ref="D3:E3"/>
    <mergeCell ref="F3:G3"/>
    <mergeCell ref="H3:I3"/>
    <mergeCell ref="F4:G4"/>
    <mergeCell ref="B4:C4"/>
    <mergeCell ref="D4:E4"/>
    <mergeCell ref="R3:S3"/>
    <mergeCell ref="T3:U3"/>
    <mergeCell ref="V3:W3"/>
    <mergeCell ref="Z3:AA3"/>
    <mergeCell ref="A2:AA2"/>
    <mergeCell ref="X3:Y3"/>
    <mergeCell ref="J3:K3"/>
    <mergeCell ref="L3:M3"/>
    <mergeCell ref="N3:O3"/>
    <mergeCell ref="P3:Q3"/>
  </mergeCells>
  <pageMargins left="0.7" right="0.7" top="0.75" bottom="0.75" header="0.3" footer="0.3"/>
  <pageSetup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Daily Market price</vt:lpstr>
      <vt:lpstr>Market price monthly average</vt:lpstr>
      <vt:lpstr>Sheet1</vt:lpstr>
      <vt:lpstr>Daily Price basis</vt:lpstr>
      <vt:lpstr>Monthly price basis</vt:lpstr>
      <vt:lpstr>Daily window price</vt:lpstr>
      <vt:lpstr>Monthly window price</vt:lpstr>
      <vt:lpstr>'Daily Market price'!Print_Area</vt:lpstr>
      <vt:lpstr>'Daily Price basis'!Print_Area</vt:lpstr>
      <vt:lpstr>'Monthly price basis'!Print_Area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2024-05-16T09:32:41Z</dcterms:modified>
</cp:coreProperties>
</file>